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economia\1. Publicaciones\Panel indicadores economicos\envio_informatica\"/>
    </mc:Choice>
  </mc:AlternateContent>
  <bookViews>
    <workbookView xWindow="0" yWindow="0" windowWidth="19200" windowHeight="8100" tabRatio="867" activeTab="11"/>
  </bookViews>
  <sheets>
    <sheet name="PCN" sheetId="43" r:id="rId1"/>
    <sheet name="Afiliados" sheetId="4" r:id="rId2"/>
    <sheet name="Afiliados_Asalariados" sheetId="5" r:id="rId3"/>
    <sheet name="Afiliados_No_asalariados" sheetId="6" r:id="rId4"/>
    <sheet name="Contratos" sheetId="3" r:id="rId5"/>
    <sheet name="Paro" sheetId="2" r:id="rId6"/>
    <sheet name="Emp" sheetId="11" r:id="rId7"/>
    <sheet name="Emp_fi" sheetId="12" r:id="rId8"/>
    <sheet name="Emp_ju" sheetId="13" r:id="rId9"/>
    <sheet name="SM_C" sheetId="29" r:id="rId10"/>
    <sheet name="SM_D" sheetId="30" r:id="rId11"/>
    <sheet name="IPI" sheetId="25" r:id="rId12"/>
    <sheet name="Matriculacion_turismos" sheetId="9" r:id="rId13"/>
    <sheet name="CP" sheetId="26" r:id="rId14"/>
    <sheet name="ECI" sheetId="10" r:id="rId15"/>
    <sheet name="ICN" sheetId="39" r:id="rId16"/>
    <sheet name="CGN" sheetId="40" r:id="rId17"/>
    <sheet name="ENERGIA" sheetId="53" r:id="rId18"/>
    <sheet name="Taereo" sheetId="14" r:id="rId19"/>
    <sheet name="EOAT" sheetId="21" r:id="rId20"/>
    <sheet name="CTH" sheetId="15" r:id="rId21"/>
    <sheet name="TPS_P" sheetId="27" r:id="rId22"/>
    <sheet name="TPS_M" sheetId="28" r:id="rId23"/>
    <sheet name="IASS" sheetId="36" r:id="rId24"/>
    <sheet name="IASS_2" sheetId="37" r:id="rId25"/>
    <sheet name="ICM" sheetId="20" r:id="rId26"/>
    <sheet name="ICM (2)" sheetId="38" r:id="rId27"/>
    <sheet name="X" sheetId="31" r:id="rId28"/>
    <sheet name="M" sheetId="32" r:id="rId29"/>
    <sheet name="SALDO" sheetId="34" r:id="rId30"/>
    <sheet name="TCOBER" sheetId="35" r:id="rId31"/>
    <sheet name="Ipc" sheetId="7" r:id="rId32"/>
    <sheet name="PRD_B" sheetId="23" r:id="rId33"/>
    <sheet name="PRD_G" sheetId="24" r:id="rId34"/>
    <sheet name="P_CONTR" sheetId="44" r:id="rId35"/>
    <sheet name="P_NO_CONTR" sheetId="46" r:id="rId36"/>
    <sheet name="GS" sheetId="42" r:id="rId37"/>
    <sheet name="CEMENTO" sheetId="47" r:id="rId38"/>
    <sheet name="LOC" sheetId="54" r:id="rId39"/>
  </sheets>
  <externalReferences>
    <externalReference r:id="rId40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93" i="7" l="1"/>
  <c r="G93" i="7"/>
  <c r="F93" i="7"/>
  <c r="E93" i="7"/>
  <c r="D93" i="7"/>
  <c r="C93" i="7"/>
  <c r="H92" i="7"/>
  <c r="G92" i="7"/>
  <c r="F92" i="7"/>
  <c r="E92" i="7"/>
  <c r="D92" i="7"/>
  <c r="C92" i="7"/>
  <c r="H91" i="7"/>
  <c r="G91" i="7"/>
  <c r="F91" i="7"/>
  <c r="E91" i="7"/>
  <c r="D91" i="7"/>
  <c r="C91" i="7"/>
  <c r="H90" i="7"/>
  <c r="G90" i="7"/>
  <c r="F90" i="7"/>
  <c r="E90" i="7"/>
  <c r="D90" i="7"/>
  <c r="C90" i="7"/>
  <c r="H89" i="7"/>
  <c r="G89" i="7"/>
  <c r="F89" i="7"/>
  <c r="E89" i="7"/>
  <c r="D89" i="7"/>
  <c r="C89" i="7"/>
  <c r="H88" i="7"/>
  <c r="G88" i="7"/>
  <c r="F88" i="7"/>
  <c r="E88" i="7"/>
  <c r="D88" i="7"/>
  <c r="C88" i="7"/>
  <c r="H87" i="7"/>
  <c r="G87" i="7"/>
  <c r="F87" i="7"/>
  <c r="E87" i="7"/>
  <c r="D87" i="7"/>
  <c r="C87" i="7"/>
  <c r="H86" i="7"/>
  <c r="G86" i="7"/>
  <c r="F86" i="7"/>
  <c r="E86" i="7"/>
  <c r="D86" i="7"/>
  <c r="C86" i="7"/>
  <c r="H85" i="7"/>
  <c r="G85" i="7"/>
  <c r="F85" i="7"/>
  <c r="E85" i="7"/>
  <c r="D85" i="7"/>
  <c r="C85" i="7"/>
  <c r="H84" i="7"/>
  <c r="G84" i="7"/>
  <c r="F84" i="7"/>
  <c r="E84" i="7"/>
  <c r="D84" i="7"/>
  <c r="C84" i="7"/>
  <c r="H83" i="7"/>
  <c r="G83" i="7"/>
  <c r="F83" i="7"/>
  <c r="E83" i="7"/>
  <c r="D83" i="7"/>
  <c r="C83" i="7"/>
  <c r="H82" i="7"/>
  <c r="G82" i="7"/>
  <c r="F82" i="7"/>
  <c r="E82" i="7"/>
  <c r="D82" i="7"/>
  <c r="C82" i="7"/>
  <c r="H81" i="7"/>
  <c r="G81" i="7"/>
  <c r="F81" i="7"/>
  <c r="E81" i="7"/>
  <c r="D81" i="7"/>
  <c r="C81" i="7"/>
  <c r="H80" i="7"/>
  <c r="G80" i="7"/>
  <c r="F80" i="7"/>
  <c r="E80" i="7"/>
  <c r="D80" i="7"/>
  <c r="C80" i="7"/>
  <c r="H79" i="7"/>
  <c r="G79" i="7"/>
  <c r="F79" i="7"/>
  <c r="E79" i="7"/>
  <c r="D79" i="7"/>
  <c r="C79" i="7"/>
  <c r="H78" i="7"/>
  <c r="G78" i="7"/>
  <c r="F78" i="7"/>
  <c r="E78" i="7"/>
  <c r="D78" i="7"/>
  <c r="C78" i="7"/>
  <c r="H77" i="7"/>
  <c r="G77" i="7"/>
  <c r="F77" i="7"/>
  <c r="E77" i="7"/>
  <c r="D77" i="7"/>
  <c r="C77" i="7"/>
  <c r="H76" i="7"/>
  <c r="G76" i="7"/>
  <c r="F76" i="7"/>
  <c r="E76" i="7"/>
  <c r="D76" i="7"/>
  <c r="C76" i="7"/>
  <c r="H75" i="7"/>
  <c r="G75" i="7"/>
  <c r="F75" i="7"/>
  <c r="E75" i="7"/>
  <c r="D75" i="7"/>
  <c r="C75" i="7"/>
  <c r="A75" i="7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H74" i="7"/>
  <c r="G74" i="7"/>
  <c r="F74" i="7"/>
  <c r="E74" i="7"/>
  <c r="D74" i="7"/>
  <c r="C74" i="7"/>
  <c r="H73" i="7"/>
  <c r="G73" i="7"/>
  <c r="F73" i="7"/>
  <c r="E73" i="7"/>
  <c r="D73" i="7"/>
  <c r="C73" i="7"/>
  <c r="H72" i="7"/>
  <c r="G72" i="7"/>
  <c r="F72" i="7"/>
  <c r="E72" i="7"/>
  <c r="D72" i="7"/>
  <c r="C72" i="7"/>
  <c r="H71" i="7"/>
  <c r="G71" i="7"/>
  <c r="F71" i="7"/>
  <c r="E71" i="7"/>
  <c r="D71" i="7"/>
  <c r="C71" i="7"/>
  <c r="H70" i="7"/>
  <c r="G70" i="7"/>
  <c r="F70" i="7"/>
  <c r="E70" i="7"/>
  <c r="D70" i="7"/>
  <c r="C70" i="7"/>
  <c r="H69" i="7"/>
  <c r="G69" i="7"/>
  <c r="F69" i="7"/>
  <c r="E69" i="7"/>
  <c r="D69" i="7"/>
  <c r="C69" i="7"/>
  <c r="H68" i="7"/>
  <c r="G68" i="7"/>
  <c r="F68" i="7"/>
  <c r="E68" i="7"/>
  <c r="D68" i="7"/>
  <c r="C68" i="7"/>
  <c r="H67" i="7"/>
  <c r="G67" i="7"/>
  <c r="F67" i="7"/>
  <c r="E67" i="7"/>
  <c r="D67" i="7"/>
  <c r="C67" i="7"/>
  <c r="H66" i="7"/>
  <c r="G66" i="7"/>
  <c r="F66" i="7"/>
  <c r="E66" i="7"/>
  <c r="D66" i="7"/>
  <c r="C66" i="7"/>
  <c r="H65" i="7"/>
  <c r="G65" i="7"/>
  <c r="F65" i="7"/>
  <c r="E65" i="7"/>
  <c r="D65" i="7"/>
  <c r="C65" i="7"/>
  <c r="H64" i="7"/>
  <c r="G64" i="7"/>
  <c r="F64" i="7"/>
  <c r="E64" i="7"/>
  <c r="D64" i="7"/>
  <c r="C64" i="7"/>
  <c r="H63" i="7"/>
  <c r="G63" i="7"/>
  <c r="F63" i="7"/>
  <c r="E63" i="7"/>
  <c r="D63" i="7"/>
  <c r="C63" i="7"/>
  <c r="A63" i="7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H62" i="7"/>
  <c r="G62" i="7"/>
  <c r="F62" i="7"/>
  <c r="E62" i="7"/>
  <c r="D62" i="7"/>
  <c r="C62" i="7"/>
  <c r="H61" i="7"/>
  <c r="G61" i="7"/>
  <c r="F61" i="7"/>
  <c r="E61" i="7"/>
  <c r="D61" i="7"/>
  <c r="C61" i="7"/>
  <c r="H60" i="7"/>
  <c r="G60" i="7"/>
  <c r="F60" i="7"/>
  <c r="E60" i="7"/>
  <c r="D60" i="7"/>
  <c r="C60" i="7"/>
  <c r="H59" i="7"/>
  <c r="G59" i="7"/>
  <c r="F59" i="7"/>
  <c r="E59" i="7"/>
  <c r="D59" i="7"/>
  <c r="C59" i="7"/>
  <c r="H58" i="7"/>
  <c r="G58" i="7"/>
  <c r="F58" i="7"/>
  <c r="E58" i="7"/>
  <c r="D58" i="7"/>
  <c r="C58" i="7"/>
  <c r="H57" i="7"/>
  <c r="G57" i="7"/>
  <c r="F57" i="7"/>
  <c r="E57" i="7"/>
  <c r="D57" i="7"/>
  <c r="C57" i="7"/>
  <c r="H56" i="7"/>
  <c r="G56" i="7"/>
  <c r="F56" i="7"/>
  <c r="E56" i="7"/>
  <c r="D56" i="7"/>
  <c r="C56" i="7"/>
  <c r="H55" i="7"/>
  <c r="G55" i="7"/>
  <c r="F55" i="7"/>
  <c r="E55" i="7"/>
  <c r="D55" i="7"/>
  <c r="C55" i="7"/>
  <c r="H54" i="7"/>
  <c r="G54" i="7"/>
  <c r="F54" i="7"/>
  <c r="E54" i="7"/>
  <c r="D54" i="7"/>
  <c r="C54" i="7"/>
  <c r="H53" i="7"/>
  <c r="G53" i="7"/>
  <c r="F53" i="7"/>
  <c r="E53" i="7"/>
  <c r="D53" i="7"/>
  <c r="C53" i="7"/>
  <c r="H52" i="7"/>
  <c r="G52" i="7"/>
  <c r="F52" i="7"/>
  <c r="E52" i="7"/>
  <c r="D52" i="7"/>
  <c r="C52" i="7"/>
  <c r="A52" i="7"/>
  <c r="A53" i="7" s="1"/>
  <c r="A54" i="7" s="1"/>
  <c r="A55" i="7" s="1"/>
  <c r="A56" i="7" s="1"/>
  <c r="A57" i="7" s="1"/>
  <c r="A58" i="7" s="1"/>
  <c r="A59" i="7" s="1"/>
  <c r="A60" i="7" s="1"/>
  <c r="A61" i="7" s="1"/>
  <c r="H51" i="7"/>
  <c r="G51" i="7"/>
  <c r="F51" i="7"/>
  <c r="E51" i="7"/>
  <c r="D51" i="7"/>
  <c r="C51" i="7"/>
  <c r="A51" i="7"/>
  <c r="H50" i="7"/>
  <c r="G50" i="7"/>
  <c r="F50" i="7"/>
  <c r="E50" i="7"/>
  <c r="D50" i="7"/>
  <c r="C50" i="7"/>
  <c r="H49" i="7"/>
  <c r="G49" i="7"/>
  <c r="F49" i="7"/>
  <c r="E49" i="7"/>
  <c r="D49" i="7"/>
  <c r="C49" i="7"/>
  <c r="H48" i="7"/>
  <c r="G48" i="7"/>
  <c r="F48" i="7"/>
  <c r="E48" i="7"/>
  <c r="D48" i="7"/>
  <c r="C48" i="7"/>
  <c r="H47" i="7"/>
  <c r="G47" i="7"/>
  <c r="F47" i="7"/>
  <c r="E47" i="7"/>
  <c r="D47" i="7"/>
  <c r="C47" i="7"/>
  <c r="H46" i="7"/>
  <c r="G46" i="7"/>
  <c r="F46" i="7"/>
  <c r="E46" i="7"/>
  <c r="D46" i="7"/>
  <c r="C46" i="7"/>
  <c r="H45" i="7"/>
  <c r="G45" i="7"/>
  <c r="F45" i="7"/>
  <c r="E45" i="7"/>
  <c r="D45" i="7"/>
  <c r="C45" i="7"/>
  <c r="H44" i="7"/>
  <c r="G44" i="7"/>
  <c r="F44" i="7"/>
  <c r="E44" i="7"/>
  <c r="D44" i="7"/>
  <c r="C44" i="7"/>
  <c r="H43" i="7"/>
  <c r="G43" i="7"/>
  <c r="F43" i="7"/>
  <c r="E43" i="7"/>
  <c r="D43" i="7"/>
  <c r="C43" i="7"/>
  <c r="H42" i="7"/>
  <c r="G42" i="7"/>
  <c r="F42" i="7"/>
  <c r="E42" i="7"/>
  <c r="D42" i="7"/>
  <c r="C42" i="7"/>
  <c r="H41" i="7"/>
  <c r="G41" i="7"/>
  <c r="F41" i="7"/>
  <c r="E41" i="7"/>
  <c r="D41" i="7"/>
  <c r="C41" i="7"/>
  <c r="A41" i="7"/>
  <c r="A42" i="7" s="1"/>
  <c r="A43" i="7" s="1"/>
  <c r="A44" i="7" s="1"/>
  <c r="A45" i="7" s="1"/>
  <c r="A46" i="7" s="1"/>
  <c r="A47" i="7" s="1"/>
  <c r="A48" i="7" s="1"/>
  <c r="A49" i="7" s="1"/>
  <c r="H40" i="7"/>
  <c r="G40" i="7"/>
  <c r="F40" i="7"/>
  <c r="E40" i="7"/>
  <c r="D40" i="7"/>
  <c r="C40" i="7"/>
  <c r="A40" i="7"/>
  <c r="H39" i="7"/>
  <c r="G39" i="7"/>
  <c r="F39" i="7"/>
  <c r="E39" i="7"/>
  <c r="D39" i="7"/>
  <c r="C39" i="7"/>
  <c r="A39" i="7"/>
  <c r="H38" i="7"/>
  <c r="G38" i="7"/>
  <c r="F38" i="7"/>
  <c r="E38" i="7"/>
  <c r="D38" i="7"/>
  <c r="C38" i="7"/>
  <c r="H37" i="7"/>
  <c r="G37" i="7"/>
  <c r="F37" i="7"/>
  <c r="E37" i="7"/>
  <c r="D37" i="7"/>
  <c r="C37" i="7"/>
  <c r="H36" i="7"/>
  <c r="G36" i="7"/>
  <c r="F36" i="7"/>
  <c r="E36" i="7"/>
  <c r="D36" i="7"/>
  <c r="C36" i="7"/>
  <c r="H35" i="7"/>
  <c r="G35" i="7"/>
  <c r="F35" i="7"/>
  <c r="E35" i="7"/>
  <c r="D35" i="7"/>
  <c r="C35" i="7"/>
  <c r="H34" i="7"/>
  <c r="G34" i="7"/>
  <c r="F34" i="7"/>
  <c r="E34" i="7"/>
  <c r="D34" i="7"/>
  <c r="C34" i="7"/>
  <c r="H33" i="7"/>
  <c r="G33" i="7"/>
  <c r="F33" i="7"/>
  <c r="E33" i="7"/>
  <c r="D33" i="7"/>
  <c r="C33" i="7"/>
  <c r="H32" i="7"/>
  <c r="G32" i="7"/>
  <c r="F32" i="7"/>
  <c r="E32" i="7"/>
  <c r="D32" i="7"/>
  <c r="C32" i="7"/>
  <c r="H31" i="7"/>
  <c r="G31" i="7"/>
  <c r="F31" i="7"/>
  <c r="E31" i="7"/>
  <c r="D31" i="7"/>
  <c r="C31" i="7"/>
  <c r="H30" i="7"/>
  <c r="G30" i="7"/>
  <c r="F30" i="7"/>
  <c r="E30" i="7"/>
  <c r="D30" i="7"/>
  <c r="C30" i="7"/>
  <c r="H29" i="7"/>
  <c r="G29" i="7"/>
  <c r="F29" i="7"/>
  <c r="E29" i="7"/>
  <c r="D29" i="7"/>
  <c r="C29" i="7"/>
  <c r="H28" i="7"/>
  <c r="G28" i="7"/>
  <c r="F28" i="7"/>
  <c r="E28" i="7"/>
  <c r="D28" i="7"/>
  <c r="C28" i="7"/>
  <c r="H27" i="7"/>
  <c r="G27" i="7"/>
  <c r="F27" i="7"/>
  <c r="E27" i="7"/>
  <c r="D27" i="7"/>
  <c r="C27" i="7"/>
  <c r="A27" i="7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H26" i="7"/>
  <c r="G26" i="7"/>
  <c r="F26" i="7"/>
  <c r="E26" i="7"/>
  <c r="D26" i="7"/>
  <c r="C26" i="7"/>
  <c r="H25" i="7"/>
  <c r="G25" i="7"/>
  <c r="F25" i="7"/>
  <c r="E25" i="7"/>
  <c r="D25" i="7"/>
  <c r="C25" i="7"/>
  <c r="H24" i="7"/>
  <c r="G24" i="7"/>
  <c r="F24" i="7"/>
  <c r="E24" i="7"/>
  <c r="D24" i="7"/>
  <c r="C24" i="7"/>
  <c r="H23" i="7"/>
  <c r="G23" i="7"/>
  <c r="F23" i="7"/>
  <c r="E23" i="7"/>
  <c r="D23" i="7"/>
  <c r="C23" i="7"/>
  <c r="H22" i="7"/>
  <c r="G22" i="7"/>
  <c r="F22" i="7"/>
  <c r="E22" i="7"/>
  <c r="D22" i="7"/>
  <c r="C22" i="7"/>
  <c r="H21" i="7"/>
  <c r="G21" i="7"/>
  <c r="F21" i="7"/>
  <c r="E21" i="7"/>
  <c r="D21" i="7"/>
  <c r="C21" i="7"/>
  <c r="H20" i="7"/>
  <c r="G20" i="7"/>
  <c r="F20" i="7"/>
  <c r="E20" i="7"/>
  <c r="D20" i="7"/>
  <c r="C20" i="7"/>
  <c r="H19" i="7"/>
  <c r="G19" i="7"/>
  <c r="F19" i="7"/>
  <c r="E19" i="7"/>
  <c r="D19" i="7"/>
  <c r="C19" i="7"/>
  <c r="H18" i="7"/>
  <c r="G18" i="7"/>
  <c r="F18" i="7"/>
  <c r="E18" i="7"/>
  <c r="D18" i="7"/>
  <c r="C18" i="7"/>
  <c r="H17" i="7"/>
  <c r="G17" i="7"/>
  <c r="F17" i="7"/>
  <c r="E17" i="7"/>
  <c r="D17" i="7"/>
  <c r="C17" i="7"/>
  <c r="H16" i="7"/>
  <c r="G16" i="7"/>
  <c r="F16" i="7"/>
  <c r="E16" i="7"/>
  <c r="D16" i="7"/>
  <c r="C16" i="7"/>
  <c r="H15" i="7"/>
  <c r="G15" i="7"/>
  <c r="F15" i="7"/>
  <c r="E15" i="7"/>
  <c r="D15" i="7"/>
  <c r="C15" i="7"/>
  <c r="A15" i="7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H14" i="7"/>
  <c r="G14" i="7"/>
  <c r="F14" i="7"/>
  <c r="E14" i="7"/>
  <c r="D14" i="7"/>
  <c r="C14" i="7"/>
  <c r="H13" i="7"/>
  <c r="G13" i="7"/>
  <c r="F13" i="7"/>
  <c r="E13" i="7"/>
  <c r="D13" i="7"/>
  <c r="C13" i="7"/>
  <c r="H12" i="7"/>
  <c r="G12" i="7"/>
  <c r="F12" i="7"/>
  <c r="E12" i="7"/>
  <c r="D12" i="7"/>
  <c r="C12" i="7"/>
  <c r="H11" i="7"/>
  <c r="G11" i="7"/>
  <c r="F11" i="7"/>
  <c r="E11" i="7"/>
  <c r="D11" i="7"/>
  <c r="C11" i="7"/>
  <c r="H10" i="7"/>
  <c r="G10" i="7"/>
  <c r="F10" i="7"/>
  <c r="E10" i="7"/>
  <c r="D10" i="7"/>
  <c r="C10" i="7"/>
  <c r="H9" i="7"/>
  <c r="G9" i="7"/>
  <c r="F9" i="7"/>
  <c r="E9" i="7"/>
  <c r="D9" i="7"/>
  <c r="C9" i="7"/>
  <c r="H8" i="7"/>
  <c r="G8" i="7"/>
  <c r="F8" i="7"/>
  <c r="E8" i="7"/>
  <c r="D8" i="7"/>
  <c r="C8" i="7"/>
  <c r="H7" i="7"/>
  <c r="G7" i="7"/>
  <c r="F7" i="7"/>
  <c r="E7" i="7"/>
  <c r="D7" i="7"/>
  <c r="C7" i="7"/>
  <c r="H6" i="7"/>
  <c r="G6" i="7"/>
  <c r="F6" i="7"/>
  <c r="E6" i="7"/>
  <c r="D6" i="7"/>
  <c r="C6" i="7"/>
  <c r="H5" i="7"/>
  <c r="G5" i="7"/>
  <c r="F5" i="7"/>
  <c r="E5" i="7"/>
  <c r="D5" i="7"/>
  <c r="C5" i="7"/>
  <c r="H4" i="7"/>
  <c r="G4" i="7"/>
  <c r="F4" i="7"/>
  <c r="E4" i="7"/>
  <c r="D4" i="7"/>
  <c r="C4" i="7"/>
  <c r="A4" i="7"/>
  <c r="A5" i="7" s="1"/>
  <c r="A6" i="7" s="1"/>
  <c r="A7" i="7" s="1"/>
  <c r="A8" i="7" s="1"/>
  <c r="A9" i="7" s="1"/>
  <c r="A10" i="7" s="1"/>
  <c r="A11" i="7" s="1"/>
  <c r="A12" i="7" s="1"/>
  <c r="A13" i="7" s="1"/>
  <c r="H3" i="7"/>
  <c r="G3" i="7"/>
  <c r="F3" i="7"/>
  <c r="E3" i="7"/>
  <c r="D3" i="7"/>
  <c r="C3" i="7"/>
  <c r="A3" i="7"/>
  <c r="H2" i="7"/>
  <c r="G2" i="7"/>
  <c r="F2" i="7"/>
  <c r="E2" i="7"/>
  <c r="D2" i="7"/>
  <c r="C2" i="7"/>
  <c r="H92" i="30" l="1"/>
  <c r="G92" i="30"/>
  <c r="F92" i="30"/>
  <c r="E92" i="30"/>
  <c r="D92" i="30"/>
  <c r="C92" i="30"/>
  <c r="H91" i="30"/>
  <c r="G91" i="30"/>
  <c r="F91" i="30"/>
  <c r="E91" i="30"/>
  <c r="D91" i="30"/>
  <c r="C91" i="30"/>
  <c r="H90" i="30"/>
  <c r="G90" i="30"/>
  <c r="F90" i="30"/>
  <c r="E90" i="30"/>
  <c r="D90" i="30"/>
  <c r="C90" i="30"/>
  <c r="H89" i="30"/>
  <c r="G89" i="30"/>
  <c r="F89" i="30"/>
  <c r="E89" i="30"/>
  <c r="D89" i="30"/>
  <c r="C89" i="30"/>
  <c r="H88" i="30"/>
  <c r="G88" i="30"/>
  <c r="F88" i="30"/>
  <c r="E88" i="30"/>
  <c r="D88" i="30"/>
  <c r="C88" i="30"/>
  <c r="H87" i="30"/>
  <c r="G87" i="30"/>
  <c r="F87" i="30"/>
  <c r="E87" i="30"/>
  <c r="D87" i="30"/>
  <c r="C87" i="30"/>
  <c r="H86" i="30"/>
  <c r="G86" i="30"/>
  <c r="F86" i="30"/>
  <c r="E86" i="30"/>
  <c r="D86" i="30"/>
  <c r="C86" i="30"/>
  <c r="H85" i="30"/>
  <c r="G85" i="30"/>
  <c r="F85" i="30"/>
  <c r="E85" i="30"/>
  <c r="D85" i="30"/>
  <c r="C85" i="30"/>
  <c r="H84" i="30"/>
  <c r="G84" i="30"/>
  <c r="F84" i="30"/>
  <c r="E84" i="30"/>
  <c r="D84" i="30"/>
  <c r="C84" i="30"/>
  <c r="H83" i="30"/>
  <c r="G83" i="30"/>
  <c r="F83" i="30"/>
  <c r="E83" i="30"/>
  <c r="D83" i="30"/>
  <c r="C83" i="30"/>
  <c r="H82" i="30"/>
  <c r="G82" i="30"/>
  <c r="F82" i="30"/>
  <c r="E82" i="30"/>
  <c r="D82" i="30"/>
  <c r="C82" i="30"/>
  <c r="H81" i="30"/>
  <c r="G81" i="30"/>
  <c r="F81" i="30"/>
  <c r="E81" i="30"/>
  <c r="D81" i="30"/>
  <c r="C81" i="30"/>
  <c r="H80" i="30"/>
  <c r="G80" i="30"/>
  <c r="F80" i="30"/>
  <c r="E80" i="30"/>
  <c r="D80" i="30"/>
  <c r="C80" i="30"/>
  <c r="H79" i="30"/>
  <c r="G79" i="30"/>
  <c r="F79" i="30"/>
  <c r="E79" i="30"/>
  <c r="D79" i="30"/>
  <c r="C79" i="30"/>
  <c r="H78" i="30"/>
  <c r="G78" i="30"/>
  <c r="F78" i="30"/>
  <c r="E78" i="30"/>
  <c r="D78" i="30"/>
  <c r="C78" i="30"/>
  <c r="H77" i="30"/>
  <c r="G77" i="30"/>
  <c r="F77" i="30"/>
  <c r="E77" i="30"/>
  <c r="D77" i="30"/>
  <c r="C77" i="30"/>
  <c r="H76" i="30"/>
  <c r="G76" i="30"/>
  <c r="F76" i="30"/>
  <c r="E76" i="30"/>
  <c r="D76" i="30"/>
  <c r="C76" i="30"/>
  <c r="A76" i="30"/>
  <c r="A77" i="30" s="1"/>
  <c r="A78" i="30" s="1"/>
  <c r="A79" i="30" s="1"/>
  <c r="A80" i="30" s="1"/>
  <c r="A81" i="30" s="1"/>
  <c r="A82" i="30" s="1"/>
  <c r="A83" i="30" s="1"/>
  <c r="A84" i="30" s="1"/>
  <c r="A85" i="30" s="1"/>
  <c r="H75" i="30"/>
  <c r="G75" i="30"/>
  <c r="F75" i="30"/>
  <c r="E75" i="30"/>
  <c r="D75" i="30"/>
  <c r="C75" i="30"/>
  <c r="A75" i="30"/>
  <c r="H74" i="30"/>
  <c r="G74" i="30"/>
  <c r="F74" i="30"/>
  <c r="E74" i="30"/>
  <c r="D74" i="30"/>
  <c r="C74" i="30"/>
  <c r="H73" i="30"/>
  <c r="G73" i="30"/>
  <c r="F73" i="30"/>
  <c r="E73" i="30"/>
  <c r="D73" i="30"/>
  <c r="C73" i="30"/>
  <c r="H72" i="30"/>
  <c r="G72" i="30"/>
  <c r="F72" i="30"/>
  <c r="E72" i="30"/>
  <c r="D72" i="30"/>
  <c r="C72" i="30"/>
  <c r="H71" i="30"/>
  <c r="G71" i="30"/>
  <c r="F71" i="30"/>
  <c r="E71" i="30"/>
  <c r="D71" i="30"/>
  <c r="C71" i="30"/>
  <c r="H70" i="30"/>
  <c r="G70" i="30"/>
  <c r="F70" i="30"/>
  <c r="E70" i="30"/>
  <c r="D70" i="30"/>
  <c r="C70" i="30"/>
  <c r="H69" i="30"/>
  <c r="G69" i="30"/>
  <c r="F69" i="30"/>
  <c r="E69" i="30"/>
  <c r="D69" i="30"/>
  <c r="C69" i="30"/>
  <c r="H68" i="30"/>
  <c r="G68" i="30"/>
  <c r="F68" i="30"/>
  <c r="E68" i="30"/>
  <c r="D68" i="30"/>
  <c r="C68" i="30"/>
  <c r="H67" i="30"/>
  <c r="G67" i="30"/>
  <c r="F67" i="30"/>
  <c r="E67" i="30"/>
  <c r="D67" i="30"/>
  <c r="C67" i="30"/>
  <c r="H66" i="30"/>
  <c r="G66" i="30"/>
  <c r="F66" i="30"/>
  <c r="E66" i="30"/>
  <c r="D66" i="30"/>
  <c r="C66" i="30"/>
  <c r="H65" i="30"/>
  <c r="G65" i="30"/>
  <c r="F65" i="30"/>
  <c r="E65" i="30"/>
  <c r="D65" i="30"/>
  <c r="C65" i="30"/>
  <c r="H64" i="30"/>
  <c r="G64" i="30"/>
  <c r="F64" i="30"/>
  <c r="E64" i="30"/>
  <c r="D64" i="30"/>
  <c r="C64" i="30"/>
  <c r="H63" i="30"/>
  <c r="G63" i="30"/>
  <c r="F63" i="30"/>
  <c r="E63" i="30"/>
  <c r="D63" i="30"/>
  <c r="C63" i="30"/>
  <c r="A63" i="30"/>
  <c r="A64" i="30" s="1"/>
  <c r="A65" i="30" s="1"/>
  <c r="A66" i="30" s="1"/>
  <c r="A67" i="30" s="1"/>
  <c r="A68" i="30" s="1"/>
  <c r="A69" i="30" s="1"/>
  <c r="A70" i="30" s="1"/>
  <c r="A71" i="30" s="1"/>
  <c r="A72" i="30" s="1"/>
  <c r="A73" i="30" s="1"/>
  <c r="H62" i="30"/>
  <c r="G62" i="30"/>
  <c r="F62" i="30"/>
  <c r="E62" i="30"/>
  <c r="D62" i="30"/>
  <c r="C62" i="30"/>
  <c r="H61" i="30"/>
  <c r="G61" i="30"/>
  <c r="F61" i="30"/>
  <c r="E61" i="30"/>
  <c r="D61" i="30"/>
  <c r="C61" i="30"/>
  <c r="H60" i="30"/>
  <c r="G60" i="30"/>
  <c r="F60" i="30"/>
  <c r="E60" i="30"/>
  <c r="D60" i="30"/>
  <c r="C60" i="30"/>
  <c r="H59" i="30"/>
  <c r="G59" i="30"/>
  <c r="F59" i="30"/>
  <c r="E59" i="30"/>
  <c r="D59" i="30"/>
  <c r="C59" i="30"/>
  <c r="H58" i="30"/>
  <c r="G58" i="30"/>
  <c r="F58" i="30"/>
  <c r="E58" i="30"/>
  <c r="D58" i="30"/>
  <c r="C58" i="30"/>
  <c r="H57" i="30"/>
  <c r="G57" i="30"/>
  <c r="F57" i="30"/>
  <c r="E57" i="30"/>
  <c r="D57" i="30"/>
  <c r="C57" i="30"/>
  <c r="H56" i="30"/>
  <c r="G56" i="30"/>
  <c r="F56" i="30"/>
  <c r="E56" i="30"/>
  <c r="D56" i="30"/>
  <c r="C56" i="30"/>
  <c r="H55" i="30"/>
  <c r="G55" i="30"/>
  <c r="F55" i="30"/>
  <c r="E55" i="30"/>
  <c r="D55" i="30"/>
  <c r="C55" i="30"/>
  <c r="H54" i="30"/>
  <c r="G54" i="30"/>
  <c r="F54" i="30"/>
  <c r="E54" i="30"/>
  <c r="D54" i="30"/>
  <c r="C54" i="30"/>
  <c r="H53" i="30"/>
  <c r="G53" i="30"/>
  <c r="F53" i="30"/>
  <c r="E53" i="30"/>
  <c r="D53" i="30"/>
  <c r="C53" i="30"/>
  <c r="H52" i="30"/>
  <c r="G52" i="30"/>
  <c r="F52" i="30"/>
  <c r="E52" i="30"/>
  <c r="D52" i="30"/>
  <c r="C52" i="30"/>
  <c r="H51" i="30"/>
  <c r="G51" i="30"/>
  <c r="F51" i="30"/>
  <c r="E51" i="30"/>
  <c r="D51" i="30"/>
  <c r="C51" i="30"/>
  <c r="A51" i="30"/>
  <c r="A52" i="30" s="1"/>
  <c r="A53" i="30" s="1"/>
  <c r="A54" i="30" s="1"/>
  <c r="A55" i="30" s="1"/>
  <c r="A56" i="30" s="1"/>
  <c r="A57" i="30" s="1"/>
  <c r="A58" i="30" s="1"/>
  <c r="A59" i="30" s="1"/>
  <c r="A60" i="30" s="1"/>
  <c r="A61" i="30" s="1"/>
  <c r="H50" i="30"/>
  <c r="G50" i="30"/>
  <c r="F50" i="30"/>
  <c r="E50" i="30"/>
  <c r="D50" i="30"/>
  <c r="C50" i="30"/>
  <c r="H49" i="30"/>
  <c r="G49" i="30"/>
  <c r="F49" i="30"/>
  <c r="E49" i="30"/>
  <c r="D49" i="30"/>
  <c r="C49" i="30"/>
  <c r="H48" i="30"/>
  <c r="G48" i="30"/>
  <c r="F48" i="30"/>
  <c r="E48" i="30"/>
  <c r="D48" i="30"/>
  <c r="C48" i="30"/>
  <c r="H47" i="30"/>
  <c r="G47" i="30"/>
  <c r="F47" i="30"/>
  <c r="E47" i="30"/>
  <c r="D47" i="30"/>
  <c r="C47" i="30"/>
  <c r="H46" i="30"/>
  <c r="G46" i="30"/>
  <c r="F46" i="30"/>
  <c r="E46" i="30"/>
  <c r="D46" i="30"/>
  <c r="C46" i="30"/>
  <c r="H45" i="30"/>
  <c r="G45" i="30"/>
  <c r="F45" i="30"/>
  <c r="E45" i="30"/>
  <c r="D45" i="30"/>
  <c r="C45" i="30"/>
  <c r="H44" i="30"/>
  <c r="G44" i="30"/>
  <c r="F44" i="30"/>
  <c r="E44" i="30"/>
  <c r="D44" i="30"/>
  <c r="C44" i="30"/>
  <c r="H43" i="30"/>
  <c r="G43" i="30"/>
  <c r="F43" i="30"/>
  <c r="E43" i="30"/>
  <c r="D43" i="30"/>
  <c r="C43" i="30"/>
  <c r="H42" i="30"/>
  <c r="G42" i="30"/>
  <c r="F42" i="30"/>
  <c r="E42" i="30"/>
  <c r="D42" i="30"/>
  <c r="C42" i="30"/>
  <c r="H41" i="30"/>
  <c r="G41" i="30"/>
  <c r="F41" i="30"/>
  <c r="E41" i="30"/>
  <c r="D41" i="30"/>
  <c r="C41" i="30"/>
  <c r="H40" i="30"/>
  <c r="G40" i="30"/>
  <c r="F40" i="30"/>
  <c r="E40" i="30"/>
  <c r="D40" i="30"/>
  <c r="C40" i="30"/>
  <c r="H39" i="30"/>
  <c r="G39" i="30"/>
  <c r="F39" i="30"/>
  <c r="E39" i="30"/>
  <c r="D39" i="30"/>
  <c r="C39" i="30"/>
  <c r="A39" i="30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H38" i="30"/>
  <c r="G38" i="30"/>
  <c r="F38" i="30"/>
  <c r="E38" i="30"/>
  <c r="D38" i="30"/>
  <c r="C38" i="30"/>
  <c r="H37" i="30"/>
  <c r="G37" i="30"/>
  <c r="F37" i="30"/>
  <c r="E37" i="30"/>
  <c r="D37" i="30"/>
  <c r="C37" i="30"/>
  <c r="H36" i="30"/>
  <c r="G36" i="30"/>
  <c r="F36" i="30"/>
  <c r="E36" i="30"/>
  <c r="D36" i="30"/>
  <c r="C36" i="30"/>
  <c r="H35" i="30"/>
  <c r="G35" i="30"/>
  <c r="F35" i="30"/>
  <c r="E35" i="30"/>
  <c r="D35" i="30"/>
  <c r="C35" i="30"/>
  <c r="H34" i="30"/>
  <c r="G34" i="30"/>
  <c r="F34" i="30"/>
  <c r="E34" i="30"/>
  <c r="D34" i="30"/>
  <c r="C34" i="30"/>
  <c r="H33" i="30"/>
  <c r="G33" i="30"/>
  <c r="F33" i="30"/>
  <c r="E33" i="30"/>
  <c r="D33" i="30"/>
  <c r="C33" i="30"/>
  <c r="H32" i="30"/>
  <c r="G32" i="30"/>
  <c r="F32" i="30"/>
  <c r="E32" i="30"/>
  <c r="D32" i="30"/>
  <c r="C32" i="30"/>
  <c r="H31" i="30"/>
  <c r="G31" i="30"/>
  <c r="F31" i="30"/>
  <c r="E31" i="30"/>
  <c r="D31" i="30"/>
  <c r="C31" i="30"/>
  <c r="H30" i="30"/>
  <c r="G30" i="30"/>
  <c r="F30" i="30"/>
  <c r="E30" i="30"/>
  <c r="D30" i="30"/>
  <c r="C30" i="30"/>
  <c r="H29" i="30"/>
  <c r="G29" i="30"/>
  <c r="F29" i="30"/>
  <c r="E29" i="30"/>
  <c r="D29" i="30"/>
  <c r="C29" i="30"/>
  <c r="H28" i="30"/>
  <c r="G28" i="30"/>
  <c r="F28" i="30"/>
  <c r="E28" i="30"/>
  <c r="D28" i="30"/>
  <c r="C28" i="30"/>
  <c r="A28" i="30"/>
  <c r="A29" i="30" s="1"/>
  <c r="A30" i="30" s="1"/>
  <c r="A31" i="30" s="1"/>
  <c r="A32" i="30" s="1"/>
  <c r="A33" i="30" s="1"/>
  <c r="A34" i="30" s="1"/>
  <c r="A35" i="30" s="1"/>
  <c r="A36" i="30" s="1"/>
  <c r="A37" i="30" s="1"/>
  <c r="H27" i="30"/>
  <c r="G27" i="30"/>
  <c r="F27" i="30"/>
  <c r="E27" i="30"/>
  <c r="D27" i="30"/>
  <c r="C27" i="30"/>
  <c r="A27" i="30"/>
  <c r="H26" i="30"/>
  <c r="G26" i="30"/>
  <c r="F26" i="30"/>
  <c r="E26" i="30"/>
  <c r="D26" i="30"/>
  <c r="C26" i="30"/>
  <c r="H25" i="30"/>
  <c r="G25" i="30"/>
  <c r="F25" i="30"/>
  <c r="E25" i="30"/>
  <c r="D25" i="30"/>
  <c r="C25" i="30"/>
  <c r="H24" i="30"/>
  <c r="G24" i="30"/>
  <c r="F24" i="30"/>
  <c r="E24" i="30"/>
  <c r="D24" i="30"/>
  <c r="C24" i="30"/>
  <c r="H23" i="30"/>
  <c r="G23" i="30"/>
  <c r="F23" i="30"/>
  <c r="E23" i="30"/>
  <c r="D23" i="30"/>
  <c r="C23" i="30"/>
  <c r="H22" i="30"/>
  <c r="G22" i="30"/>
  <c r="F22" i="30"/>
  <c r="E22" i="30"/>
  <c r="D22" i="30"/>
  <c r="C22" i="30"/>
  <c r="H21" i="30"/>
  <c r="G21" i="30"/>
  <c r="F21" i="30"/>
  <c r="E21" i="30"/>
  <c r="D21" i="30"/>
  <c r="C21" i="30"/>
  <c r="H20" i="30"/>
  <c r="G20" i="30"/>
  <c r="F20" i="30"/>
  <c r="E20" i="30"/>
  <c r="D20" i="30"/>
  <c r="C20" i="30"/>
  <c r="H19" i="30"/>
  <c r="G19" i="30"/>
  <c r="F19" i="30"/>
  <c r="E19" i="30"/>
  <c r="D19" i="30"/>
  <c r="C19" i="30"/>
  <c r="H18" i="30"/>
  <c r="G18" i="30"/>
  <c r="F18" i="30"/>
  <c r="E18" i="30"/>
  <c r="D18" i="30"/>
  <c r="C18" i="30"/>
  <c r="H17" i="30"/>
  <c r="G17" i="30"/>
  <c r="F17" i="30"/>
  <c r="E17" i="30"/>
  <c r="D17" i="30"/>
  <c r="C17" i="30"/>
  <c r="H16" i="30"/>
  <c r="G16" i="30"/>
  <c r="F16" i="30"/>
  <c r="E16" i="30"/>
  <c r="D16" i="30"/>
  <c r="C16" i="30"/>
  <c r="H15" i="30"/>
  <c r="G15" i="30"/>
  <c r="F15" i="30"/>
  <c r="E15" i="30"/>
  <c r="D15" i="30"/>
  <c r="C15" i="30"/>
  <c r="A15" i="30"/>
  <c r="A16" i="30" s="1"/>
  <c r="A17" i="30" s="1"/>
  <c r="A18" i="30" s="1"/>
  <c r="A19" i="30" s="1"/>
  <c r="A20" i="30" s="1"/>
  <c r="A21" i="30" s="1"/>
  <c r="A22" i="30" s="1"/>
  <c r="A23" i="30" s="1"/>
  <c r="A24" i="30" s="1"/>
  <c r="A25" i="30" s="1"/>
  <c r="H14" i="30"/>
  <c r="G14" i="30"/>
  <c r="F14" i="30"/>
  <c r="E14" i="30"/>
  <c r="D14" i="30"/>
  <c r="C14" i="30"/>
  <c r="H13" i="30"/>
  <c r="G13" i="30"/>
  <c r="F13" i="30"/>
  <c r="E13" i="30"/>
  <c r="D13" i="30"/>
  <c r="C13" i="30"/>
  <c r="H12" i="30"/>
  <c r="G12" i="30"/>
  <c r="F12" i="30"/>
  <c r="E12" i="30"/>
  <c r="D12" i="30"/>
  <c r="C12" i="30"/>
  <c r="H11" i="30"/>
  <c r="G11" i="30"/>
  <c r="F11" i="30"/>
  <c r="E11" i="30"/>
  <c r="D11" i="30"/>
  <c r="C11" i="30"/>
  <c r="H10" i="30"/>
  <c r="G10" i="30"/>
  <c r="F10" i="30"/>
  <c r="E10" i="30"/>
  <c r="D10" i="30"/>
  <c r="C10" i="30"/>
  <c r="H9" i="30"/>
  <c r="G9" i="30"/>
  <c r="F9" i="30"/>
  <c r="E9" i="30"/>
  <c r="D9" i="30"/>
  <c r="C9" i="30"/>
  <c r="H8" i="30"/>
  <c r="G8" i="30"/>
  <c r="F8" i="30"/>
  <c r="E8" i="30"/>
  <c r="D8" i="30"/>
  <c r="C8" i="30"/>
  <c r="H7" i="30"/>
  <c r="G7" i="30"/>
  <c r="F7" i="30"/>
  <c r="E7" i="30"/>
  <c r="D7" i="30"/>
  <c r="C7" i="30"/>
  <c r="H6" i="30"/>
  <c r="G6" i="30"/>
  <c r="F6" i="30"/>
  <c r="E6" i="30"/>
  <c r="D6" i="30"/>
  <c r="C6" i="30"/>
  <c r="H5" i="30"/>
  <c r="G5" i="30"/>
  <c r="F5" i="30"/>
  <c r="E5" i="30"/>
  <c r="D5" i="30"/>
  <c r="C5" i="30"/>
  <c r="H4" i="30"/>
  <c r="G4" i="30"/>
  <c r="F4" i="30"/>
  <c r="E4" i="30"/>
  <c r="D4" i="30"/>
  <c r="C4" i="30"/>
  <c r="A4" i="30"/>
  <c r="A5" i="30" s="1"/>
  <c r="A6" i="30" s="1"/>
  <c r="A7" i="30" s="1"/>
  <c r="A8" i="30" s="1"/>
  <c r="A9" i="30" s="1"/>
  <c r="A10" i="30" s="1"/>
  <c r="A11" i="30" s="1"/>
  <c r="A12" i="30" s="1"/>
  <c r="A13" i="30" s="1"/>
  <c r="H3" i="30"/>
  <c r="G3" i="30"/>
  <c r="F3" i="30"/>
  <c r="E3" i="30"/>
  <c r="D3" i="30"/>
  <c r="C3" i="30"/>
  <c r="A3" i="30"/>
  <c r="H2" i="30"/>
  <c r="G2" i="30"/>
  <c r="F2" i="30"/>
  <c r="E2" i="30"/>
  <c r="D2" i="30"/>
  <c r="C2" i="30"/>
  <c r="H92" i="29"/>
  <c r="G92" i="29"/>
  <c r="F92" i="29"/>
  <c r="E92" i="29"/>
  <c r="D92" i="29"/>
  <c r="C92" i="29"/>
  <c r="H91" i="29"/>
  <c r="G91" i="29"/>
  <c r="F91" i="29"/>
  <c r="E91" i="29"/>
  <c r="D91" i="29"/>
  <c r="C91" i="29"/>
  <c r="H90" i="29"/>
  <c r="G90" i="29"/>
  <c r="F90" i="29"/>
  <c r="E90" i="29"/>
  <c r="D90" i="29"/>
  <c r="C90" i="29"/>
  <c r="H89" i="29"/>
  <c r="G89" i="29"/>
  <c r="F89" i="29"/>
  <c r="E89" i="29"/>
  <c r="D89" i="29"/>
  <c r="C89" i="29"/>
  <c r="H88" i="29"/>
  <c r="G88" i="29"/>
  <c r="F88" i="29"/>
  <c r="E88" i="29"/>
  <c r="D88" i="29"/>
  <c r="C88" i="29"/>
  <c r="H87" i="29"/>
  <c r="G87" i="29"/>
  <c r="F87" i="29"/>
  <c r="E87" i="29"/>
  <c r="D87" i="29"/>
  <c r="C87" i="29"/>
  <c r="H86" i="29"/>
  <c r="G86" i="29"/>
  <c r="F86" i="29"/>
  <c r="E86" i="29"/>
  <c r="D86" i="29"/>
  <c r="C86" i="29"/>
  <c r="H85" i="29"/>
  <c r="G85" i="29"/>
  <c r="F85" i="29"/>
  <c r="E85" i="29"/>
  <c r="D85" i="29"/>
  <c r="C85" i="29"/>
  <c r="H84" i="29"/>
  <c r="G84" i="29"/>
  <c r="F84" i="29"/>
  <c r="E84" i="29"/>
  <c r="D84" i="29"/>
  <c r="C84" i="29"/>
  <c r="H83" i="29"/>
  <c r="G83" i="29"/>
  <c r="F83" i="29"/>
  <c r="E83" i="29"/>
  <c r="D83" i="29"/>
  <c r="C83" i="29"/>
  <c r="H82" i="29"/>
  <c r="G82" i="29"/>
  <c r="F82" i="29"/>
  <c r="E82" i="29"/>
  <c r="D82" i="29"/>
  <c r="C82" i="29"/>
  <c r="H81" i="29"/>
  <c r="G81" i="29"/>
  <c r="F81" i="29"/>
  <c r="E81" i="29"/>
  <c r="D81" i="29"/>
  <c r="C81" i="29"/>
  <c r="H80" i="29"/>
  <c r="G80" i="29"/>
  <c r="F80" i="29"/>
  <c r="E80" i="29"/>
  <c r="D80" i="29"/>
  <c r="C80" i="29"/>
  <c r="H79" i="29"/>
  <c r="G79" i="29"/>
  <c r="F79" i="29"/>
  <c r="E79" i="29"/>
  <c r="D79" i="29"/>
  <c r="C79" i="29"/>
  <c r="H78" i="29"/>
  <c r="G78" i="29"/>
  <c r="F78" i="29"/>
  <c r="E78" i="29"/>
  <c r="D78" i="29"/>
  <c r="C78" i="29"/>
  <c r="H77" i="29"/>
  <c r="G77" i="29"/>
  <c r="F77" i="29"/>
  <c r="E77" i="29"/>
  <c r="D77" i="29"/>
  <c r="C77" i="29"/>
  <c r="H76" i="29"/>
  <c r="G76" i="29"/>
  <c r="F76" i="29"/>
  <c r="E76" i="29"/>
  <c r="D76" i="29"/>
  <c r="C76" i="29"/>
  <c r="A76" i="29"/>
  <c r="A77" i="29" s="1"/>
  <c r="A78" i="29" s="1"/>
  <c r="A79" i="29" s="1"/>
  <c r="A80" i="29" s="1"/>
  <c r="A81" i="29" s="1"/>
  <c r="A82" i="29" s="1"/>
  <c r="A83" i="29" s="1"/>
  <c r="A84" i="29" s="1"/>
  <c r="A85" i="29" s="1"/>
  <c r="H75" i="29"/>
  <c r="G75" i="29"/>
  <c r="F75" i="29"/>
  <c r="E75" i="29"/>
  <c r="D75" i="29"/>
  <c r="C75" i="29"/>
  <c r="A75" i="29"/>
  <c r="H74" i="29"/>
  <c r="G74" i="29"/>
  <c r="F74" i="29"/>
  <c r="E74" i="29"/>
  <c r="D74" i="29"/>
  <c r="C74" i="29"/>
  <c r="H73" i="29"/>
  <c r="G73" i="29"/>
  <c r="F73" i="29"/>
  <c r="E73" i="29"/>
  <c r="D73" i="29"/>
  <c r="C73" i="29"/>
  <c r="H72" i="29"/>
  <c r="G72" i="29"/>
  <c r="F72" i="29"/>
  <c r="E72" i="29"/>
  <c r="D72" i="29"/>
  <c r="C72" i="29"/>
  <c r="H71" i="29"/>
  <c r="G71" i="29"/>
  <c r="F71" i="29"/>
  <c r="E71" i="29"/>
  <c r="D71" i="29"/>
  <c r="C71" i="29"/>
  <c r="H70" i="29"/>
  <c r="G70" i="29"/>
  <c r="F70" i="29"/>
  <c r="E70" i="29"/>
  <c r="D70" i="29"/>
  <c r="C70" i="29"/>
  <c r="H69" i="29"/>
  <c r="G69" i="29"/>
  <c r="F69" i="29"/>
  <c r="E69" i="29"/>
  <c r="D69" i="29"/>
  <c r="C69" i="29"/>
  <c r="H68" i="29"/>
  <c r="G68" i="29"/>
  <c r="F68" i="29"/>
  <c r="E68" i="29"/>
  <c r="D68" i="29"/>
  <c r="C68" i="29"/>
  <c r="H67" i="29"/>
  <c r="G67" i="29"/>
  <c r="F67" i="29"/>
  <c r="E67" i="29"/>
  <c r="D67" i="29"/>
  <c r="C67" i="29"/>
  <c r="H66" i="29"/>
  <c r="G66" i="29"/>
  <c r="F66" i="29"/>
  <c r="E66" i="29"/>
  <c r="D66" i="29"/>
  <c r="C66" i="29"/>
  <c r="H65" i="29"/>
  <c r="G65" i="29"/>
  <c r="F65" i="29"/>
  <c r="E65" i="29"/>
  <c r="D65" i="29"/>
  <c r="C65" i="29"/>
  <c r="H64" i="29"/>
  <c r="G64" i="29"/>
  <c r="F64" i="29"/>
  <c r="E64" i="29"/>
  <c r="D64" i="29"/>
  <c r="C64" i="29"/>
  <c r="H63" i="29"/>
  <c r="G63" i="29"/>
  <c r="F63" i="29"/>
  <c r="E63" i="29"/>
  <c r="D63" i="29"/>
  <c r="C63" i="29"/>
  <c r="A63" i="29"/>
  <c r="A64" i="29" s="1"/>
  <c r="A65" i="29" s="1"/>
  <c r="A66" i="29" s="1"/>
  <c r="A67" i="29" s="1"/>
  <c r="A68" i="29" s="1"/>
  <c r="A69" i="29" s="1"/>
  <c r="A70" i="29" s="1"/>
  <c r="A71" i="29" s="1"/>
  <c r="A72" i="29" s="1"/>
  <c r="A73" i="29" s="1"/>
  <c r="H62" i="29"/>
  <c r="G62" i="29"/>
  <c r="F62" i="29"/>
  <c r="E62" i="29"/>
  <c r="D62" i="29"/>
  <c r="C62" i="29"/>
  <c r="H61" i="29"/>
  <c r="G61" i="29"/>
  <c r="F61" i="29"/>
  <c r="E61" i="29"/>
  <c r="D61" i="29"/>
  <c r="C61" i="29"/>
  <c r="H60" i="29"/>
  <c r="G60" i="29"/>
  <c r="F60" i="29"/>
  <c r="E60" i="29"/>
  <c r="D60" i="29"/>
  <c r="C60" i="29"/>
  <c r="H59" i="29"/>
  <c r="G59" i="29"/>
  <c r="F59" i="29"/>
  <c r="E59" i="29"/>
  <c r="D59" i="29"/>
  <c r="C59" i="29"/>
  <c r="H58" i="29"/>
  <c r="G58" i="29"/>
  <c r="F58" i="29"/>
  <c r="E58" i="29"/>
  <c r="D58" i="29"/>
  <c r="C58" i="29"/>
  <c r="H57" i="29"/>
  <c r="G57" i="29"/>
  <c r="F57" i="29"/>
  <c r="E57" i="29"/>
  <c r="D57" i="29"/>
  <c r="C57" i="29"/>
  <c r="H56" i="29"/>
  <c r="G56" i="29"/>
  <c r="F56" i="29"/>
  <c r="E56" i="29"/>
  <c r="D56" i="29"/>
  <c r="C56" i="29"/>
  <c r="H55" i="29"/>
  <c r="G55" i="29"/>
  <c r="F55" i="29"/>
  <c r="E55" i="29"/>
  <c r="D55" i="29"/>
  <c r="C55" i="29"/>
  <c r="H54" i="29"/>
  <c r="G54" i="29"/>
  <c r="F54" i="29"/>
  <c r="E54" i="29"/>
  <c r="D54" i="29"/>
  <c r="C54" i="29"/>
  <c r="H53" i="29"/>
  <c r="G53" i="29"/>
  <c r="F53" i="29"/>
  <c r="E53" i="29"/>
  <c r="D53" i="29"/>
  <c r="C53" i="29"/>
  <c r="H52" i="29"/>
  <c r="G52" i="29"/>
  <c r="F52" i="29"/>
  <c r="E52" i="29"/>
  <c r="D52" i="29"/>
  <c r="C52" i="29"/>
  <c r="A52" i="29"/>
  <c r="A53" i="29" s="1"/>
  <c r="A54" i="29" s="1"/>
  <c r="A55" i="29" s="1"/>
  <c r="A56" i="29" s="1"/>
  <c r="A57" i="29" s="1"/>
  <c r="A58" i="29" s="1"/>
  <c r="A59" i="29" s="1"/>
  <c r="A60" i="29" s="1"/>
  <c r="A61" i="29" s="1"/>
  <c r="H51" i="29"/>
  <c r="G51" i="29"/>
  <c r="F51" i="29"/>
  <c r="E51" i="29"/>
  <c r="D51" i="29"/>
  <c r="C51" i="29"/>
  <c r="A51" i="29"/>
  <c r="H50" i="29"/>
  <c r="G50" i="29"/>
  <c r="F50" i="29"/>
  <c r="E50" i="29"/>
  <c r="D50" i="29"/>
  <c r="C50" i="29"/>
  <c r="H49" i="29"/>
  <c r="G49" i="29"/>
  <c r="F49" i="29"/>
  <c r="E49" i="29"/>
  <c r="D49" i="29"/>
  <c r="C49" i="29"/>
  <c r="H48" i="29"/>
  <c r="G48" i="29"/>
  <c r="F48" i="29"/>
  <c r="E48" i="29"/>
  <c r="D48" i="29"/>
  <c r="C48" i="29"/>
  <c r="H47" i="29"/>
  <c r="G47" i="29"/>
  <c r="F47" i="29"/>
  <c r="E47" i="29"/>
  <c r="D47" i="29"/>
  <c r="C47" i="29"/>
  <c r="H46" i="29"/>
  <c r="G46" i="29"/>
  <c r="F46" i="29"/>
  <c r="E46" i="29"/>
  <c r="D46" i="29"/>
  <c r="C46" i="29"/>
  <c r="H45" i="29"/>
  <c r="G45" i="29"/>
  <c r="F45" i="29"/>
  <c r="E45" i="29"/>
  <c r="D45" i="29"/>
  <c r="C45" i="29"/>
  <c r="H44" i="29"/>
  <c r="G44" i="29"/>
  <c r="F44" i="29"/>
  <c r="E44" i="29"/>
  <c r="D44" i="29"/>
  <c r="C44" i="29"/>
  <c r="H43" i="29"/>
  <c r="G43" i="29"/>
  <c r="F43" i="29"/>
  <c r="E43" i="29"/>
  <c r="D43" i="29"/>
  <c r="C43" i="29"/>
  <c r="H42" i="29"/>
  <c r="G42" i="29"/>
  <c r="F42" i="29"/>
  <c r="E42" i="29"/>
  <c r="D42" i="29"/>
  <c r="C42" i="29"/>
  <c r="H41" i="29"/>
  <c r="G41" i="29"/>
  <c r="F41" i="29"/>
  <c r="E41" i="29"/>
  <c r="D41" i="29"/>
  <c r="C41" i="29"/>
  <c r="H40" i="29"/>
  <c r="G40" i="29"/>
  <c r="F40" i="29"/>
  <c r="E40" i="29"/>
  <c r="D40" i="29"/>
  <c r="C40" i="29"/>
  <c r="H39" i="29"/>
  <c r="G39" i="29"/>
  <c r="F39" i="29"/>
  <c r="E39" i="29"/>
  <c r="D39" i="29"/>
  <c r="C39" i="29"/>
  <c r="A39" i="29"/>
  <c r="A40" i="29" s="1"/>
  <c r="A41" i="29" s="1"/>
  <c r="A42" i="29" s="1"/>
  <c r="A43" i="29" s="1"/>
  <c r="A44" i="29" s="1"/>
  <c r="A45" i="29" s="1"/>
  <c r="A46" i="29" s="1"/>
  <c r="A47" i="29" s="1"/>
  <c r="A48" i="29" s="1"/>
  <c r="A49" i="29" s="1"/>
  <c r="H38" i="29"/>
  <c r="G38" i="29"/>
  <c r="F38" i="29"/>
  <c r="E38" i="29"/>
  <c r="D38" i="29"/>
  <c r="C38" i="29"/>
  <c r="H37" i="29"/>
  <c r="G37" i="29"/>
  <c r="F37" i="29"/>
  <c r="E37" i="29"/>
  <c r="D37" i="29"/>
  <c r="C37" i="29"/>
  <c r="H36" i="29"/>
  <c r="G36" i="29"/>
  <c r="F36" i="29"/>
  <c r="E36" i="29"/>
  <c r="D36" i="29"/>
  <c r="C36" i="29"/>
  <c r="H35" i="29"/>
  <c r="G35" i="29"/>
  <c r="F35" i="29"/>
  <c r="E35" i="29"/>
  <c r="D35" i="29"/>
  <c r="C35" i="29"/>
  <c r="H34" i="29"/>
  <c r="G34" i="29"/>
  <c r="F34" i="29"/>
  <c r="E34" i="29"/>
  <c r="D34" i="29"/>
  <c r="C34" i="29"/>
  <c r="H33" i="29"/>
  <c r="G33" i="29"/>
  <c r="F33" i="29"/>
  <c r="E33" i="29"/>
  <c r="D33" i="29"/>
  <c r="C33" i="29"/>
  <c r="H32" i="29"/>
  <c r="G32" i="29"/>
  <c r="F32" i="29"/>
  <c r="E32" i="29"/>
  <c r="D32" i="29"/>
  <c r="C32" i="29"/>
  <c r="H31" i="29"/>
  <c r="G31" i="29"/>
  <c r="F31" i="29"/>
  <c r="E31" i="29"/>
  <c r="D31" i="29"/>
  <c r="C31" i="29"/>
  <c r="H30" i="29"/>
  <c r="G30" i="29"/>
  <c r="F30" i="29"/>
  <c r="E30" i="29"/>
  <c r="D30" i="29"/>
  <c r="C30" i="29"/>
  <c r="H29" i="29"/>
  <c r="G29" i="29"/>
  <c r="F29" i="29"/>
  <c r="E29" i="29"/>
  <c r="D29" i="29"/>
  <c r="C29" i="29"/>
  <c r="H28" i="29"/>
  <c r="G28" i="29"/>
  <c r="F28" i="29"/>
  <c r="E28" i="29"/>
  <c r="D28" i="29"/>
  <c r="C28" i="29"/>
  <c r="A28" i="29"/>
  <c r="A29" i="29" s="1"/>
  <c r="A30" i="29" s="1"/>
  <c r="A31" i="29" s="1"/>
  <c r="A32" i="29" s="1"/>
  <c r="A33" i="29" s="1"/>
  <c r="A34" i="29" s="1"/>
  <c r="A35" i="29" s="1"/>
  <c r="A36" i="29" s="1"/>
  <c r="A37" i="29" s="1"/>
  <c r="H27" i="29"/>
  <c r="G27" i="29"/>
  <c r="F27" i="29"/>
  <c r="E27" i="29"/>
  <c r="D27" i="29"/>
  <c r="C27" i="29"/>
  <c r="A27" i="29"/>
  <c r="H26" i="29"/>
  <c r="G26" i="29"/>
  <c r="F26" i="29"/>
  <c r="E26" i="29"/>
  <c r="D26" i="29"/>
  <c r="C26" i="29"/>
  <c r="H25" i="29"/>
  <c r="G25" i="29"/>
  <c r="F25" i="29"/>
  <c r="E25" i="29"/>
  <c r="D25" i="29"/>
  <c r="C25" i="29"/>
  <c r="H24" i="29"/>
  <c r="G24" i="29"/>
  <c r="F24" i="29"/>
  <c r="E24" i="29"/>
  <c r="D24" i="29"/>
  <c r="C24" i="29"/>
  <c r="H23" i="29"/>
  <c r="G23" i="29"/>
  <c r="F23" i="29"/>
  <c r="E23" i="29"/>
  <c r="D23" i="29"/>
  <c r="C23" i="29"/>
  <c r="H22" i="29"/>
  <c r="G22" i="29"/>
  <c r="F22" i="29"/>
  <c r="E22" i="29"/>
  <c r="D22" i="29"/>
  <c r="C22" i="29"/>
  <c r="H21" i="29"/>
  <c r="G21" i="29"/>
  <c r="F21" i="29"/>
  <c r="E21" i="29"/>
  <c r="D21" i="29"/>
  <c r="C21" i="29"/>
  <c r="H20" i="29"/>
  <c r="G20" i="29"/>
  <c r="F20" i="29"/>
  <c r="E20" i="29"/>
  <c r="D20" i="29"/>
  <c r="C20" i="29"/>
  <c r="H19" i="29"/>
  <c r="G19" i="29"/>
  <c r="F19" i="29"/>
  <c r="E19" i="29"/>
  <c r="D19" i="29"/>
  <c r="C19" i="29"/>
  <c r="H18" i="29"/>
  <c r="G18" i="29"/>
  <c r="F18" i="29"/>
  <c r="E18" i="29"/>
  <c r="D18" i="29"/>
  <c r="C18" i="29"/>
  <c r="H17" i="29"/>
  <c r="G17" i="29"/>
  <c r="F17" i="29"/>
  <c r="E17" i="29"/>
  <c r="D17" i="29"/>
  <c r="C17" i="29"/>
  <c r="H16" i="29"/>
  <c r="G16" i="29"/>
  <c r="F16" i="29"/>
  <c r="E16" i="29"/>
  <c r="D16" i="29"/>
  <c r="C16" i="29"/>
  <c r="H15" i="29"/>
  <c r="G15" i="29"/>
  <c r="F15" i="29"/>
  <c r="E15" i="29"/>
  <c r="D15" i="29"/>
  <c r="C15" i="29"/>
  <c r="A15" i="29"/>
  <c r="A16" i="29" s="1"/>
  <c r="A17" i="29" s="1"/>
  <c r="A18" i="29" s="1"/>
  <c r="A19" i="29" s="1"/>
  <c r="A20" i="29" s="1"/>
  <c r="A21" i="29" s="1"/>
  <c r="A22" i="29" s="1"/>
  <c r="A23" i="29" s="1"/>
  <c r="A24" i="29" s="1"/>
  <c r="A25" i="29" s="1"/>
  <c r="H14" i="29"/>
  <c r="G14" i="29"/>
  <c r="F14" i="29"/>
  <c r="E14" i="29"/>
  <c r="D14" i="29"/>
  <c r="C14" i="29"/>
  <c r="H13" i="29"/>
  <c r="G13" i="29"/>
  <c r="F13" i="29"/>
  <c r="E13" i="29"/>
  <c r="D13" i="29"/>
  <c r="C13" i="29"/>
  <c r="H12" i="29"/>
  <c r="G12" i="29"/>
  <c r="F12" i="29"/>
  <c r="E12" i="29"/>
  <c r="D12" i="29"/>
  <c r="C12" i="29"/>
  <c r="H11" i="29"/>
  <c r="G11" i="29"/>
  <c r="F11" i="29"/>
  <c r="E11" i="29"/>
  <c r="D11" i="29"/>
  <c r="C11" i="29"/>
  <c r="H10" i="29"/>
  <c r="G10" i="29"/>
  <c r="F10" i="29"/>
  <c r="E10" i="29"/>
  <c r="D10" i="29"/>
  <c r="C10" i="29"/>
  <c r="H9" i="29"/>
  <c r="G9" i="29"/>
  <c r="F9" i="29"/>
  <c r="E9" i="29"/>
  <c r="D9" i="29"/>
  <c r="C9" i="29"/>
  <c r="H8" i="29"/>
  <c r="G8" i="29"/>
  <c r="F8" i="29"/>
  <c r="E8" i="29"/>
  <c r="D8" i="29"/>
  <c r="C8" i="29"/>
  <c r="H7" i="29"/>
  <c r="G7" i="29"/>
  <c r="F7" i="29"/>
  <c r="E7" i="29"/>
  <c r="D7" i="29"/>
  <c r="C7" i="29"/>
  <c r="H6" i="29"/>
  <c r="G6" i="29"/>
  <c r="F6" i="29"/>
  <c r="E6" i="29"/>
  <c r="D6" i="29"/>
  <c r="C6" i="29"/>
  <c r="H5" i="29"/>
  <c r="G5" i="29"/>
  <c r="F5" i="29"/>
  <c r="E5" i="29"/>
  <c r="D5" i="29"/>
  <c r="C5" i="29"/>
  <c r="H4" i="29"/>
  <c r="G4" i="29"/>
  <c r="F4" i="29"/>
  <c r="E4" i="29"/>
  <c r="D4" i="29"/>
  <c r="C4" i="29"/>
  <c r="A4" i="29"/>
  <c r="A5" i="29" s="1"/>
  <c r="A6" i="29" s="1"/>
  <c r="A7" i="29" s="1"/>
  <c r="A8" i="29" s="1"/>
  <c r="A9" i="29" s="1"/>
  <c r="A10" i="29" s="1"/>
  <c r="A11" i="29" s="1"/>
  <c r="A12" i="29" s="1"/>
  <c r="A13" i="29" s="1"/>
  <c r="H3" i="29"/>
  <c r="G3" i="29"/>
  <c r="F3" i="29"/>
  <c r="E3" i="29"/>
  <c r="D3" i="29"/>
  <c r="C3" i="29"/>
  <c r="A3" i="29"/>
  <c r="H2" i="29"/>
  <c r="G2" i="29"/>
  <c r="F2" i="29"/>
  <c r="E2" i="29"/>
  <c r="D2" i="29"/>
  <c r="C2" i="29"/>
  <c r="H93" i="13" l="1"/>
  <c r="G93" i="13"/>
  <c r="F93" i="13"/>
  <c r="E93" i="13"/>
  <c r="D93" i="13"/>
  <c r="C93" i="13"/>
  <c r="H92" i="13"/>
  <c r="G92" i="13"/>
  <c r="F92" i="13"/>
  <c r="E92" i="13"/>
  <c r="D92" i="13"/>
  <c r="C92" i="13"/>
  <c r="H91" i="13"/>
  <c r="G91" i="13"/>
  <c r="F91" i="13"/>
  <c r="E91" i="13"/>
  <c r="D91" i="13"/>
  <c r="C91" i="13"/>
  <c r="H90" i="13"/>
  <c r="G90" i="13"/>
  <c r="F90" i="13"/>
  <c r="E90" i="13"/>
  <c r="D90" i="13"/>
  <c r="C90" i="13"/>
  <c r="H89" i="13"/>
  <c r="G89" i="13"/>
  <c r="F89" i="13"/>
  <c r="E89" i="13"/>
  <c r="D89" i="13"/>
  <c r="C89" i="13"/>
  <c r="H88" i="13"/>
  <c r="G88" i="13"/>
  <c r="F88" i="13"/>
  <c r="E88" i="13"/>
  <c r="D88" i="13"/>
  <c r="C88" i="13"/>
  <c r="H87" i="13"/>
  <c r="G87" i="13"/>
  <c r="F87" i="13"/>
  <c r="E87" i="13"/>
  <c r="D87" i="13"/>
  <c r="C87" i="13"/>
  <c r="H86" i="13"/>
  <c r="G86" i="13"/>
  <c r="F86" i="13"/>
  <c r="E86" i="13"/>
  <c r="D86" i="13"/>
  <c r="C86" i="13"/>
  <c r="H85" i="13"/>
  <c r="G85" i="13"/>
  <c r="F85" i="13"/>
  <c r="E85" i="13"/>
  <c r="D85" i="13"/>
  <c r="C85" i="13"/>
  <c r="H84" i="13"/>
  <c r="G84" i="13"/>
  <c r="F84" i="13"/>
  <c r="E84" i="13"/>
  <c r="D84" i="13"/>
  <c r="C84" i="13"/>
  <c r="H83" i="13"/>
  <c r="G83" i="13"/>
  <c r="F83" i="13"/>
  <c r="E83" i="13"/>
  <c r="D83" i="13"/>
  <c r="C83" i="13"/>
  <c r="H82" i="13"/>
  <c r="G82" i="13"/>
  <c r="F82" i="13"/>
  <c r="E82" i="13"/>
  <c r="D82" i="13"/>
  <c r="C82" i="13"/>
  <c r="H81" i="13"/>
  <c r="G81" i="13"/>
  <c r="F81" i="13"/>
  <c r="E81" i="13"/>
  <c r="D81" i="13"/>
  <c r="C81" i="13"/>
  <c r="H80" i="13"/>
  <c r="G80" i="13"/>
  <c r="F80" i="13"/>
  <c r="E80" i="13"/>
  <c r="D80" i="13"/>
  <c r="C80" i="13"/>
  <c r="H79" i="13"/>
  <c r="G79" i="13"/>
  <c r="F79" i="13"/>
  <c r="E79" i="13"/>
  <c r="D79" i="13"/>
  <c r="C79" i="13"/>
  <c r="H78" i="13"/>
  <c r="G78" i="13"/>
  <c r="F78" i="13"/>
  <c r="E78" i="13"/>
  <c r="D78" i="13"/>
  <c r="C78" i="13"/>
  <c r="H77" i="13"/>
  <c r="G77" i="13"/>
  <c r="F77" i="13"/>
  <c r="E77" i="13"/>
  <c r="D77" i="13"/>
  <c r="C77" i="13"/>
  <c r="H76" i="13"/>
  <c r="G76" i="13"/>
  <c r="F76" i="13"/>
  <c r="E76" i="13"/>
  <c r="D76" i="13"/>
  <c r="C76" i="13"/>
  <c r="A76" i="13"/>
  <c r="A77" i="13" s="1"/>
  <c r="A78" i="13" s="1"/>
  <c r="A79" i="13" s="1"/>
  <c r="A80" i="13" s="1"/>
  <c r="A81" i="13" s="1"/>
  <c r="A82" i="13" s="1"/>
  <c r="A83" i="13" s="1"/>
  <c r="A84" i="13" s="1"/>
  <c r="A85" i="13" s="1"/>
  <c r="H75" i="13"/>
  <c r="G75" i="13"/>
  <c r="F75" i="13"/>
  <c r="E75" i="13"/>
  <c r="D75" i="13"/>
  <c r="C75" i="13"/>
  <c r="A75" i="13"/>
  <c r="H74" i="13"/>
  <c r="G74" i="13"/>
  <c r="F74" i="13"/>
  <c r="E74" i="13"/>
  <c r="D74" i="13"/>
  <c r="C74" i="13"/>
  <c r="H73" i="13"/>
  <c r="G73" i="13"/>
  <c r="F73" i="13"/>
  <c r="E73" i="13"/>
  <c r="D73" i="13"/>
  <c r="C73" i="13"/>
  <c r="H72" i="13"/>
  <c r="G72" i="13"/>
  <c r="F72" i="13"/>
  <c r="E72" i="13"/>
  <c r="D72" i="13"/>
  <c r="C72" i="13"/>
  <c r="H71" i="13"/>
  <c r="G71" i="13"/>
  <c r="F71" i="13"/>
  <c r="E71" i="13"/>
  <c r="D71" i="13"/>
  <c r="C71" i="13"/>
  <c r="H70" i="13"/>
  <c r="G70" i="13"/>
  <c r="F70" i="13"/>
  <c r="E70" i="13"/>
  <c r="D70" i="13"/>
  <c r="C70" i="13"/>
  <c r="H69" i="13"/>
  <c r="G69" i="13"/>
  <c r="F69" i="13"/>
  <c r="E69" i="13"/>
  <c r="D69" i="13"/>
  <c r="C69" i="13"/>
  <c r="H68" i="13"/>
  <c r="G68" i="13"/>
  <c r="F68" i="13"/>
  <c r="E68" i="13"/>
  <c r="D68" i="13"/>
  <c r="C68" i="13"/>
  <c r="H67" i="13"/>
  <c r="G67" i="13"/>
  <c r="F67" i="13"/>
  <c r="E67" i="13"/>
  <c r="D67" i="13"/>
  <c r="C67" i="13"/>
  <c r="H66" i="13"/>
  <c r="G66" i="13"/>
  <c r="F66" i="13"/>
  <c r="E66" i="13"/>
  <c r="D66" i="13"/>
  <c r="C66" i="13"/>
  <c r="H65" i="13"/>
  <c r="G65" i="13"/>
  <c r="F65" i="13"/>
  <c r="E65" i="13"/>
  <c r="D65" i="13"/>
  <c r="C65" i="13"/>
  <c r="H64" i="13"/>
  <c r="G64" i="13"/>
  <c r="F64" i="13"/>
  <c r="E64" i="13"/>
  <c r="D64" i="13"/>
  <c r="C64" i="13"/>
  <c r="H63" i="13"/>
  <c r="G63" i="13"/>
  <c r="F63" i="13"/>
  <c r="E63" i="13"/>
  <c r="D63" i="13"/>
  <c r="C63" i="13"/>
  <c r="A63" i="13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H62" i="13"/>
  <c r="G62" i="13"/>
  <c r="F62" i="13"/>
  <c r="E62" i="13"/>
  <c r="D62" i="13"/>
  <c r="C62" i="13"/>
  <c r="H61" i="13"/>
  <c r="G61" i="13"/>
  <c r="F61" i="13"/>
  <c r="E61" i="13"/>
  <c r="D61" i="13"/>
  <c r="C61" i="13"/>
  <c r="H60" i="13"/>
  <c r="G60" i="13"/>
  <c r="F60" i="13"/>
  <c r="E60" i="13"/>
  <c r="D60" i="13"/>
  <c r="C60" i="13"/>
  <c r="H59" i="13"/>
  <c r="G59" i="13"/>
  <c r="F59" i="13"/>
  <c r="E59" i="13"/>
  <c r="D59" i="13"/>
  <c r="C59" i="13"/>
  <c r="H58" i="13"/>
  <c r="G58" i="13"/>
  <c r="F58" i="13"/>
  <c r="E58" i="13"/>
  <c r="D58" i="13"/>
  <c r="C58" i="13"/>
  <c r="H57" i="13"/>
  <c r="G57" i="13"/>
  <c r="F57" i="13"/>
  <c r="E57" i="13"/>
  <c r="D57" i="13"/>
  <c r="C57" i="13"/>
  <c r="H56" i="13"/>
  <c r="G56" i="13"/>
  <c r="F56" i="13"/>
  <c r="E56" i="13"/>
  <c r="D56" i="13"/>
  <c r="C56" i="13"/>
  <c r="H55" i="13"/>
  <c r="G55" i="13"/>
  <c r="F55" i="13"/>
  <c r="E55" i="13"/>
  <c r="D55" i="13"/>
  <c r="C55" i="13"/>
  <c r="H54" i="13"/>
  <c r="G54" i="13"/>
  <c r="F54" i="13"/>
  <c r="E54" i="13"/>
  <c r="D54" i="13"/>
  <c r="C54" i="13"/>
  <c r="H53" i="13"/>
  <c r="G53" i="13"/>
  <c r="F53" i="13"/>
  <c r="E53" i="13"/>
  <c r="D53" i="13"/>
  <c r="C53" i="13"/>
  <c r="H52" i="13"/>
  <c r="G52" i="13"/>
  <c r="F52" i="13"/>
  <c r="E52" i="13"/>
  <c r="D52" i="13"/>
  <c r="C52" i="13"/>
  <c r="A52" i="13"/>
  <c r="A53" i="13" s="1"/>
  <c r="A54" i="13" s="1"/>
  <c r="A55" i="13" s="1"/>
  <c r="A56" i="13" s="1"/>
  <c r="A57" i="13" s="1"/>
  <c r="A58" i="13" s="1"/>
  <c r="A59" i="13" s="1"/>
  <c r="A60" i="13" s="1"/>
  <c r="A61" i="13" s="1"/>
  <c r="H51" i="13"/>
  <c r="G51" i="13"/>
  <c r="F51" i="13"/>
  <c r="E51" i="13"/>
  <c r="D51" i="13"/>
  <c r="C51" i="13"/>
  <c r="A51" i="13"/>
  <c r="H50" i="13"/>
  <c r="G50" i="13"/>
  <c r="F50" i="13"/>
  <c r="E50" i="13"/>
  <c r="D50" i="13"/>
  <c r="C50" i="13"/>
  <c r="H49" i="13"/>
  <c r="G49" i="13"/>
  <c r="F49" i="13"/>
  <c r="E49" i="13"/>
  <c r="D49" i="13"/>
  <c r="C49" i="13"/>
  <c r="H48" i="13"/>
  <c r="G48" i="13"/>
  <c r="F48" i="13"/>
  <c r="E48" i="13"/>
  <c r="D48" i="13"/>
  <c r="C48" i="13"/>
  <c r="H47" i="13"/>
  <c r="G47" i="13"/>
  <c r="F47" i="13"/>
  <c r="E47" i="13"/>
  <c r="D47" i="13"/>
  <c r="C47" i="13"/>
  <c r="H46" i="13"/>
  <c r="G46" i="13"/>
  <c r="F46" i="13"/>
  <c r="E46" i="13"/>
  <c r="D46" i="13"/>
  <c r="C46" i="13"/>
  <c r="H45" i="13"/>
  <c r="G45" i="13"/>
  <c r="F45" i="13"/>
  <c r="E45" i="13"/>
  <c r="D45" i="13"/>
  <c r="C45" i="13"/>
  <c r="H44" i="13"/>
  <c r="G44" i="13"/>
  <c r="F44" i="13"/>
  <c r="E44" i="13"/>
  <c r="D44" i="13"/>
  <c r="C44" i="13"/>
  <c r="H43" i="13"/>
  <c r="G43" i="13"/>
  <c r="F43" i="13"/>
  <c r="E43" i="13"/>
  <c r="D43" i="13"/>
  <c r="C43" i="13"/>
  <c r="H42" i="13"/>
  <c r="G42" i="13"/>
  <c r="F42" i="13"/>
  <c r="E42" i="13"/>
  <c r="D42" i="13"/>
  <c r="C42" i="13"/>
  <c r="H41" i="13"/>
  <c r="G41" i="13"/>
  <c r="F41" i="13"/>
  <c r="E41" i="13"/>
  <c r="D41" i="13"/>
  <c r="C41" i="13"/>
  <c r="H40" i="13"/>
  <c r="G40" i="13"/>
  <c r="F40" i="13"/>
  <c r="E40" i="13"/>
  <c r="D40" i="13"/>
  <c r="C40" i="13"/>
  <c r="H39" i="13"/>
  <c r="G39" i="13"/>
  <c r="F39" i="13"/>
  <c r="E39" i="13"/>
  <c r="D39" i="13"/>
  <c r="C39" i="13"/>
  <c r="A39" i="13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H38" i="13"/>
  <c r="G38" i="13"/>
  <c r="F38" i="13"/>
  <c r="E38" i="13"/>
  <c r="D38" i="13"/>
  <c r="C38" i="13"/>
  <c r="H37" i="13"/>
  <c r="G37" i="13"/>
  <c r="F37" i="13"/>
  <c r="E37" i="13"/>
  <c r="D37" i="13"/>
  <c r="C37" i="13"/>
  <c r="H36" i="13"/>
  <c r="G36" i="13"/>
  <c r="F36" i="13"/>
  <c r="E36" i="13"/>
  <c r="D36" i="13"/>
  <c r="C36" i="13"/>
  <c r="H35" i="13"/>
  <c r="G35" i="13"/>
  <c r="F35" i="13"/>
  <c r="E35" i="13"/>
  <c r="D35" i="13"/>
  <c r="C35" i="13"/>
  <c r="H34" i="13"/>
  <c r="G34" i="13"/>
  <c r="F34" i="13"/>
  <c r="E34" i="13"/>
  <c r="D34" i="13"/>
  <c r="C34" i="13"/>
  <c r="H33" i="13"/>
  <c r="G33" i="13"/>
  <c r="F33" i="13"/>
  <c r="E33" i="13"/>
  <c r="D33" i="13"/>
  <c r="C33" i="13"/>
  <c r="H32" i="13"/>
  <c r="G32" i="13"/>
  <c r="F32" i="13"/>
  <c r="E32" i="13"/>
  <c r="D32" i="13"/>
  <c r="C32" i="13"/>
  <c r="H31" i="13"/>
  <c r="G31" i="13"/>
  <c r="F31" i="13"/>
  <c r="E31" i="13"/>
  <c r="D31" i="13"/>
  <c r="C31" i="13"/>
  <c r="H30" i="13"/>
  <c r="G30" i="13"/>
  <c r="F30" i="13"/>
  <c r="E30" i="13"/>
  <c r="D30" i="13"/>
  <c r="C30" i="13"/>
  <c r="H29" i="13"/>
  <c r="G29" i="13"/>
  <c r="F29" i="13"/>
  <c r="E29" i="13"/>
  <c r="D29" i="13"/>
  <c r="C29" i="13"/>
  <c r="H28" i="13"/>
  <c r="G28" i="13"/>
  <c r="F28" i="13"/>
  <c r="E28" i="13"/>
  <c r="D28" i="13"/>
  <c r="C28" i="13"/>
  <c r="A28" i="13"/>
  <c r="A29" i="13" s="1"/>
  <c r="A30" i="13" s="1"/>
  <c r="A31" i="13" s="1"/>
  <c r="A32" i="13" s="1"/>
  <c r="A33" i="13" s="1"/>
  <c r="A34" i="13" s="1"/>
  <c r="A35" i="13" s="1"/>
  <c r="A36" i="13" s="1"/>
  <c r="A37" i="13" s="1"/>
  <c r="H27" i="13"/>
  <c r="G27" i="13"/>
  <c r="F27" i="13"/>
  <c r="E27" i="13"/>
  <c r="D27" i="13"/>
  <c r="C27" i="13"/>
  <c r="A27" i="13"/>
  <c r="H26" i="13"/>
  <c r="G26" i="13"/>
  <c r="F26" i="13"/>
  <c r="E26" i="13"/>
  <c r="D26" i="13"/>
  <c r="C26" i="13"/>
  <c r="H25" i="13"/>
  <c r="G25" i="13"/>
  <c r="F25" i="13"/>
  <c r="E25" i="13"/>
  <c r="D25" i="13"/>
  <c r="C25" i="13"/>
  <c r="H24" i="13"/>
  <c r="G24" i="13"/>
  <c r="F24" i="13"/>
  <c r="E24" i="13"/>
  <c r="D24" i="13"/>
  <c r="C24" i="13"/>
  <c r="H23" i="13"/>
  <c r="G23" i="13"/>
  <c r="F23" i="13"/>
  <c r="E23" i="13"/>
  <c r="D23" i="13"/>
  <c r="C23" i="13"/>
  <c r="H22" i="13"/>
  <c r="G22" i="13"/>
  <c r="F22" i="13"/>
  <c r="E22" i="13"/>
  <c r="D22" i="13"/>
  <c r="C22" i="13"/>
  <c r="H21" i="13"/>
  <c r="G21" i="13"/>
  <c r="F21" i="13"/>
  <c r="E21" i="13"/>
  <c r="D21" i="13"/>
  <c r="C21" i="13"/>
  <c r="H20" i="13"/>
  <c r="G20" i="13"/>
  <c r="F20" i="13"/>
  <c r="E20" i="13"/>
  <c r="D20" i="13"/>
  <c r="C20" i="13"/>
  <c r="H19" i="13"/>
  <c r="G19" i="13"/>
  <c r="F19" i="13"/>
  <c r="E19" i="13"/>
  <c r="D19" i="13"/>
  <c r="C19" i="13"/>
  <c r="H18" i="13"/>
  <c r="G18" i="13"/>
  <c r="F18" i="13"/>
  <c r="E18" i="13"/>
  <c r="D18" i="13"/>
  <c r="C18" i="13"/>
  <c r="H17" i="13"/>
  <c r="G17" i="13"/>
  <c r="F17" i="13"/>
  <c r="E17" i="13"/>
  <c r="D17" i="13"/>
  <c r="C17" i="13"/>
  <c r="H16" i="13"/>
  <c r="G16" i="13"/>
  <c r="F16" i="13"/>
  <c r="E16" i="13"/>
  <c r="D16" i="13"/>
  <c r="C16" i="13"/>
  <c r="H15" i="13"/>
  <c r="G15" i="13"/>
  <c r="F15" i="13"/>
  <c r="E15" i="13"/>
  <c r="D15" i="13"/>
  <c r="C15" i="13"/>
  <c r="A15" i="13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H14" i="13"/>
  <c r="G14" i="13"/>
  <c r="F14" i="13"/>
  <c r="E14" i="13"/>
  <c r="D14" i="13"/>
  <c r="C14" i="13"/>
  <c r="H13" i="13"/>
  <c r="G13" i="13"/>
  <c r="F13" i="13"/>
  <c r="E13" i="13"/>
  <c r="D13" i="13"/>
  <c r="C13" i="13"/>
  <c r="H12" i="13"/>
  <c r="G12" i="13"/>
  <c r="F12" i="13"/>
  <c r="E12" i="13"/>
  <c r="D12" i="13"/>
  <c r="C12" i="13"/>
  <c r="H11" i="13"/>
  <c r="G11" i="13"/>
  <c r="F11" i="13"/>
  <c r="E11" i="13"/>
  <c r="D11" i="13"/>
  <c r="C11" i="13"/>
  <c r="H10" i="13"/>
  <c r="G10" i="13"/>
  <c r="F10" i="13"/>
  <c r="E10" i="13"/>
  <c r="D10" i="13"/>
  <c r="C10" i="13"/>
  <c r="H9" i="13"/>
  <c r="G9" i="13"/>
  <c r="F9" i="13"/>
  <c r="E9" i="13"/>
  <c r="D9" i="13"/>
  <c r="C9" i="13"/>
  <c r="H8" i="13"/>
  <c r="G8" i="13"/>
  <c r="F8" i="13"/>
  <c r="E8" i="13"/>
  <c r="D8" i="13"/>
  <c r="C8" i="13"/>
  <c r="H7" i="13"/>
  <c r="G7" i="13"/>
  <c r="F7" i="13"/>
  <c r="E7" i="13"/>
  <c r="D7" i="13"/>
  <c r="C7" i="13"/>
  <c r="H6" i="13"/>
  <c r="G6" i="13"/>
  <c r="F6" i="13"/>
  <c r="E6" i="13"/>
  <c r="D6" i="13"/>
  <c r="C6" i="13"/>
  <c r="H5" i="13"/>
  <c r="G5" i="13"/>
  <c r="F5" i="13"/>
  <c r="E5" i="13"/>
  <c r="D5" i="13"/>
  <c r="C5" i="13"/>
  <c r="H4" i="13"/>
  <c r="G4" i="13"/>
  <c r="F4" i="13"/>
  <c r="E4" i="13"/>
  <c r="D4" i="13"/>
  <c r="C4" i="13"/>
  <c r="A4" i="13"/>
  <c r="A5" i="13" s="1"/>
  <c r="A6" i="13" s="1"/>
  <c r="A7" i="13" s="1"/>
  <c r="A8" i="13" s="1"/>
  <c r="A9" i="13" s="1"/>
  <c r="A10" i="13" s="1"/>
  <c r="A11" i="13" s="1"/>
  <c r="A12" i="13" s="1"/>
  <c r="A13" i="13" s="1"/>
  <c r="H3" i="13"/>
  <c r="G3" i="13"/>
  <c r="F3" i="13"/>
  <c r="E3" i="13"/>
  <c r="D3" i="13"/>
  <c r="C3" i="13"/>
  <c r="A3" i="13"/>
  <c r="H2" i="13"/>
  <c r="G2" i="13"/>
  <c r="F2" i="13"/>
  <c r="E2" i="13"/>
  <c r="D2" i="13"/>
  <c r="C2" i="13"/>
  <c r="H93" i="12"/>
  <c r="G93" i="12"/>
  <c r="F93" i="12"/>
  <c r="E93" i="12"/>
  <c r="D93" i="12"/>
  <c r="C93" i="12"/>
  <c r="H92" i="12"/>
  <c r="G92" i="12"/>
  <c r="F92" i="12"/>
  <c r="E92" i="12"/>
  <c r="D92" i="12"/>
  <c r="C92" i="12"/>
  <c r="H91" i="12"/>
  <c r="G91" i="12"/>
  <c r="F91" i="12"/>
  <c r="E91" i="12"/>
  <c r="D91" i="12"/>
  <c r="C91" i="12"/>
  <c r="H90" i="12"/>
  <c r="G90" i="12"/>
  <c r="F90" i="12"/>
  <c r="E90" i="12"/>
  <c r="D90" i="12"/>
  <c r="C90" i="12"/>
  <c r="H89" i="12"/>
  <c r="G89" i="12"/>
  <c r="F89" i="12"/>
  <c r="E89" i="12"/>
  <c r="D89" i="12"/>
  <c r="C89" i="12"/>
  <c r="H88" i="12"/>
  <c r="G88" i="12"/>
  <c r="F88" i="12"/>
  <c r="E88" i="12"/>
  <c r="D88" i="12"/>
  <c r="C88" i="12"/>
  <c r="H87" i="12"/>
  <c r="G87" i="12"/>
  <c r="F87" i="12"/>
  <c r="E87" i="12"/>
  <c r="D87" i="12"/>
  <c r="C87" i="12"/>
  <c r="H86" i="12"/>
  <c r="G86" i="12"/>
  <c r="F86" i="12"/>
  <c r="E86" i="12"/>
  <c r="D86" i="12"/>
  <c r="C86" i="12"/>
  <c r="H85" i="12"/>
  <c r="G85" i="12"/>
  <c r="F85" i="12"/>
  <c r="E85" i="12"/>
  <c r="D85" i="12"/>
  <c r="C85" i="12"/>
  <c r="H84" i="12"/>
  <c r="G84" i="12"/>
  <c r="F84" i="12"/>
  <c r="E84" i="12"/>
  <c r="D84" i="12"/>
  <c r="C84" i="12"/>
  <c r="H83" i="12"/>
  <c r="G83" i="12"/>
  <c r="F83" i="12"/>
  <c r="E83" i="12"/>
  <c r="D83" i="12"/>
  <c r="C83" i="12"/>
  <c r="H82" i="12"/>
  <c r="G82" i="12"/>
  <c r="F82" i="12"/>
  <c r="E82" i="12"/>
  <c r="D82" i="12"/>
  <c r="C82" i="12"/>
  <c r="H81" i="12"/>
  <c r="G81" i="12"/>
  <c r="F81" i="12"/>
  <c r="E81" i="12"/>
  <c r="D81" i="12"/>
  <c r="C81" i="12"/>
  <c r="H80" i="12"/>
  <c r="G80" i="12"/>
  <c r="F80" i="12"/>
  <c r="E80" i="12"/>
  <c r="D80" i="12"/>
  <c r="C80" i="12"/>
  <c r="H79" i="12"/>
  <c r="G79" i="12"/>
  <c r="F79" i="12"/>
  <c r="E79" i="12"/>
  <c r="D79" i="12"/>
  <c r="C79" i="12"/>
  <c r="H78" i="12"/>
  <c r="G78" i="12"/>
  <c r="F78" i="12"/>
  <c r="E78" i="12"/>
  <c r="D78" i="12"/>
  <c r="C78" i="12"/>
  <c r="H77" i="12"/>
  <c r="G77" i="12"/>
  <c r="F77" i="12"/>
  <c r="E77" i="12"/>
  <c r="D77" i="12"/>
  <c r="C77" i="12"/>
  <c r="H76" i="12"/>
  <c r="G76" i="12"/>
  <c r="F76" i="12"/>
  <c r="E76" i="12"/>
  <c r="D76" i="12"/>
  <c r="C76" i="12"/>
  <c r="H75" i="12"/>
  <c r="G75" i="12"/>
  <c r="F75" i="12"/>
  <c r="E75" i="12"/>
  <c r="D75" i="12"/>
  <c r="C75" i="12"/>
  <c r="A75" i="12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H74" i="12"/>
  <c r="G74" i="12"/>
  <c r="F74" i="12"/>
  <c r="E74" i="12"/>
  <c r="D74" i="12"/>
  <c r="C74" i="12"/>
  <c r="H73" i="12"/>
  <c r="G73" i="12"/>
  <c r="F73" i="12"/>
  <c r="E73" i="12"/>
  <c r="D73" i="12"/>
  <c r="C73" i="12"/>
  <c r="H72" i="12"/>
  <c r="G72" i="12"/>
  <c r="F72" i="12"/>
  <c r="E72" i="12"/>
  <c r="D72" i="12"/>
  <c r="C72" i="12"/>
  <c r="H71" i="12"/>
  <c r="G71" i="12"/>
  <c r="F71" i="12"/>
  <c r="E71" i="12"/>
  <c r="D71" i="12"/>
  <c r="C71" i="12"/>
  <c r="H70" i="12"/>
  <c r="G70" i="12"/>
  <c r="F70" i="12"/>
  <c r="E70" i="12"/>
  <c r="D70" i="12"/>
  <c r="C70" i="12"/>
  <c r="H69" i="12"/>
  <c r="G69" i="12"/>
  <c r="F69" i="12"/>
  <c r="E69" i="12"/>
  <c r="D69" i="12"/>
  <c r="C69" i="12"/>
  <c r="H68" i="12"/>
  <c r="G68" i="12"/>
  <c r="F68" i="12"/>
  <c r="E68" i="12"/>
  <c r="D68" i="12"/>
  <c r="C68" i="12"/>
  <c r="H67" i="12"/>
  <c r="G67" i="12"/>
  <c r="F67" i="12"/>
  <c r="E67" i="12"/>
  <c r="D67" i="12"/>
  <c r="C67" i="12"/>
  <c r="H66" i="12"/>
  <c r="G66" i="12"/>
  <c r="F66" i="12"/>
  <c r="E66" i="12"/>
  <c r="D66" i="12"/>
  <c r="C66" i="12"/>
  <c r="H65" i="12"/>
  <c r="G65" i="12"/>
  <c r="F65" i="12"/>
  <c r="E65" i="12"/>
  <c r="D65" i="12"/>
  <c r="C65" i="12"/>
  <c r="H64" i="12"/>
  <c r="G64" i="12"/>
  <c r="F64" i="12"/>
  <c r="E64" i="12"/>
  <c r="D64" i="12"/>
  <c r="C64" i="12"/>
  <c r="H63" i="12"/>
  <c r="G63" i="12"/>
  <c r="F63" i="12"/>
  <c r="E63" i="12"/>
  <c r="D63" i="12"/>
  <c r="C63" i="12"/>
  <c r="A63" i="12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H62" i="12"/>
  <c r="G62" i="12"/>
  <c r="F62" i="12"/>
  <c r="E62" i="12"/>
  <c r="D62" i="12"/>
  <c r="C62" i="12"/>
  <c r="H61" i="12"/>
  <c r="G61" i="12"/>
  <c r="F61" i="12"/>
  <c r="E61" i="12"/>
  <c r="D61" i="12"/>
  <c r="C61" i="12"/>
  <c r="H60" i="12"/>
  <c r="G60" i="12"/>
  <c r="F60" i="12"/>
  <c r="E60" i="12"/>
  <c r="D60" i="12"/>
  <c r="C60" i="12"/>
  <c r="H59" i="12"/>
  <c r="G59" i="12"/>
  <c r="F59" i="12"/>
  <c r="E59" i="12"/>
  <c r="D59" i="12"/>
  <c r="C59" i="12"/>
  <c r="H58" i="12"/>
  <c r="G58" i="12"/>
  <c r="F58" i="12"/>
  <c r="E58" i="12"/>
  <c r="D58" i="12"/>
  <c r="C58" i="12"/>
  <c r="H57" i="12"/>
  <c r="G57" i="12"/>
  <c r="F57" i="12"/>
  <c r="E57" i="12"/>
  <c r="D57" i="12"/>
  <c r="C57" i="12"/>
  <c r="H56" i="12"/>
  <c r="G56" i="12"/>
  <c r="F56" i="12"/>
  <c r="E56" i="12"/>
  <c r="D56" i="12"/>
  <c r="C56" i="12"/>
  <c r="H55" i="12"/>
  <c r="G55" i="12"/>
  <c r="F55" i="12"/>
  <c r="E55" i="12"/>
  <c r="D55" i="12"/>
  <c r="C55" i="12"/>
  <c r="H54" i="12"/>
  <c r="G54" i="12"/>
  <c r="F54" i="12"/>
  <c r="E54" i="12"/>
  <c r="D54" i="12"/>
  <c r="C54" i="12"/>
  <c r="H53" i="12"/>
  <c r="G53" i="12"/>
  <c r="F53" i="12"/>
  <c r="E53" i="12"/>
  <c r="D53" i="12"/>
  <c r="C53" i="12"/>
  <c r="H52" i="12"/>
  <c r="G52" i="12"/>
  <c r="F52" i="12"/>
  <c r="E52" i="12"/>
  <c r="D52" i="12"/>
  <c r="C52" i="12"/>
  <c r="A52" i="12"/>
  <c r="A53" i="12" s="1"/>
  <c r="A54" i="12" s="1"/>
  <c r="A55" i="12" s="1"/>
  <c r="A56" i="12" s="1"/>
  <c r="A57" i="12" s="1"/>
  <c r="A58" i="12" s="1"/>
  <c r="A59" i="12" s="1"/>
  <c r="A60" i="12" s="1"/>
  <c r="A61" i="12" s="1"/>
  <c r="H51" i="12"/>
  <c r="G51" i="12"/>
  <c r="F51" i="12"/>
  <c r="E51" i="12"/>
  <c r="D51" i="12"/>
  <c r="C51" i="12"/>
  <c r="A51" i="12"/>
  <c r="H50" i="12"/>
  <c r="G50" i="12"/>
  <c r="F50" i="12"/>
  <c r="E50" i="12"/>
  <c r="D50" i="12"/>
  <c r="C50" i="12"/>
  <c r="H49" i="12"/>
  <c r="G49" i="12"/>
  <c r="F49" i="12"/>
  <c r="E49" i="12"/>
  <c r="D49" i="12"/>
  <c r="C49" i="12"/>
  <c r="H48" i="12"/>
  <c r="G48" i="12"/>
  <c r="F48" i="12"/>
  <c r="E48" i="12"/>
  <c r="D48" i="12"/>
  <c r="C48" i="12"/>
  <c r="H47" i="12"/>
  <c r="G47" i="12"/>
  <c r="F47" i="12"/>
  <c r="E47" i="12"/>
  <c r="D47" i="12"/>
  <c r="C47" i="12"/>
  <c r="H46" i="12"/>
  <c r="G46" i="12"/>
  <c r="F46" i="12"/>
  <c r="E46" i="12"/>
  <c r="D46" i="12"/>
  <c r="C46" i="12"/>
  <c r="H45" i="12"/>
  <c r="G45" i="12"/>
  <c r="F45" i="12"/>
  <c r="E45" i="12"/>
  <c r="D45" i="12"/>
  <c r="C45" i="12"/>
  <c r="H44" i="12"/>
  <c r="G44" i="12"/>
  <c r="F44" i="12"/>
  <c r="E44" i="12"/>
  <c r="D44" i="12"/>
  <c r="C44" i="12"/>
  <c r="H43" i="12"/>
  <c r="G43" i="12"/>
  <c r="F43" i="12"/>
  <c r="E43" i="12"/>
  <c r="D43" i="12"/>
  <c r="C43" i="12"/>
  <c r="H42" i="12"/>
  <c r="G42" i="12"/>
  <c r="F42" i="12"/>
  <c r="E42" i="12"/>
  <c r="D42" i="12"/>
  <c r="C42" i="12"/>
  <c r="H41" i="12"/>
  <c r="G41" i="12"/>
  <c r="F41" i="12"/>
  <c r="E41" i="12"/>
  <c r="D41" i="12"/>
  <c r="C41" i="12"/>
  <c r="A41" i="12"/>
  <c r="A42" i="12" s="1"/>
  <c r="A43" i="12" s="1"/>
  <c r="A44" i="12" s="1"/>
  <c r="A45" i="12" s="1"/>
  <c r="A46" i="12" s="1"/>
  <c r="A47" i="12" s="1"/>
  <c r="A48" i="12" s="1"/>
  <c r="A49" i="12" s="1"/>
  <c r="H40" i="12"/>
  <c r="G40" i="12"/>
  <c r="F40" i="12"/>
  <c r="E40" i="12"/>
  <c r="D40" i="12"/>
  <c r="C40" i="12"/>
  <c r="A40" i="12"/>
  <c r="H39" i="12"/>
  <c r="G39" i="12"/>
  <c r="F39" i="12"/>
  <c r="E39" i="12"/>
  <c r="D39" i="12"/>
  <c r="C39" i="12"/>
  <c r="A39" i="12"/>
  <c r="H38" i="12"/>
  <c r="G38" i="12"/>
  <c r="F38" i="12"/>
  <c r="E38" i="12"/>
  <c r="D38" i="12"/>
  <c r="C38" i="12"/>
  <c r="H37" i="12"/>
  <c r="G37" i="12"/>
  <c r="F37" i="12"/>
  <c r="E37" i="12"/>
  <c r="D37" i="12"/>
  <c r="C37" i="12"/>
  <c r="H36" i="12"/>
  <c r="G36" i="12"/>
  <c r="F36" i="12"/>
  <c r="E36" i="12"/>
  <c r="D36" i="12"/>
  <c r="C36" i="12"/>
  <c r="H35" i="12"/>
  <c r="G35" i="12"/>
  <c r="F35" i="12"/>
  <c r="E35" i="12"/>
  <c r="D35" i="12"/>
  <c r="C35" i="12"/>
  <c r="H34" i="12"/>
  <c r="G34" i="12"/>
  <c r="F34" i="12"/>
  <c r="E34" i="12"/>
  <c r="D34" i="12"/>
  <c r="C34" i="12"/>
  <c r="H33" i="12"/>
  <c r="G33" i="12"/>
  <c r="F33" i="12"/>
  <c r="E33" i="12"/>
  <c r="D33" i="12"/>
  <c r="C33" i="12"/>
  <c r="H32" i="12"/>
  <c r="G32" i="12"/>
  <c r="F32" i="12"/>
  <c r="E32" i="12"/>
  <c r="D32" i="12"/>
  <c r="C32" i="12"/>
  <c r="H31" i="12"/>
  <c r="G31" i="12"/>
  <c r="F31" i="12"/>
  <c r="E31" i="12"/>
  <c r="D31" i="12"/>
  <c r="C31" i="12"/>
  <c r="H30" i="12"/>
  <c r="G30" i="12"/>
  <c r="F30" i="12"/>
  <c r="E30" i="12"/>
  <c r="D30" i="12"/>
  <c r="C30" i="12"/>
  <c r="H29" i="12"/>
  <c r="G29" i="12"/>
  <c r="F29" i="12"/>
  <c r="E29" i="12"/>
  <c r="D29" i="12"/>
  <c r="C29" i="12"/>
  <c r="H28" i="12"/>
  <c r="G28" i="12"/>
  <c r="F28" i="12"/>
  <c r="E28" i="12"/>
  <c r="D28" i="12"/>
  <c r="C28" i="12"/>
  <c r="H27" i="12"/>
  <c r="G27" i="12"/>
  <c r="F27" i="12"/>
  <c r="E27" i="12"/>
  <c r="D27" i="12"/>
  <c r="C27" i="12"/>
  <c r="A27" i="12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H26" i="12"/>
  <c r="G26" i="12"/>
  <c r="F26" i="12"/>
  <c r="E26" i="12"/>
  <c r="D26" i="12"/>
  <c r="C26" i="12"/>
  <c r="H25" i="12"/>
  <c r="G25" i="12"/>
  <c r="F25" i="12"/>
  <c r="E25" i="12"/>
  <c r="D25" i="12"/>
  <c r="C25" i="12"/>
  <c r="H24" i="12"/>
  <c r="G24" i="12"/>
  <c r="F24" i="12"/>
  <c r="E24" i="12"/>
  <c r="D24" i="12"/>
  <c r="C24" i="12"/>
  <c r="H23" i="12"/>
  <c r="G23" i="12"/>
  <c r="F23" i="12"/>
  <c r="E23" i="12"/>
  <c r="D23" i="12"/>
  <c r="C23" i="12"/>
  <c r="H22" i="12"/>
  <c r="G22" i="12"/>
  <c r="F22" i="12"/>
  <c r="E22" i="12"/>
  <c r="D22" i="12"/>
  <c r="C22" i="12"/>
  <c r="H21" i="12"/>
  <c r="G21" i="12"/>
  <c r="F21" i="12"/>
  <c r="E21" i="12"/>
  <c r="D21" i="12"/>
  <c r="C21" i="12"/>
  <c r="H20" i="12"/>
  <c r="G20" i="12"/>
  <c r="F20" i="12"/>
  <c r="E20" i="12"/>
  <c r="D20" i="12"/>
  <c r="C20" i="12"/>
  <c r="H19" i="12"/>
  <c r="G19" i="12"/>
  <c r="F19" i="12"/>
  <c r="E19" i="12"/>
  <c r="D19" i="12"/>
  <c r="C19" i="12"/>
  <c r="H18" i="12"/>
  <c r="G18" i="12"/>
  <c r="F18" i="12"/>
  <c r="E18" i="12"/>
  <c r="D18" i="12"/>
  <c r="C18" i="12"/>
  <c r="H17" i="12"/>
  <c r="G17" i="12"/>
  <c r="F17" i="12"/>
  <c r="E17" i="12"/>
  <c r="D17" i="12"/>
  <c r="C17" i="12"/>
  <c r="H16" i="12"/>
  <c r="G16" i="12"/>
  <c r="F16" i="12"/>
  <c r="E16" i="12"/>
  <c r="D16" i="12"/>
  <c r="C16" i="12"/>
  <c r="H15" i="12"/>
  <c r="G15" i="12"/>
  <c r="F15" i="12"/>
  <c r="E15" i="12"/>
  <c r="D15" i="12"/>
  <c r="C15" i="12"/>
  <c r="A15" i="12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H14" i="12"/>
  <c r="G14" i="12"/>
  <c r="F14" i="12"/>
  <c r="E14" i="12"/>
  <c r="D14" i="12"/>
  <c r="C14" i="12"/>
  <c r="H13" i="12"/>
  <c r="G13" i="12"/>
  <c r="F13" i="12"/>
  <c r="E13" i="12"/>
  <c r="D13" i="12"/>
  <c r="C13" i="12"/>
  <c r="H12" i="12"/>
  <c r="G12" i="12"/>
  <c r="F12" i="12"/>
  <c r="E12" i="12"/>
  <c r="D12" i="12"/>
  <c r="C12" i="12"/>
  <c r="H11" i="12"/>
  <c r="G11" i="12"/>
  <c r="F11" i="12"/>
  <c r="E11" i="12"/>
  <c r="D11" i="12"/>
  <c r="C11" i="12"/>
  <c r="H10" i="12"/>
  <c r="G10" i="12"/>
  <c r="F10" i="12"/>
  <c r="E10" i="12"/>
  <c r="D10" i="12"/>
  <c r="C10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5" i="12"/>
  <c r="G5" i="12"/>
  <c r="F5" i="12"/>
  <c r="E5" i="12"/>
  <c r="D5" i="12"/>
  <c r="C5" i="12"/>
  <c r="H4" i="12"/>
  <c r="G4" i="12"/>
  <c r="F4" i="12"/>
  <c r="E4" i="12"/>
  <c r="D4" i="12"/>
  <c r="C4" i="12"/>
  <c r="A4" i="12"/>
  <c r="A5" i="12" s="1"/>
  <c r="A6" i="12" s="1"/>
  <c r="A7" i="12" s="1"/>
  <c r="A8" i="12" s="1"/>
  <c r="A9" i="12" s="1"/>
  <c r="A10" i="12" s="1"/>
  <c r="A11" i="12" s="1"/>
  <c r="A12" i="12" s="1"/>
  <c r="A13" i="12" s="1"/>
  <c r="H3" i="12"/>
  <c r="G3" i="12"/>
  <c r="F3" i="12"/>
  <c r="E3" i="12"/>
  <c r="D3" i="12"/>
  <c r="C3" i="12"/>
  <c r="A3" i="12"/>
  <c r="H2" i="12"/>
  <c r="G2" i="12"/>
  <c r="F2" i="12"/>
  <c r="E2" i="12"/>
  <c r="D2" i="12"/>
  <c r="C2" i="12"/>
  <c r="H93" i="11"/>
  <c r="G93" i="11"/>
  <c r="F93" i="11"/>
  <c r="E93" i="11"/>
  <c r="D93" i="11"/>
  <c r="C93" i="11"/>
  <c r="H92" i="11"/>
  <c r="G92" i="11"/>
  <c r="F92" i="11"/>
  <c r="E92" i="11"/>
  <c r="D92" i="11"/>
  <c r="C92" i="11"/>
  <c r="H91" i="11"/>
  <c r="G91" i="11"/>
  <c r="F91" i="11"/>
  <c r="E91" i="11"/>
  <c r="D91" i="11"/>
  <c r="C91" i="11"/>
  <c r="H90" i="11"/>
  <c r="G90" i="11"/>
  <c r="F90" i="11"/>
  <c r="E90" i="11"/>
  <c r="D90" i="11"/>
  <c r="C90" i="11"/>
  <c r="H89" i="11"/>
  <c r="G89" i="11"/>
  <c r="F89" i="11"/>
  <c r="E89" i="11"/>
  <c r="D89" i="11"/>
  <c r="C89" i="11"/>
  <c r="H88" i="11"/>
  <c r="G88" i="11"/>
  <c r="F88" i="11"/>
  <c r="E88" i="11"/>
  <c r="D88" i="11"/>
  <c r="C88" i="11"/>
  <c r="H87" i="11"/>
  <c r="G87" i="11"/>
  <c r="F87" i="11"/>
  <c r="E87" i="11"/>
  <c r="D87" i="11"/>
  <c r="C87" i="11"/>
  <c r="A87" i="11"/>
  <c r="A88" i="11" s="1"/>
  <c r="A89" i="11" s="1"/>
  <c r="A90" i="11" s="1"/>
  <c r="A91" i="11" s="1"/>
  <c r="A92" i="11" s="1"/>
  <c r="A93" i="11" s="1"/>
  <c r="H86" i="11"/>
  <c r="G86" i="11"/>
  <c r="F86" i="11"/>
  <c r="E86" i="11"/>
  <c r="D86" i="11"/>
  <c r="C86" i="11"/>
  <c r="H85" i="11"/>
  <c r="G85" i="11"/>
  <c r="F85" i="11"/>
  <c r="E85" i="11"/>
  <c r="D85" i="11"/>
  <c r="C85" i="11"/>
  <c r="H84" i="11"/>
  <c r="G84" i="11"/>
  <c r="F84" i="11"/>
  <c r="E84" i="11"/>
  <c r="D84" i="11"/>
  <c r="C84" i="11"/>
  <c r="H83" i="11"/>
  <c r="G83" i="11"/>
  <c r="F83" i="11"/>
  <c r="E83" i="11"/>
  <c r="D83" i="11"/>
  <c r="C83" i="11"/>
  <c r="H82" i="11"/>
  <c r="G82" i="11"/>
  <c r="F82" i="11"/>
  <c r="E82" i="11"/>
  <c r="D82" i="11"/>
  <c r="C82" i="11"/>
  <c r="H81" i="11"/>
  <c r="G81" i="11"/>
  <c r="F81" i="11"/>
  <c r="E81" i="11"/>
  <c r="D81" i="11"/>
  <c r="C81" i="11"/>
  <c r="H80" i="11"/>
  <c r="G80" i="11"/>
  <c r="F80" i="11"/>
  <c r="E80" i="11"/>
  <c r="D80" i="11"/>
  <c r="C80" i="11"/>
  <c r="H79" i="11"/>
  <c r="G79" i="11"/>
  <c r="F79" i="11"/>
  <c r="E79" i="11"/>
  <c r="D79" i="11"/>
  <c r="C79" i="11"/>
  <c r="H78" i="11"/>
  <c r="G78" i="11"/>
  <c r="F78" i="11"/>
  <c r="E78" i="11"/>
  <c r="D78" i="11"/>
  <c r="C78" i="11"/>
  <c r="H77" i="11"/>
  <c r="G77" i="11"/>
  <c r="F77" i="11"/>
  <c r="E77" i="11"/>
  <c r="D77" i="11"/>
  <c r="C77" i="11"/>
  <c r="H76" i="11"/>
  <c r="G76" i="11"/>
  <c r="F76" i="11"/>
  <c r="E76" i="11"/>
  <c r="D76" i="11"/>
  <c r="C76" i="11"/>
  <c r="A76" i="11"/>
  <c r="A77" i="11" s="1"/>
  <c r="A78" i="11" s="1"/>
  <c r="A79" i="11" s="1"/>
  <c r="A80" i="11" s="1"/>
  <c r="A81" i="11" s="1"/>
  <c r="A82" i="11" s="1"/>
  <c r="A83" i="11" s="1"/>
  <c r="A84" i="11" s="1"/>
  <c r="A85" i="11" s="1"/>
  <c r="H75" i="11"/>
  <c r="G75" i="11"/>
  <c r="F75" i="11"/>
  <c r="E75" i="11"/>
  <c r="D75" i="11"/>
  <c r="C75" i="11"/>
  <c r="A75" i="11"/>
  <c r="H74" i="11"/>
  <c r="G74" i="11"/>
  <c r="F74" i="11"/>
  <c r="E74" i="11"/>
  <c r="D74" i="11"/>
  <c r="C74" i="11"/>
  <c r="H73" i="11"/>
  <c r="G73" i="11"/>
  <c r="F73" i="11"/>
  <c r="E73" i="11"/>
  <c r="D73" i="11"/>
  <c r="C73" i="11"/>
  <c r="H72" i="11"/>
  <c r="G72" i="11"/>
  <c r="F72" i="11"/>
  <c r="E72" i="11"/>
  <c r="D72" i="11"/>
  <c r="C72" i="11"/>
  <c r="H71" i="11"/>
  <c r="G71" i="11"/>
  <c r="F71" i="11"/>
  <c r="E71" i="11"/>
  <c r="D71" i="11"/>
  <c r="C71" i="11"/>
  <c r="H70" i="11"/>
  <c r="G70" i="11"/>
  <c r="F70" i="11"/>
  <c r="E70" i="11"/>
  <c r="D70" i="11"/>
  <c r="C70" i="11"/>
  <c r="H69" i="11"/>
  <c r="G69" i="11"/>
  <c r="F69" i="11"/>
  <c r="E69" i="11"/>
  <c r="D69" i="11"/>
  <c r="C69" i="11"/>
  <c r="H68" i="11"/>
  <c r="G68" i="11"/>
  <c r="F68" i="11"/>
  <c r="E68" i="11"/>
  <c r="D68" i="11"/>
  <c r="C68" i="11"/>
  <c r="H67" i="11"/>
  <c r="G67" i="11"/>
  <c r="F67" i="11"/>
  <c r="E67" i="11"/>
  <c r="D67" i="11"/>
  <c r="C67" i="11"/>
  <c r="H66" i="11"/>
  <c r="G66" i="11"/>
  <c r="F66" i="11"/>
  <c r="E66" i="11"/>
  <c r="D66" i="11"/>
  <c r="C66" i="11"/>
  <c r="H65" i="11"/>
  <c r="G65" i="11"/>
  <c r="F65" i="11"/>
  <c r="E65" i="11"/>
  <c r="D65" i="11"/>
  <c r="C65" i="11"/>
  <c r="A65" i="11"/>
  <c r="A66" i="11" s="1"/>
  <c r="A67" i="11" s="1"/>
  <c r="A68" i="11" s="1"/>
  <c r="A69" i="11" s="1"/>
  <c r="A70" i="11" s="1"/>
  <c r="A71" i="11" s="1"/>
  <c r="A72" i="11" s="1"/>
  <c r="A73" i="11" s="1"/>
  <c r="H64" i="11"/>
  <c r="G64" i="11"/>
  <c r="F64" i="11"/>
  <c r="E64" i="11"/>
  <c r="D64" i="11"/>
  <c r="C64" i="11"/>
  <c r="A64" i="11"/>
  <c r="H63" i="11"/>
  <c r="G63" i="11"/>
  <c r="F63" i="11"/>
  <c r="E63" i="11"/>
  <c r="D63" i="11"/>
  <c r="C63" i="11"/>
  <c r="A63" i="11"/>
  <c r="H62" i="11"/>
  <c r="G62" i="11"/>
  <c r="F62" i="11"/>
  <c r="E62" i="11"/>
  <c r="D62" i="11"/>
  <c r="C62" i="11"/>
  <c r="H61" i="11"/>
  <c r="G61" i="11"/>
  <c r="F61" i="11"/>
  <c r="E61" i="11"/>
  <c r="D61" i="11"/>
  <c r="C61" i="11"/>
  <c r="H60" i="11"/>
  <c r="G60" i="11"/>
  <c r="F60" i="11"/>
  <c r="E60" i="11"/>
  <c r="D60" i="11"/>
  <c r="C60" i="11"/>
  <c r="H59" i="11"/>
  <c r="G59" i="11"/>
  <c r="F59" i="11"/>
  <c r="E59" i="11"/>
  <c r="D59" i="11"/>
  <c r="C59" i="11"/>
  <c r="H58" i="11"/>
  <c r="G58" i="11"/>
  <c r="F58" i="11"/>
  <c r="E58" i="11"/>
  <c r="D58" i="11"/>
  <c r="C58" i="11"/>
  <c r="H57" i="11"/>
  <c r="G57" i="11"/>
  <c r="F57" i="11"/>
  <c r="E57" i="11"/>
  <c r="D57" i="11"/>
  <c r="C57" i="11"/>
  <c r="H56" i="11"/>
  <c r="G56" i="11"/>
  <c r="F56" i="11"/>
  <c r="E56" i="11"/>
  <c r="D56" i="11"/>
  <c r="C56" i="11"/>
  <c r="H55" i="11"/>
  <c r="G55" i="11"/>
  <c r="F55" i="11"/>
  <c r="E55" i="11"/>
  <c r="D55" i="11"/>
  <c r="C55" i="11"/>
  <c r="H54" i="11"/>
  <c r="G54" i="11"/>
  <c r="F54" i="11"/>
  <c r="E54" i="11"/>
  <c r="D54" i="11"/>
  <c r="C54" i="11"/>
  <c r="H53" i="11"/>
  <c r="G53" i="11"/>
  <c r="F53" i="11"/>
  <c r="E53" i="11"/>
  <c r="D53" i="11"/>
  <c r="C53" i="11"/>
  <c r="H52" i="11"/>
  <c r="G52" i="11"/>
  <c r="F52" i="11"/>
  <c r="E52" i="11"/>
  <c r="D52" i="11"/>
  <c r="C52" i="11"/>
  <c r="H51" i="11"/>
  <c r="G51" i="11"/>
  <c r="F51" i="11"/>
  <c r="E51" i="11"/>
  <c r="D51" i="11"/>
  <c r="C51" i="11"/>
  <c r="A51" i="1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H50" i="11"/>
  <c r="G50" i="11"/>
  <c r="F50" i="11"/>
  <c r="E50" i="11"/>
  <c r="D50" i="11"/>
  <c r="C50" i="11"/>
  <c r="H49" i="11"/>
  <c r="G49" i="11"/>
  <c r="F49" i="11"/>
  <c r="E49" i="11"/>
  <c r="D49" i="11"/>
  <c r="C49" i="11"/>
  <c r="H48" i="11"/>
  <c r="G48" i="11"/>
  <c r="F48" i="11"/>
  <c r="E48" i="11"/>
  <c r="D48" i="11"/>
  <c r="C48" i="11"/>
  <c r="H47" i="11"/>
  <c r="G47" i="11"/>
  <c r="F47" i="11"/>
  <c r="E47" i="11"/>
  <c r="D47" i="11"/>
  <c r="C47" i="11"/>
  <c r="H46" i="11"/>
  <c r="G46" i="11"/>
  <c r="F46" i="11"/>
  <c r="E46" i="11"/>
  <c r="D46" i="11"/>
  <c r="C46" i="11"/>
  <c r="H45" i="11"/>
  <c r="G45" i="11"/>
  <c r="F45" i="11"/>
  <c r="E45" i="11"/>
  <c r="D45" i="11"/>
  <c r="C45" i="11"/>
  <c r="H44" i="11"/>
  <c r="G44" i="11"/>
  <c r="F44" i="11"/>
  <c r="E44" i="11"/>
  <c r="D44" i="11"/>
  <c r="C44" i="11"/>
  <c r="H43" i="11"/>
  <c r="G43" i="11"/>
  <c r="F43" i="11"/>
  <c r="E43" i="11"/>
  <c r="D43" i="11"/>
  <c r="C43" i="11"/>
  <c r="H42" i="11"/>
  <c r="G42" i="11"/>
  <c r="F42" i="11"/>
  <c r="E42" i="11"/>
  <c r="D42" i="11"/>
  <c r="C42" i="11"/>
  <c r="H41" i="11"/>
  <c r="G41" i="11"/>
  <c r="F41" i="11"/>
  <c r="E41" i="11"/>
  <c r="D41" i="11"/>
  <c r="C41" i="11"/>
  <c r="H40" i="11"/>
  <c r="G40" i="11"/>
  <c r="F40" i="11"/>
  <c r="E40" i="11"/>
  <c r="D40" i="11"/>
  <c r="C40" i="11"/>
  <c r="H39" i="11"/>
  <c r="G39" i="11"/>
  <c r="F39" i="11"/>
  <c r="E39" i="11"/>
  <c r="D39" i="11"/>
  <c r="C39" i="11"/>
  <c r="A39" i="1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H38" i="11"/>
  <c r="G38" i="11"/>
  <c r="F38" i="11"/>
  <c r="E38" i="11"/>
  <c r="D38" i="11"/>
  <c r="C38" i="11"/>
  <c r="H37" i="11"/>
  <c r="G37" i="11"/>
  <c r="F37" i="11"/>
  <c r="E37" i="11"/>
  <c r="D37" i="11"/>
  <c r="C37" i="11"/>
  <c r="H36" i="11"/>
  <c r="G36" i="11"/>
  <c r="F36" i="11"/>
  <c r="E36" i="11"/>
  <c r="D36" i="11"/>
  <c r="C36" i="11"/>
  <c r="H35" i="11"/>
  <c r="G35" i="11"/>
  <c r="F35" i="11"/>
  <c r="E35" i="11"/>
  <c r="D35" i="11"/>
  <c r="C35" i="11"/>
  <c r="H34" i="11"/>
  <c r="G34" i="11"/>
  <c r="F34" i="11"/>
  <c r="E34" i="11"/>
  <c r="D34" i="11"/>
  <c r="C34" i="11"/>
  <c r="H33" i="11"/>
  <c r="G33" i="11"/>
  <c r="F33" i="11"/>
  <c r="E33" i="11"/>
  <c r="D33" i="11"/>
  <c r="C33" i="11"/>
  <c r="H32" i="11"/>
  <c r="G32" i="11"/>
  <c r="F32" i="11"/>
  <c r="E32" i="11"/>
  <c r="D32" i="11"/>
  <c r="C32" i="11"/>
  <c r="H31" i="11"/>
  <c r="G31" i="11"/>
  <c r="F31" i="11"/>
  <c r="E31" i="11"/>
  <c r="D31" i="11"/>
  <c r="C31" i="11"/>
  <c r="H30" i="11"/>
  <c r="G30" i="11"/>
  <c r="F30" i="11"/>
  <c r="E30" i="11"/>
  <c r="D30" i="11"/>
  <c r="C30" i="11"/>
  <c r="H29" i="11"/>
  <c r="G29" i="11"/>
  <c r="F29" i="11"/>
  <c r="E29" i="11"/>
  <c r="D29" i="11"/>
  <c r="C29" i="11"/>
  <c r="H28" i="11"/>
  <c r="G28" i="11"/>
  <c r="F28" i="11"/>
  <c r="E28" i="11"/>
  <c r="D28" i="11"/>
  <c r="C28" i="11"/>
  <c r="A28" i="11"/>
  <c r="A29" i="11" s="1"/>
  <c r="A30" i="11" s="1"/>
  <c r="A31" i="11" s="1"/>
  <c r="A32" i="11" s="1"/>
  <c r="A33" i="11" s="1"/>
  <c r="A34" i="11" s="1"/>
  <c r="A35" i="11" s="1"/>
  <c r="A36" i="11" s="1"/>
  <c r="A37" i="11" s="1"/>
  <c r="H27" i="11"/>
  <c r="G27" i="11"/>
  <c r="F27" i="11"/>
  <c r="E27" i="11"/>
  <c r="D27" i="11"/>
  <c r="C27" i="11"/>
  <c r="A27" i="11"/>
  <c r="H26" i="11"/>
  <c r="G26" i="11"/>
  <c r="F26" i="11"/>
  <c r="E26" i="11"/>
  <c r="D26" i="11"/>
  <c r="C26" i="11"/>
  <c r="H25" i="11"/>
  <c r="G25" i="11"/>
  <c r="F25" i="11"/>
  <c r="E25" i="11"/>
  <c r="D25" i="11"/>
  <c r="C25" i="11"/>
  <c r="H24" i="11"/>
  <c r="G24" i="11"/>
  <c r="F24" i="11"/>
  <c r="E24" i="11"/>
  <c r="D24" i="11"/>
  <c r="C24" i="11"/>
  <c r="H23" i="11"/>
  <c r="G23" i="11"/>
  <c r="F23" i="11"/>
  <c r="E23" i="11"/>
  <c r="D23" i="11"/>
  <c r="C23" i="11"/>
  <c r="H22" i="11"/>
  <c r="G22" i="11"/>
  <c r="F22" i="11"/>
  <c r="E22" i="11"/>
  <c r="D22" i="11"/>
  <c r="C22" i="11"/>
  <c r="H21" i="11"/>
  <c r="G21" i="11"/>
  <c r="F21" i="11"/>
  <c r="E21" i="11"/>
  <c r="D21" i="11"/>
  <c r="C21" i="11"/>
  <c r="H20" i="11"/>
  <c r="G20" i="11"/>
  <c r="F20" i="11"/>
  <c r="E20" i="11"/>
  <c r="D20" i="11"/>
  <c r="C20" i="11"/>
  <c r="H19" i="11"/>
  <c r="G19" i="11"/>
  <c r="F19" i="11"/>
  <c r="E19" i="11"/>
  <c r="D19" i="11"/>
  <c r="C19" i="11"/>
  <c r="H18" i="11"/>
  <c r="G18" i="11"/>
  <c r="F18" i="11"/>
  <c r="E18" i="11"/>
  <c r="D18" i="11"/>
  <c r="C18" i="11"/>
  <c r="H17" i="11"/>
  <c r="G17" i="11"/>
  <c r="F17" i="11"/>
  <c r="E17" i="11"/>
  <c r="D17" i="11"/>
  <c r="C17" i="11"/>
  <c r="A17" i="11"/>
  <c r="A18" i="11" s="1"/>
  <c r="A19" i="11" s="1"/>
  <c r="A20" i="11" s="1"/>
  <c r="A21" i="11" s="1"/>
  <c r="A22" i="11" s="1"/>
  <c r="A23" i="11" s="1"/>
  <c r="A24" i="11" s="1"/>
  <c r="A25" i="11" s="1"/>
  <c r="H16" i="11"/>
  <c r="G16" i="11"/>
  <c r="F16" i="11"/>
  <c r="E16" i="11"/>
  <c r="D16" i="11"/>
  <c r="C16" i="11"/>
  <c r="A16" i="11"/>
  <c r="H15" i="11"/>
  <c r="G15" i="11"/>
  <c r="F15" i="11"/>
  <c r="E15" i="11"/>
  <c r="D15" i="11"/>
  <c r="C15" i="11"/>
  <c r="A15" i="11"/>
  <c r="H14" i="11"/>
  <c r="G14" i="11"/>
  <c r="F14" i="11"/>
  <c r="E14" i="11"/>
  <c r="D14" i="11"/>
  <c r="C14" i="11"/>
  <c r="H13" i="11"/>
  <c r="G13" i="11"/>
  <c r="F13" i="11"/>
  <c r="E13" i="11"/>
  <c r="D13" i="11"/>
  <c r="C13" i="11"/>
  <c r="H12" i="11"/>
  <c r="G12" i="11"/>
  <c r="F12" i="11"/>
  <c r="E12" i="11"/>
  <c r="D12" i="11"/>
  <c r="C12" i="11"/>
  <c r="H11" i="11"/>
  <c r="G11" i="11"/>
  <c r="F11" i="11"/>
  <c r="E11" i="11"/>
  <c r="D11" i="11"/>
  <c r="C11" i="11"/>
  <c r="H10" i="11"/>
  <c r="G10" i="11"/>
  <c r="F10" i="11"/>
  <c r="E10" i="11"/>
  <c r="D10" i="11"/>
  <c r="C10" i="11"/>
  <c r="H9" i="11"/>
  <c r="G9" i="11"/>
  <c r="F9" i="11"/>
  <c r="E9" i="11"/>
  <c r="D9" i="11"/>
  <c r="C9" i="11"/>
  <c r="H8" i="11"/>
  <c r="G8" i="11"/>
  <c r="F8" i="11"/>
  <c r="E8" i="11"/>
  <c r="D8" i="11"/>
  <c r="C8" i="11"/>
  <c r="H7" i="11"/>
  <c r="G7" i="11"/>
  <c r="F7" i="11"/>
  <c r="E7" i="11"/>
  <c r="D7" i="11"/>
  <c r="C7" i="11"/>
  <c r="H6" i="11"/>
  <c r="G6" i="11"/>
  <c r="F6" i="11"/>
  <c r="E6" i="11"/>
  <c r="D6" i="11"/>
  <c r="C6" i="11"/>
  <c r="H5" i="11"/>
  <c r="G5" i="11"/>
  <c r="F5" i="11"/>
  <c r="E5" i="11"/>
  <c r="D5" i="11"/>
  <c r="C5" i="11"/>
  <c r="H4" i="11"/>
  <c r="G4" i="11"/>
  <c r="F4" i="11"/>
  <c r="E4" i="11"/>
  <c r="D4" i="11"/>
  <c r="C4" i="11"/>
  <c r="H3" i="11"/>
  <c r="G3" i="11"/>
  <c r="F3" i="11"/>
  <c r="E3" i="11"/>
  <c r="D3" i="11"/>
  <c r="C3" i="11"/>
  <c r="A3" i="11"/>
  <c r="A4" i="11" s="1"/>
  <c r="A5" i="11" s="1"/>
  <c r="A6" i="11" s="1"/>
  <c r="A7" i="11" s="1"/>
  <c r="A8" i="11" s="1"/>
  <c r="A9" i="11" s="1"/>
  <c r="A10" i="11" s="1"/>
  <c r="A11" i="11" s="1"/>
  <c r="A12" i="11" s="1"/>
  <c r="A13" i="11" s="1"/>
  <c r="H2" i="11"/>
  <c r="G2" i="11"/>
  <c r="F2" i="11"/>
  <c r="E2" i="11"/>
  <c r="D2" i="11"/>
  <c r="C2" i="11"/>
</calcChain>
</file>

<file path=xl/sharedStrings.xml><?xml version="1.0" encoding="utf-8"?>
<sst xmlns="http://schemas.openxmlformats.org/spreadsheetml/2006/main" count="312" uniqueCount="236">
  <si>
    <t>Año</t>
  </si>
  <si>
    <t>Mes</t>
  </si>
  <si>
    <t>Deficit público CC.AA  Cantabria</t>
  </si>
  <si>
    <t>Deficit público CC.AA Cantabria. Var interanual</t>
  </si>
  <si>
    <t>Deficit público CC.AA Cantabria. Tendencia</t>
  </si>
  <si>
    <t>Deficit público CC.AA España</t>
  </si>
  <si>
    <t>Deficit público CC.AA España. Var interanual</t>
  </si>
  <si>
    <t>Deficit público CC.AA España. Tendencia</t>
  </si>
  <si>
    <t>Afiliados Cantabria</t>
  </si>
  <si>
    <t>Afiliados Cantabria. Var interanual</t>
  </si>
  <si>
    <t>Afiliados España</t>
  </si>
  <si>
    <t>Afiliados España. Var interanual</t>
  </si>
  <si>
    <t>Afiliados  Cantabria. Tendencia</t>
  </si>
  <si>
    <t>Afiliados  España. Tendencia</t>
  </si>
  <si>
    <t>Afiliados asalariados Cantabria</t>
  </si>
  <si>
    <t>Afiliados asalariados Cantabria. Var interanual</t>
  </si>
  <si>
    <t>Afiliados asalariados España</t>
  </si>
  <si>
    <t>Afiliados asalariados España. Var interanual</t>
  </si>
  <si>
    <t>Afiliados asalariados Cantabria. Tendencia</t>
  </si>
  <si>
    <t>Afiliados asalariados España. Tendencia</t>
  </si>
  <si>
    <t>Afiliados no asalariados Cantabria</t>
  </si>
  <si>
    <t>Afiliados no asalariados Cantabria. Var interanual</t>
  </si>
  <si>
    <t>Afiliados. No asalariados España</t>
  </si>
  <si>
    <t>Afiliados no asalariados España. Var interanual</t>
  </si>
  <si>
    <t>Afiliados no asalariados Cantabria. Tendencia</t>
  </si>
  <si>
    <t>Afiliados no asalariados España. Tendencia</t>
  </si>
  <si>
    <t>Contratos Cantabria</t>
  </si>
  <si>
    <t>Contratos Cantabria. Var interanual</t>
  </si>
  <si>
    <t>Contratos España</t>
  </si>
  <si>
    <t>Contratos España. Var interanual</t>
  </si>
  <si>
    <t>Contratos Cantabria. Tendencia</t>
  </si>
  <si>
    <t>Contratos España. Tendencia</t>
  </si>
  <si>
    <t>Paro Cantabria</t>
  </si>
  <si>
    <t>Paro Cantabria. Var interanual</t>
  </si>
  <si>
    <t>Paro España</t>
  </si>
  <si>
    <t>Paro España. Var interanual</t>
  </si>
  <si>
    <t>Paro Cantabria. Tendencia</t>
  </si>
  <si>
    <t>Paro España. Tendencia</t>
  </si>
  <si>
    <t>Empresas inscritas en la Seguridad Social Cantabria</t>
  </si>
  <si>
    <t>Empresas inscritas en la Seguridad Social Cantabria. Var interanual</t>
  </si>
  <si>
    <t>Empresas inscritas en la Seguridad Social Cantabria. Tendencia</t>
  </si>
  <si>
    <t>Empresas inscritas en la Seguridad Social España</t>
  </si>
  <si>
    <t>Empresas inscritas en la Seguridad Social España. Var interanual</t>
  </si>
  <si>
    <t>Empresas inscritas en la Seguridad Social España. Tendencia</t>
  </si>
  <si>
    <t>Empresas personas físicas inscritas en la Seguridad Social Cantabria</t>
  </si>
  <si>
    <t>Empresas personas físicas inscritas en la Seguridad Social Cantabria. Var interanual</t>
  </si>
  <si>
    <t>Empresas personas físicas inscritas en la Seguridad Social Cantabria. Tendencia</t>
  </si>
  <si>
    <t>Personas físicas inscritas en la Seguridad Social España</t>
  </si>
  <si>
    <t>Empresas personas físicas inscritas en la Seguridad Social España. Var interanual</t>
  </si>
  <si>
    <t>Empresas personas físicass inscritas en la Seguridad Social España. Tendencia</t>
  </si>
  <si>
    <t>Personas jurídicas inscritas en la Seguridad Social Cantabria</t>
  </si>
  <si>
    <t>Empresas personas jurídicas inscritas en la Seguridad Social Cantabria. Var interanual</t>
  </si>
  <si>
    <t>Empresas personas jurídicas inscritas en la Seguridad Social Cantabria. Tendencia</t>
  </si>
  <si>
    <t>Empresas personas jurídicas inscritas en la Seguridad Social España</t>
  </si>
  <si>
    <t>Empresas personas jurídicas inscritas en la Seguridad Social España. Var interanual</t>
  </si>
  <si>
    <t>Empresas personas jurídicas inscritas en la Seguridad Social España. Tendencia</t>
  </si>
  <si>
    <t>Sociedades mercantiles constituidas Cantabria</t>
  </si>
  <si>
    <t>Sociedades mercantiles constituidas Cantabria. Var interanual</t>
  </si>
  <si>
    <t>Sociedades mercantiles constituidas Cantabria. Tendencia</t>
  </si>
  <si>
    <t>Sociedades mercantiles constituidas España</t>
  </si>
  <si>
    <t>Sociedades mercantiles constituidas España. Var interanual</t>
  </si>
  <si>
    <t>Sociedades mercantiles constituidas España. Tendencia</t>
  </si>
  <si>
    <t>Sociedades mercantiles disueltas Cantabria</t>
  </si>
  <si>
    <t>Sociedades mercantiles disueltas Cantabria. Var interanual</t>
  </si>
  <si>
    <t>Sociedades mercantiles disueltas Cantabria. Tendencia</t>
  </si>
  <si>
    <t>Sociedades mercantiles disueltas España</t>
  </si>
  <si>
    <t>Sociedades mercantiles disueltas España. Var interanual</t>
  </si>
  <si>
    <t>Sociedades mercantiles disueltas España. Tendencia</t>
  </si>
  <si>
    <t>Índice de Producción Industrial  Cantabria</t>
  </si>
  <si>
    <t>Índice de Producción Industrial  Cantabria. Var interanual</t>
  </si>
  <si>
    <t>Índice de Producción Industrial  Cantabria. Tendencia</t>
  </si>
  <si>
    <t>Índice de Producción Industrial  España</t>
  </si>
  <si>
    <t>Índice de Producción Industrial s España. Var interanual</t>
  </si>
  <si>
    <t>Índice de Producción Industrial s España. Tendencia</t>
  </si>
  <si>
    <t>Matriculación de vehículos Cantabria</t>
  </si>
  <si>
    <t>Matriculación de vehículos Cantabria. Var interanual</t>
  </si>
  <si>
    <t>Matriculación de vehículos Cantabria. Tendencia</t>
  </si>
  <si>
    <t>Matriculación de vehículos España</t>
  </si>
  <si>
    <t>Matriculación de vehículos España. Var interanual</t>
  </si>
  <si>
    <t>Matriculación de vehículos España. Tendencia</t>
  </si>
  <si>
    <t>Consumo de productos petrolíferos Cantabria</t>
  </si>
  <si>
    <t>Consumo de productos petrolíferos Cantabria. Var interanual</t>
  </si>
  <si>
    <t>Consumo de productos petrolíferos Cantabria. Tendencia</t>
  </si>
  <si>
    <t>Consumo de productos petrolíferos España</t>
  </si>
  <si>
    <t>Consumo de productos petrolíferos España. Var interanual</t>
  </si>
  <si>
    <t>Consumo de productos petrolíferos España. Tendencia</t>
  </si>
  <si>
    <t>Indicador de clima industrial Cantabria</t>
  </si>
  <si>
    <t>Indicador de clima industrial Cantabria. Var interanual</t>
  </si>
  <si>
    <t>Indicador de clima industrial Cantabria. Tendencia</t>
  </si>
  <si>
    <t>Indicador de clima industrial España</t>
  </si>
  <si>
    <t>Indicador de clima industrial España. Var interanual</t>
  </si>
  <si>
    <t>Indicador de clima industrial España. Tendencia</t>
  </si>
  <si>
    <t>Índice de cifra de negocios en la industria Cantabria</t>
  </si>
  <si>
    <t>Índice de cifra de negocios en la industria Cantabria. Var interanual</t>
  </si>
  <si>
    <t>Índice de cifra de negocios en la industria Cantabria. Tendencia</t>
  </si>
  <si>
    <t>Índice de cifra de negocios en la industria España</t>
  </si>
  <si>
    <t>Índice de cifra de negocios en la industria España. Var interanual</t>
  </si>
  <si>
    <t>Índice de cifra de negocios en la industria España. Tendencia</t>
  </si>
  <si>
    <t>Consumo de gas natural Cantabria</t>
  </si>
  <si>
    <t>Consumo de gas natural Cantabria. Var interanual</t>
  </si>
  <si>
    <t>Consumo de gas natural Cantabria. Tendencia</t>
  </si>
  <si>
    <t>Consumo de gas natural España</t>
  </si>
  <si>
    <t>Consumo de gas natural España. Var interanual</t>
  </si>
  <si>
    <t>Consumo de gas natural España. Tendencia</t>
  </si>
  <si>
    <t>Producción neta de energía eléctrica Cantabria</t>
  </si>
  <si>
    <t>Producción neta de energía eléctrica Cantabria. Var interanual</t>
  </si>
  <si>
    <t>Producción neta de energía eléctrica Cantabria. Tendencia</t>
  </si>
  <si>
    <t>Producción neta de energía eléctrica España</t>
  </si>
  <si>
    <t>Producción neta de energía eléctrica España. Var interanual</t>
  </si>
  <si>
    <t>Producción neta de energía eléctrica España. Tendencia</t>
  </si>
  <si>
    <t>Tráfico aéreo de pasajeros Cantabria</t>
  </si>
  <si>
    <t>Tráfico aéreo de pasajeros Cantabria. Var interanual</t>
  </si>
  <si>
    <t>Tráfico aéreo de pasajeros Cantabria. Tendencia</t>
  </si>
  <si>
    <t>Tráfico aéreo de pasajeros España</t>
  </si>
  <si>
    <t>Tráfico aéreo de pasajeros España. Var interanual</t>
  </si>
  <si>
    <t>Tráfico aéreo de pasajeros España. Tendencia</t>
  </si>
  <si>
    <t>Pernoctaciones extrahoteleras Cantabria</t>
  </si>
  <si>
    <t>Pernoctaciones extrahoteleras Cantabria. Var interanual</t>
  </si>
  <si>
    <t>Pernoctaciones extrahoteleras Cantabria. Tendencia</t>
  </si>
  <si>
    <t>Pernoctaciones extrahoteleras España</t>
  </si>
  <si>
    <t>Pernoctaciones extrahoteleras España. Var interanual</t>
  </si>
  <si>
    <t>Pernoctaciones extrahoteleras España. Tendencia</t>
  </si>
  <si>
    <t>Pernoctaciones hoteleras Cantabria</t>
  </si>
  <si>
    <t>Pernoctaciones hoteleras Cantabria. Var interanual</t>
  </si>
  <si>
    <t>Pernoctaciones hoteleras Cantabria. Tendencia</t>
  </si>
  <si>
    <t>Pernoctaciones hoteleras España</t>
  </si>
  <si>
    <t>Pernoctaciones hoteleras España. Var interanual</t>
  </si>
  <si>
    <t>Pernoctaciones hoteleras España. Tendencia</t>
  </si>
  <si>
    <t>Tráfico portuario de pasajeros Cantabria</t>
  </si>
  <si>
    <t>Tráfico portuario de pasajeros Cantabria. Var interanual</t>
  </si>
  <si>
    <t>Tráfico portuario de pasajeros Cantabria. Tendencia</t>
  </si>
  <si>
    <t>Tráfico portuario de pasajeros España</t>
  </si>
  <si>
    <t>Tráfico portuario de pasajeros España. Var interanual</t>
  </si>
  <si>
    <t>Tráfico portuario de pasajeros España. Tendencia</t>
  </si>
  <si>
    <t>Tráfico portuario Cantabria</t>
  </si>
  <si>
    <t>Tráfico portuario Cantabria. Var interanual</t>
  </si>
  <si>
    <t>Tráfico portuario Cantabria. Tendencia</t>
  </si>
  <si>
    <t>Tráfico portuario España</t>
  </si>
  <si>
    <t>Tráfico portuario España. Var interanual</t>
  </si>
  <si>
    <t>Tráfico portuario España. Tendencia</t>
  </si>
  <si>
    <t>Índice de cifra de negocios del sector servicios Cantabria</t>
  </si>
  <si>
    <t>Índice de cifra de negocios del sector servicios Cantabria. Var interanual</t>
  </si>
  <si>
    <t>Índice de cifra de negocios del sector servicios Cantabria. Tendencia</t>
  </si>
  <si>
    <t>Índice de cifra de negocios del sector servicios España</t>
  </si>
  <si>
    <t>Índice de cifra de negocios del sector servicios España. Var interanual</t>
  </si>
  <si>
    <t>Índice de cifra de negocios del sector servicios España. Tendencia</t>
  </si>
  <si>
    <t>Índice de ocupación del sector servicios Cantabria</t>
  </si>
  <si>
    <t>Índice de ocupación del sector servicios Cantabria. Var interanual</t>
  </si>
  <si>
    <t>Índice de ocupación del sector servicios Cantabria. Tendencia</t>
  </si>
  <si>
    <t>Índice de ocupación del sector servicios España</t>
  </si>
  <si>
    <t>Índice de ocupación del sector servicios España. Var interanual</t>
  </si>
  <si>
    <t>Índice de ocupación del sector servicios España. Tendencia</t>
  </si>
  <si>
    <t>Índice de comercio al por menor a precios constantes Cantabria</t>
  </si>
  <si>
    <t>Índice de comercio al por menor a precios constantes Cantabria. Var interanual</t>
  </si>
  <si>
    <t>Índice de comercio al por menor a precios constantes Cantabria. Tendencia</t>
  </si>
  <si>
    <t>Índice de comercio al por menor a precios constantes España</t>
  </si>
  <si>
    <t>Índice de comercio al por menor a precios constantes España. Var interanual</t>
  </si>
  <si>
    <t>Índice de comercio al por menor a precios constantes España. Tendencia</t>
  </si>
  <si>
    <t>Índice de ocupacion del comercio al por menor Cantabria</t>
  </si>
  <si>
    <t>Índice de ocupacion del comercio al por menor Cantabria. Var interanual</t>
  </si>
  <si>
    <t>Índice de ocupacion del comercio al por menor Cantabria. Tendencia</t>
  </si>
  <si>
    <t>Índice de ocupacion del comercio al por menor España</t>
  </si>
  <si>
    <t>Índice de ocupacion del comercio al por menors España. Var interanual</t>
  </si>
  <si>
    <t>Índice de ocupacion del comercio al por menor España. Tendencia</t>
  </si>
  <si>
    <t>Exportaciones Cantabria</t>
  </si>
  <si>
    <t>Exportaciones Cantabria. Var interanual</t>
  </si>
  <si>
    <t>Exportaciones Cantabria. Tendencia</t>
  </si>
  <si>
    <t>Exportaciones España</t>
  </si>
  <si>
    <t>Exportaciones España. Var interanual</t>
  </si>
  <si>
    <t>Exportaciones España. Tendencia</t>
  </si>
  <si>
    <t>Importaciones Cantabria</t>
  </si>
  <si>
    <t>Importaciones Cantabria. Var interanual</t>
  </si>
  <si>
    <t>Importaciones Cantabria. Tendencia</t>
  </si>
  <si>
    <t>Importaciones España</t>
  </si>
  <si>
    <t>Importaciones España. Var interanual</t>
  </si>
  <si>
    <t>Importaciones España. Tendencia</t>
  </si>
  <si>
    <t>Saldo comercial Cantabria</t>
  </si>
  <si>
    <t>Saldo comercial Cantabria. Var interanual</t>
  </si>
  <si>
    <t>Saldo comercial Cantabria. Tendencia</t>
  </si>
  <si>
    <t>Saldo comercial España</t>
  </si>
  <si>
    <t>Saldo comercial España. Var interanual</t>
  </si>
  <si>
    <t>Saldo comercial España. Tendencia</t>
  </si>
  <si>
    <t>Tasa cobertura Cantabria</t>
  </si>
  <si>
    <t>Tasa cobertura Cantabria. Var interanual</t>
  </si>
  <si>
    <t>Tasa cobertura Cantabria. Tendencia</t>
  </si>
  <si>
    <t>Tasa cobertura España</t>
  </si>
  <si>
    <t>Tasa cobertura España. Var interanual</t>
  </si>
  <si>
    <t>Tasa cobertura España. Tendencia</t>
  </si>
  <si>
    <t>Ipc Cantabria</t>
  </si>
  <si>
    <t>Ipc Cantabria. Var interanual</t>
  </si>
  <si>
    <t>Ipc Cantabria. Tendencia</t>
  </si>
  <si>
    <t>Ipc España</t>
  </si>
  <si>
    <t>Ipc España. Var interanual</t>
  </si>
  <si>
    <t>Ipc España. Tendencia</t>
  </si>
  <si>
    <t>Beneficiarios prestaciones por desempleo Cantabria</t>
  </si>
  <si>
    <t>Beneficiarios prestaciones por desempleo Cantabria. Var interanual</t>
  </si>
  <si>
    <t>Beneficiarios prestaciones por desempleo Cantabria. Tendencia</t>
  </si>
  <si>
    <t>Beneficiarios prestaciones por desempleos España</t>
  </si>
  <si>
    <t>Beneficiarios prestaciones por desempleos España. Var interanual</t>
  </si>
  <si>
    <t>Beneficiarios prestaciones por desempleos España. Tendencia</t>
  </si>
  <si>
    <t>Gasto prestaciones por desempleo Cantabria</t>
  </si>
  <si>
    <t>Gasto prestaciones por desempleo Cantabria. Var interanual</t>
  </si>
  <si>
    <t>Gasto prestaciones por desempleo Cantabria. Tendencia</t>
  </si>
  <si>
    <t>Gasto prestaciones por desempleos España</t>
  </si>
  <si>
    <t>Gasto prestaciones por desempleos España. Var interanual</t>
  </si>
  <si>
    <t>Gasto prestaciones por desempleos España. Tendencia</t>
  </si>
  <si>
    <t>Pensiones Contributivas Cantabria</t>
  </si>
  <si>
    <t>Pensiones Contributivas Cantabria. Var interanual</t>
  </si>
  <si>
    <t>Pensiones Conbtributivas Cantabria. Tendencia</t>
  </si>
  <si>
    <t>Pensiones Contributivas España</t>
  </si>
  <si>
    <t>Pensiones Contributivas España. Var interanual</t>
  </si>
  <si>
    <t>Pensiones Contributivas España. Tendencia</t>
  </si>
  <si>
    <t>Pensiones no Contributivas Cantabria</t>
  </si>
  <si>
    <t>Pensiones no Contributivas Cantabria. Var interanual</t>
  </si>
  <si>
    <t>Pensiones no Conbtributivas Cantabria. Tendencia</t>
  </si>
  <si>
    <t>Pensiones no Contributivas España</t>
  </si>
  <si>
    <t>Pensiones no Contributivas España. Var interanual</t>
  </si>
  <si>
    <t>Pensiones no Contributivas España. Tendencia</t>
  </si>
  <si>
    <t>Gasto en productos farmacéuticos y sanitarios Cantabria</t>
  </si>
  <si>
    <t>Gasto en productos farmacéuticos y sanitarios Cantabria. Var interanual</t>
  </si>
  <si>
    <t>Gasto en productos farmacéuticos y sanitarios Cantabria. Tendencia</t>
  </si>
  <si>
    <t>Gasto en productos farmacéuticos y sanitarios España</t>
  </si>
  <si>
    <t>Gasto en productos farmacéuticos y sanitarios España. Var interanual</t>
  </si>
  <si>
    <t>Gasto en productos farmacéuticos y sanitarios España. Tendencia</t>
  </si>
  <si>
    <t>Consumo de cemento Zona Oeste</t>
  </si>
  <si>
    <t>Consumo de cemento Zona Oeste. Var interanual</t>
  </si>
  <si>
    <t>Consumo de cemento Zona Oeste. Tendencia</t>
  </si>
  <si>
    <t>Consumo de cemento España</t>
  </si>
  <si>
    <t>Consumo de cemento España. Var interanual</t>
  </si>
  <si>
    <t>Consumo de cemento España. Tendencia</t>
  </si>
  <si>
    <t>Licitación oficial en construcción Cantabria</t>
  </si>
  <si>
    <t>Licitación oficial en construcción Cantabria. Var interanual</t>
  </si>
  <si>
    <t>Licitación oficial en construcción Cantabria. Tendencia</t>
  </si>
  <si>
    <t>Licitación oficial en construcción España</t>
  </si>
  <si>
    <t>Licitación oficial en construcción España. Var interanual</t>
  </si>
  <si>
    <t>Licitación oficial en construcción España. Tendencia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</si>
</sst>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entury Gothic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2" fontId="1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 applyAlignment="1">
      <alignment wrapText="1"/>
    </xf>
    <xf numFmtId="2" fontId="1" fillId="0" borderId="0" xfId="0" applyNumberFormat="1" applyFont="1" applyAlignment="1">
      <alignment wrapText="1"/>
    </xf>
    <xf numFmtId="1" fontId="1" fillId="0" borderId="0" xfId="0" applyNumberFormat="1" applyFont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conomia/1.%20Publicaciones/Panel%20indicadores%20economicos/Indicadores_coyuntur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IB"/>
      <sheetName val="DEUDA"/>
      <sheetName val="DEUDA_PIB"/>
      <sheetName val="PCN"/>
      <sheetName val="PCN_PIB"/>
      <sheetName val="Afi"/>
      <sheetName val="Afi_asa"/>
      <sheetName val="Afi_noasa"/>
      <sheetName val="Paro"/>
      <sheetName val="Contra"/>
      <sheetName val="EPA"/>
      <sheetName val="EPA_2"/>
      <sheetName val="EPA_3"/>
      <sheetName val="EPA_4"/>
      <sheetName val="EPA_5"/>
      <sheetName val="Emp"/>
      <sheetName val="Emp_fi"/>
      <sheetName val="Emp_ju"/>
      <sheetName val="ICE"/>
      <sheetName val="SM_C"/>
      <sheetName val="SM_D"/>
      <sheetName val="IPI"/>
      <sheetName val="ICN"/>
      <sheetName val="ECI"/>
      <sheetName val="Matr"/>
      <sheetName val="CP"/>
      <sheetName val="CGN"/>
      <sheetName val="ENERGÍA"/>
      <sheetName val="IPV"/>
      <sheetName val="TI"/>
      <sheetName val="CEMENTO"/>
      <sheetName val="LOC"/>
      <sheetName val="IASS"/>
      <sheetName val="IASS_2"/>
      <sheetName val="ICM"/>
      <sheetName val="ICM_2"/>
      <sheetName val="Taereo"/>
      <sheetName val="TPS_P"/>
      <sheetName val="TPS_M"/>
      <sheetName val="TMC"/>
      <sheetName val="CTH"/>
      <sheetName val="EOAT"/>
      <sheetName val="ETR_5"/>
      <sheetName val="ETR_6"/>
      <sheetName val="EGATUR"/>
      <sheetName val="FRONTUR"/>
      <sheetName val="Ipc"/>
      <sheetName val="PRD_G"/>
      <sheetName val="PRD_B"/>
      <sheetName val="P_CONTR"/>
      <sheetName val="P_NO_CONTR"/>
      <sheetName val="GS"/>
      <sheetName val="X"/>
      <sheetName val="M"/>
      <sheetName val="SALDO"/>
      <sheetName val="TCOB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206">
          <cell r="C206">
            <v>16600</v>
          </cell>
          <cell r="D206">
            <v>0.68538848789956308</v>
          </cell>
          <cell r="E206">
            <v>0.77587589808793822</v>
          </cell>
          <cell r="F206">
            <v>1312263</v>
          </cell>
          <cell r="G206">
            <v>1.2673632547228086</v>
          </cell>
          <cell r="H206">
            <v>1.1371079617923407</v>
          </cell>
        </row>
        <row r="207">
          <cell r="C207">
            <v>16638</v>
          </cell>
          <cell r="D207">
            <v>0.62292107650439021</v>
          </cell>
          <cell r="E207">
            <v>0.72528407855450272</v>
          </cell>
          <cell r="F207">
            <v>1307311</v>
          </cell>
          <cell r="G207">
            <v>0.9016469992567222</v>
          </cell>
          <cell r="H207">
            <v>1.0708287446181315</v>
          </cell>
        </row>
        <row r="208">
          <cell r="C208">
            <v>17155</v>
          </cell>
          <cell r="D208">
            <v>2.528089887640439</v>
          </cell>
          <cell r="E208">
            <v>0.67214420044612566</v>
          </cell>
          <cell r="F208">
            <v>1321602</v>
          </cell>
          <cell r="G208">
            <v>1.6375338477238932</v>
          </cell>
          <cell r="H208">
            <v>1.0018767596462579</v>
          </cell>
        </row>
        <row r="209">
          <cell r="C209">
            <v>17258</v>
          </cell>
          <cell r="D209">
            <v>1.0895032802249238</v>
          </cell>
          <cell r="E209">
            <v>0.61642427525380339</v>
          </cell>
          <cell r="F209">
            <v>1327859</v>
          </cell>
          <cell r="G209">
            <v>0.69233329971509772</v>
          </cell>
          <cell r="H209">
            <v>0.93028027415433368</v>
          </cell>
        </row>
        <row r="210">
          <cell r="C210">
            <v>17247</v>
          </cell>
          <cell r="D210">
            <v>0.94820017559262837</v>
          </cell>
          <cell r="E210">
            <v>0.55822119958569849</v>
          </cell>
          <cell r="F210">
            <v>1334776</v>
          </cell>
          <cell r="G210">
            <v>1.01394150651819</v>
          </cell>
          <cell r="H210">
            <v>0.85611169827331124</v>
          </cell>
        </row>
        <row r="211">
          <cell r="C211">
            <v>17499</v>
          </cell>
          <cell r="D211">
            <v>1.6143081121886116</v>
          </cell>
          <cell r="E211">
            <v>0.49766472275865214</v>
          </cell>
          <cell r="F211">
            <v>1342696</v>
          </cell>
          <cell r="G211">
            <v>1.9827721745021787</v>
          </cell>
          <cell r="H211">
            <v>0.7794269180386959</v>
          </cell>
        </row>
        <row r="212">
          <cell r="C212">
            <v>17764</v>
          </cell>
          <cell r="D212">
            <v>0.8401453224341493</v>
          </cell>
          <cell r="E212">
            <v>0.43491167596283914</v>
          </cell>
          <cell r="F212">
            <v>1325845</v>
          </cell>
          <cell r="G212">
            <v>1.1770263144439852</v>
          </cell>
          <cell r="H212">
            <v>0.70029277988934313</v>
          </cell>
        </row>
        <row r="213">
          <cell r="C213">
            <v>17588</v>
          </cell>
          <cell r="D213">
            <v>0.66968118596530957</v>
          </cell>
          <cell r="E213">
            <v>0.37019643506825589</v>
          </cell>
          <cell r="F213">
            <v>1311299</v>
          </cell>
          <cell r="G213">
            <v>0.96001786222985608</v>
          </cell>
          <cell r="H213">
            <v>0.61885969590691825</v>
          </cell>
        </row>
        <row r="214">
          <cell r="C214">
            <v>17388</v>
          </cell>
          <cell r="D214">
            <v>0.77079107505071409</v>
          </cell>
          <cell r="E214">
            <v>0.30378151717034818</v>
          </cell>
          <cell r="F214">
            <v>1335474</v>
          </cell>
          <cell r="G214">
            <v>1.469301044876814</v>
          </cell>
          <cell r="H214">
            <v>0.53531118466854188</v>
          </cell>
        </row>
        <row r="215">
          <cell r="C215">
            <v>17144</v>
          </cell>
          <cell r="D215">
            <v>0.79962370649107051</v>
          </cell>
          <cell r="E215">
            <v>0.23595023691670736</v>
          </cell>
          <cell r="F215">
            <v>1320683</v>
          </cell>
          <cell r="G215">
            <v>1.0854947680866589</v>
          </cell>
          <cell r="H215">
            <v>0.44985445629066251</v>
          </cell>
        </row>
        <row r="216">
          <cell r="C216">
            <v>17059</v>
          </cell>
          <cell r="D216">
            <v>0.86920529801324253</v>
          </cell>
          <cell r="E216">
            <v>0.1670183401742221</v>
          </cell>
          <cell r="F216">
            <v>1324883</v>
          </cell>
          <cell r="G216">
            <v>1.0013356223908865</v>
          </cell>
          <cell r="H216">
            <v>0.36276158129668762</v>
          </cell>
        </row>
        <row r="217">
          <cell r="C217">
            <v>16938</v>
          </cell>
          <cell r="D217">
            <v>0.73148974130241573</v>
          </cell>
          <cell r="E217">
            <v>9.7340716800723676E-2</v>
          </cell>
          <cell r="F217">
            <v>1346629</v>
          </cell>
          <cell r="G217">
            <v>1.5434023470755065</v>
          </cell>
          <cell r="H217">
            <v>0.27434877189834378</v>
          </cell>
        </row>
        <row r="218">
          <cell r="C218">
            <v>16724</v>
          </cell>
          <cell r="D218">
            <v>0.74698795180723199</v>
          </cell>
          <cell r="E218">
            <v>2.732101963722661E-2</v>
          </cell>
          <cell r="F218">
            <v>1326961</v>
          </cell>
          <cell r="G218">
            <v>1.1200498680523641</v>
          </cell>
          <cell r="H218">
            <v>0.18497658572687792</v>
          </cell>
        </row>
        <row r="219">
          <cell r="C219">
            <v>16838</v>
          </cell>
          <cell r="D219">
            <v>1.202067556196651</v>
          </cell>
          <cell r="E219">
            <v>-4.2593060348553036E-2</v>
          </cell>
          <cell r="F219">
            <v>1324997</v>
          </cell>
          <cell r="G219">
            <v>1.352853299635659</v>
          </cell>
          <cell r="H219">
            <v>9.5093709134035503E-2</v>
          </cell>
        </row>
        <row r="220">
          <cell r="C220">
            <v>17126</v>
          </cell>
          <cell r="D220">
            <v>-0.16904692509472907</v>
          </cell>
          <cell r="E220">
            <v>-0.11190385531860964</v>
          </cell>
          <cell r="F220">
            <v>1337695</v>
          </cell>
          <cell r="G220">
            <v>1.2176888352166459</v>
          </cell>
          <cell r="H220">
            <v>5.213764116167887E-3</v>
          </cell>
        </row>
        <row r="221">
          <cell r="C221">
            <v>17265</v>
          </cell>
          <cell r="D221">
            <v>4.0560899293073938E-2</v>
          </cell>
          <cell r="E221">
            <v>-0.18002726266989968</v>
          </cell>
          <cell r="F221">
            <v>1338348</v>
          </cell>
          <cell r="G221">
            <v>0.78991820667706492</v>
          </cell>
          <cell r="H221">
            <v>-8.4062282914366515E-2</v>
          </cell>
        </row>
        <row r="222">
          <cell r="C222">
            <v>17356</v>
          </cell>
          <cell r="D222">
            <v>0.63199396996578283</v>
          </cell>
          <cell r="E222">
            <v>-0.24638314806811415</v>
          </cell>
          <cell r="F222">
            <v>1344083</v>
          </cell>
          <cell r="G222">
            <v>0.69727055326136433</v>
          </cell>
          <cell r="H222">
            <v>-0.17204926588749397</v>
          </cell>
        </row>
        <row r="223">
          <cell r="C223">
            <v>17606</v>
          </cell>
          <cell r="D223">
            <v>0.61146351220069395</v>
          </cell>
          <cell r="E223">
            <v>-0.31037605855658545</v>
          </cell>
          <cell r="F223">
            <v>1349325</v>
          </cell>
          <cell r="G223">
            <v>0.49370818115195281</v>
          </cell>
          <cell r="H223">
            <v>-0.2580013256435858</v>
          </cell>
        </row>
        <row r="224">
          <cell r="C224">
            <v>17800</v>
          </cell>
          <cell r="D224">
            <v>0.20265705922088983</v>
          </cell>
          <cell r="E224">
            <v>-0.37134954276767146</v>
          </cell>
          <cell r="F224">
            <v>1328629</v>
          </cell>
          <cell r="G224">
            <v>0.20997929622241784</v>
          </cell>
          <cell r="H224">
            <v>-0.34111223359112797</v>
          </cell>
        </row>
        <row r="225">
          <cell r="C225">
            <v>17752</v>
          </cell>
          <cell r="D225">
            <v>0.93245394587218033</v>
          </cell>
          <cell r="E225">
            <v>-0.42858313269687193</v>
          </cell>
          <cell r="F225">
            <v>1323342</v>
          </cell>
          <cell r="G225">
            <v>0.91840228658757184</v>
          </cell>
          <cell r="H225">
            <v>-0.42052355908952344</v>
          </cell>
        </row>
        <row r="226">
          <cell r="C226">
            <v>17217</v>
          </cell>
          <cell r="D226">
            <v>-0.98343685300207317</v>
          </cell>
          <cell r="E226">
            <v>-0.48131649877010413</v>
          </cell>
          <cell r="F226">
            <v>1327869</v>
          </cell>
          <cell r="G226">
            <v>-0.56946073079670034</v>
          </cell>
          <cell r="H226">
            <v>-0.49533860125304935</v>
          </cell>
        </row>
        <row r="227">
          <cell r="C227">
            <v>17072</v>
          </cell>
          <cell r="D227">
            <v>-0.41997200186654204</v>
          </cell>
          <cell r="E227">
            <v>-0.52869479494949589</v>
          </cell>
          <cell r="F227">
            <v>1318915</v>
          </cell>
          <cell r="G227">
            <v>-0.13387012629071382</v>
          </cell>
          <cell r="H227">
            <v>-0.56456767823447751</v>
          </cell>
        </row>
        <row r="228">
          <cell r="C228">
            <v>17062</v>
          </cell>
          <cell r="D228">
            <v>1.7586024972149339E-2</v>
          </cell>
          <cell r="E228">
            <v>-0.56989804466621885</v>
          </cell>
          <cell r="F228">
            <v>1332983</v>
          </cell>
          <cell r="G228">
            <v>0.61137474026007332</v>
          </cell>
          <cell r="H228">
            <v>-0.62722625555668687</v>
          </cell>
        </row>
        <row r="229">
          <cell r="C229">
            <v>16838</v>
          </cell>
          <cell r="D229">
            <v>-0.59038847561695418</v>
          </cell>
          <cell r="E229">
            <v>-0.60409872115748076</v>
          </cell>
          <cell r="F229">
            <v>1340415</v>
          </cell>
          <cell r="G229">
            <v>-0.46144855041737598</v>
          </cell>
          <cell r="H229">
            <v>-0.68229988919033824</v>
          </cell>
        </row>
        <row r="230">
          <cell r="C230">
            <v>16730</v>
          </cell>
          <cell r="D230">
            <v>3.5876584549154877E-2</v>
          </cell>
          <cell r="E230">
            <v>-0.63042850015565322</v>
          </cell>
          <cell r="F230">
            <v>1318325</v>
          </cell>
          <cell r="G230">
            <v>-0.6508103855350722</v>
          </cell>
          <cell r="H230">
            <v>-0.72868812114804959</v>
          </cell>
        </row>
        <row r="231">
          <cell r="C231">
            <v>16893</v>
          </cell>
          <cell r="D231">
            <v>0.32664211901651807</v>
          </cell>
          <cell r="E231">
            <v>-0.64801810529272319</v>
          </cell>
          <cell r="F231">
            <v>1324427</v>
          </cell>
          <cell r="G231">
            <v>-4.301896532595828E-2</v>
          </cell>
          <cell r="H231">
            <v>-0.76527515654391287</v>
          </cell>
        </row>
        <row r="232">
          <cell r="C232">
            <v>16150</v>
          </cell>
          <cell r="D232">
            <v>-5.6989372883335276</v>
          </cell>
          <cell r="E232">
            <v>-0.65595198901423968</v>
          </cell>
          <cell r="F232">
            <v>1238554</v>
          </cell>
          <cell r="G232">
            <v>-7.4113306844983295</v>
          </cell>
          <cell r="H232">
            <v>-0.79093979231593581</v>
          </cell>
        </row>
        <row r="233">
          <cell r="C233">
            <v>16053</v>
          </cell>
          <cell r="D233">
            <v>-7.0199826238053875</v>
          </cell>
          <cell r="E233">
            <v>-0.65324691902795251</v>
          </cell>
          <cell r="F233">
            <v>1233187</v>
          </cell>
          <cell r="G233">
            <v>-7.8575228565365691</v>
          </cell>
          <cell r="H233">
            <v>-0.80451066872218058</v>
          </cell>
        </row>
        <row r="234">
          <cell r="C234">
            <v>16366</v>
          </cell>
          <cell r="D234">
            <v>-5.7040792809403111</v>
          </cell>
          <cell r="E234">
            <v>-0.63926987035406424</v>
          </cell>
          <cell r="F234">
            <v>1259417</v>
          </cell>
          <cell r="G234">
            <v>-6.2991645605219304</v>
          </cell>
          <cell r="H234">
            <v>-0.80527617538822183</v>
          </cell>
        </row>
        <row r="235">
          <cell r="C235">
            <v>16748</v>
          </cell>
          <cell r="D235">
            <v>-4.8733386345564007</v>
          </cell>
          <cell r="E235">
            <v>-0.61382995243672023</v>
          </cell>
          <cell r="F235">
            <v>1273339</v>
          </cell>
          <cell r="G235">
            <v>-5.6314082967409584</v>
          </cell>
          <cell r="H235">
            <v>-0.79301449445267702</v>
          </cell>
        </row>
        <row r="236">
          <cell r="C236">
            <v>17310</v>
          </cell>
          <cell r="D236">
            <v>-2.7528089887640439</v>
          </cell>
          <cell r="E236">
            <v>-0.57708799759580109</v>
          </cell>
          <cell r="F236">
            <v>1282346</v>
          </cell>
          <cell r="G236">
            <v>-3.4835157143190409</v>
          </cell>
          <cell r="H236">
            <v>-0.76788532808090904</v>
          </cell>
        </row>
        <row r="237">
          <cell r="C237">
            <v>17166</v>
          </cell>
          <cell r="D237">
            <v>-3.3010365029292443</v>
          </cell>
          <cell r="E237">
            <v>-0.52950063736522357</v>
          </cell>
          <cell r="F237">
            <v>1276979</v>
          </cell>
          <cell r="G237">
            <v>-3.5034783147515958</v>
          </cell>
          <cell r="H237">
            <v>-0.73038437800788403</v>
          </cell>
        </row>
        <row r="238">
          <cell r="C238">
            <v>16782</v>
          </cell>
          <cell r="D238">
            <v>-2.5265725736191014</v>
          </cell>
          <cell r="E238">
            <v>-0.47167559501440215</v>
          </cell>
          <cell r="F238">
            <v>1286659</v>
          </cell>
          <cell r="G238">
            <v>-3.1034687909726077</v>
          </cell>
          <cell r="H238">
            <v>-0.68119593141205703</v>
          </cell>
        </row>
        <row r="239">
          <cell r="C239">
            <v>16788</v>
          </cell>
          <cell r="D239">
            <v>-1.6635426429240874</v>
          </cell>
          <cell r="E239">
            <v>-0.40441306158119328</v>
          </cell>
          <cell r="F239">
            <v>1286436</v>
          </cell>
          <cell r="G239">
            <v>-2.462554448163834</v>
          </cell>
          <cell r="H239">
            <v>-0.62119685143971237</v>
          </cell>
        </row>
        <row r="240">
          <cell r="C240">
            <v>16504</v>
          </cell>
          <cell r="D240">
            <v>-3.2704255069745614</v>
          </cell>
          <cell r="E240">
            <v>-0.32865592928252318</v>
          </cell>
          <cell r="F240">
            <v>1287803</v>
          </cell>
          <cell r="G240">
            <v>-3.3893905623702647</v>
          </cell>
          <cell r="H240">
            <v>-0.55143221463015957</v>
          </cell>
        </row>
        <row r="241">
          <cell r="C241">
            <v>16289</v>
          </cell>
          <cell r="D241">
            <v>-3.2604822425466251</v>
          </cell>
          <cell r="E241">
            <v>-0.24543452988957806</v>
          </cell>
          <cell r="F241">
            <v>1295656</v>
          </cell>
          <cell r="G241">
            <v>-3.3391897285542149</v>
          </cell>
          <cell r="H241">
            <v>-0.47307496957803624</v>
          </cell>
        </row>
        <row r="242">
          <cell r="C242">
            <v>16154</v>
          </cell>
          <cell r="D242">
            <v>-3.4429169157202621</v>
          </cell>
          <cell r="E242">
            <v>-0.15598348472755039</v>
          </cell>
          <cell r="F242">
            <v>1282944</v>
          </cell>
          <cell r="G242">
            <v>-2.6837843475622458</v>
          </cell>
          <cell r="H242">
            <v>-0.38749514531879514</v>
          </cell>
        </row>
        <row r="243">
          <cell r="C243">
            <v>16239</v>
          </cell>
          <cell r="D243">
            <v>-3.8714260344521412</v>
          </cell>
          <cell r="E243">
            <v>-6.1746793435011653E-2</v>
          </cell>
          <cell r="F243">
            <v>1276090</v>
          </cell>
          <cell r="G243">
            <v>-3.6496537748022306</v>
          </cell>
          <cell r="H243">
            <v>-0.29626180663504009</v>
          </cell>
        </row>
        <row r="244">
          <cell r="C244">
            <v>16508</v>
          </cell>
          <cell r="D244">
            <v>2.2167182662538698</v>
          </cell>
          <cell r="E244">
            <v>3.5603285083425515E-2</v>
          </cell>
          <cell r="F244">
            <v>1275175</v>
          </cell>
          <cell r="G244">
            <v>2.9567544087702347</v>
          </cell>
          <cell r="H244">
            <v>-0.20110348283730853</v>
          </cell>
        </row>
        <row r="245">
          <cell r="C245">
            <v>16613</v>
          </cell>
          <cell r="D245">
            <v>3.4884445275026543</v>
          </cell>
          <cell r="E245">
            <v>0.13412993086474448</v>
          </cell>
          <cell r="F245">
            <v>1285054</v>
          </cell>
          <cell r="G245">
            <v>4.2059314605165321</v>
          </cell>
          <cell r="H245">
            <v>-0.10398157767837174</v>
          </cell>
        </row>
        <row r="246">
          <cell r="C246">
            <v>16863</v>
          </cell>
          <cell r="D246">
            <v>3.0367835757057371</v>
          </cell>
          <cell r="E246">
            <v>0.23204779026406544</v>
          </cell>
          <cell r="F246">
            <v>1298848</v>
          </cell>
          <cell r="G246">
            <v>3.130893103713861</v>
          </cell>
          <cell r="H246">
            <v>-6.6381992240838262E-3</v>
          </cell>
        </row>
        <row r="247">
          <cell r="C247">
            <v>17238</v>
          </cell>
          <cell r="D247">
            <v>2.9257224743252985</v>
          </cell>
          <cell r="E247">
            <v>0.32780444815016402</v>
          </cell>
          <cell r="F247">
            <v>1306988</v>
          </cell>
          <cell r="G247">
            <v>2.6425798628644914</v>
          </cell>
          <cell r="H247">
            <v>8.9483843976242441E-2</v>
          </cell>
        </row>
        <row r="248">
          <cell r="C248">
            <v>17716</v>
          </cell>
          <cell r="D248">
            <v>2.3454650491045559</v>
          </cell>
          <cell r="E248">
            <v>0.42004226271024919</v>
          </cell>
          <cell r="F248">
            <v>1312466</v>
          </cell>
          <cell r="G248">
            <v>2.34882005324617</v>
          </cell>
          <cell r="H248">
            <v>0.18315962749155384</v>
          </cell>
        </row>
        <row r="249">
          <cell r="C249">
            <v>17518</v>
          </cell>
          <cell r="D249">
            <v>2.050565070488175</v>
          </cell>
          <cell r="E249">
            <v>0.50758400310556995</v>
          </cell>
          <cell r="F249">
            <v>1296788</v>
          </cell>
          <cell r="G249">
            <v>1.5512392921105178</v>
          </cell>
          <cell r="H249">
            <v>0.27334152522544219</v>
          </cell>
        </row>
        <row r="250">
          <cell r="C250">
            <v>17162</v>
          </cell>
          <cell r="D250">
            <v>2.264330830651895</v>
          </cell>
          <cell r="E250">
            <v>0.589386148413097</v>
          </cell>
          <cell r="F250">
            <v>1309569</v>
          </cell>
          <cell r="G250">
            <v>1.7805805578634315</v>
          </cell>
          <cell r="H250">
            <v>0.35913230416662112</v>
          </cell>
        </row>
        <row r="251">
          <cell r="C251">
            <v>17225</v>
          </cell>
          <cell r="D251">
            <v>2.6030497974743882</v>
          </cell>
          <cell r="E251">
            <v>0.66451232917281378</v>
          </cell>
          <cell r="F251">
            <v>1318777</v>
          </cell>
          <cell r="G251">
            <v>2.5139999191564844</v>
          </cell>
          <cell r="H251">
            <v>0.43972347420428243</v>
          </cell>
        </row>
        <row r="252">
          <cell r="C252">
            <v>17035</v>
          </cell>
          <cell r="D252">
            <v>3.2174018419776962</v>
          </cell>
          <cell r="E252">
            <v>0.73214249152763688</v>
          </cell>
          <cell r="F252">
            <v>1322440</v>
          </cell>
          <cell r="G252">
            <v>2.6896194526647266</v>
          </cell>
          <cell r="H252">
            <v>0.51440525691190231</v>
          </cell>
        </row>
        <row r="253">
          <cell r="C253">
            <v>16949</v>
          </cell>
          <cell r="D253">
            <v>4.0518141076800296</v>
          </cell>
          <cell r="E253">
            <v>0.79159120227800384</v>
          </cell>
          <cell r="F253">
            <v>1332390</v>
          </cell>
          <cell r="G253">
            <v>2.8351661243416482</v>
          </cell>
          <cell r="H253">
            <v>0.58261192083830082</v>
          </cell>
        </row>
        <row r="254">
          <cell r="C254">
            <v>16784</v>
          </cell>
          <cell r="D254">
            <v>3.8999628574965861</v>
          </cell>
          <cell r="E254">
            <v>0.84234561567924449</v>
          </cell>
          <cell r="F254">
            <v>1312611</v>
          </cell>
          <cell r="G254">
            <v>2.3124158186171861</v>
          </cell>
          <cell r="H254">
            <v>0.64392879107366985</v>
          </cell>
        </row>
        <row r="255">
          <cell r="C255">
            <v>16905</v>
          </cell>
          <cell r="D255">
            <v>4.1012377609458639</v>
          </cell>
          <cell r="E255">
            <v>0.8841192903551196</v>
          </cell>
          <cell r="F255">
            <v>1314146</v>
          </cell>
          <cell r="G255">
            <v>2.9822347953514239</v>
          </cell>
          <cell r="H255">
            <v>0.69809762008344456</v>
          </cell>
        </row>
        <row r="256">
          <cell r="C256">
            <v>17087</v>
          </cell>
          <cell r="D256">
            <v>3.5073903561909425</v>
          </cell>
          <cell r="E256">
            <v>0.91683811946007154</v>
          </cell>
          <cell r="F256">
            <v>1313307</v>
          </cell>
          <cell r="G256">
            <v>2.9903346599486236</v>
          </cell>
          <cell r="H256">
            <v>0.74497602748775071</v>
          </cell>
        </row>
        <row r="257">
          <cell r="C257">
            <v>17392</v>
          </cell>
          <cell r="D257">
            <v>4.6890988984530146</v>
          </cell>
          <cell r="E257">
            <v>0.94065140715344497</v>
          </cell>
          <cell r="F257">
            <v>1330423</v>
          </cell>
          <cell r="G257">
            <v>3.5305131146239788</v>
          </cell>
          <cell r="H257">
            <v>0.7845802535438855</v>
          </cell>
        </row>
        <row r="258">
          <cell r="C258">
            <v>17360</v>
          </cell>
          <cell r="D258">
            <v>2.9472810294728147</v>
          </cell>
          <cell r="E258">
            <v>0.9558883570554686</v>
          </cell>
          <cell r="F258">
            <v>1332413</v>
          </cell>
          <cell r="G258">
            <v>2.5842130872896663</v>
          </cell>
          <cell r="H258">
            <v>0.81708246619195579</v>
          </cell>
        </row>
        <row r="259">
          <cell r="C259">
            <v>17492</v>
          </cell>
          <cell r="D259">
            <v>1.473488803805556</v>
          </cell>
          <cell r="E259">
            <v>0.96313848163993365</v>
          </cell>
          <cell r="F259">
            <v>1327991</v>
          </cell>
          <cell r="G259">
            <v>1.6069772637545165</v>
          </cell>
          <cell r="H259">
            <v>0.84284552315408801</v>
          </cell>
        </row>
        <row r="260">
          <cell r="C260">
            <v>17833</v>
          </cell>
          <cell r="D260">
            <v>0.66041995935877118</v>
          </cell>
          <cell r="E260">
            <v>0.96312958453843811</v>
          </cell>
          <cell r="F260">
            <v>1327434</v>
          </cell>
          <cell r="G260">
            <v>1.1404485906682638</v>
          </cell>
          <cell r="H260">
            <v>0.8623549995566514</v>
          </cell>
        </row>
        <row r="261">
          <cell r="C261">
            <v>17612</v>
          </cell>
          <cell r="D261">
            <v>0.53659093503823918</v>
          </cell>
          <cell r="E261">
            <v>0.95662491037717468</v>
          </cell>
          <cell r="F261">
            <v>1310699</v>
          </cell>
          <cell r="G261">
            <v>1.0727273848925245</v>
          </cell>
          <cell r="H261">
            <v>0.87614953523022354</v>
          </cell>
        </row>
        <row r="262">
          <cell r="C262">
            <v>17265</v>
          </cell>
          <cell r="D262">
            <v>0.6001631511478811</v>
          </cell>
          <cell r="E262">
            <v>0.9443666822805874</v>
          </cell>
          <cell r="F262">
            <v>1319895</v>
          </cell>
          <cell r="G262">
            <v>0.7885036985450844</v>
          </cell>
          <cell r="H262">
            <v>0.88478708206032031</v>
          </cell>
        </row>
        <row r="263">
          <cell r="C263">
            <v>17203</v>
          </cell>
          <cell r="D263">
            <v>-0.12772133526850471</v>
          </cell>
          <cell r="E263">
            <v>0.92706795434705502</v>
          </cell>
          <cell r="F263">
            <v>1318761</v>
          </cell>
          <cell r="G263">
            <v>-1.2132453022783984E-3</v>
          </cell>
          <cell r="H263">
            <v>0.88883924317201723</v>
          </cell>
        </row>
        <row r="264">
          <cell r="C264">
            <v>17079</v>
          </cell>
          <cell r="D264">
            <v>0.25829175227471968</v>
          </cell>
          <cell r="E264">
            <v>0.90541787765196102</v>
          </cell>
          <cell r="F264">
            <v>1322311</v>
          </cell>
          <cell r="G264">
            <v>-9.7546958652161564E-3</v>
          </cell>
          <cell r="H264">
            <v>0.88887093534431261</v>
          </cell>
        </row>
        <row r="265">
          <cell r="C265">
            <v>16963</v>
          </cell>
          <cell r="D265">
            <v>8.2600743406691102E-2</v>
          </cell>
          <cell r="E265">
            <v>0.88003235401446556</v>
          </cell>
          <cell r="F265">
            <v>1329897</v>
          </cell>
          <cell r="G265">
            <v>-0.18710737847026371</v>
          </cell>
          <cell r="H265">
            <v>0.88538526615561608</v>
          </cell>
        </row>
        <row r="266">
          <cell r="C266">
            <v>16743</v>
          </cell>
          <cell r="D266">
            <v>-0.24428026692088212</v>
          </cell>
          <cell r="E266">
            <v>0.85148234593946637</v>
          </cell>
          <cell r="F266">
            <v>1313133</v>
          </cell>
          <cell r="G266">
            <v>3.9768065329326419E-2</v>
          </cell>
          <cell r="H266">
            <v>0.87882293862661442</v>
          </cell>
        </row>
        <row r="267">
          <cell r="C267">
            <v>16848</v>
          </cell>
          <cell r="D267">
            <v>-0.33717834960070858</v>
          </cell>
          <cell r="E267">
            <v>0.82028343873668008</v>
          </cell>
          <cell r="F267">
            <v>1316527</v>
          </cell>
          <cell r="G267">
            <v>0.18118230394492674</v>
          </cell>
          <cell r="H267">
            <v>0.86955017712211746</v>
          </cell>
        </row>
        <row r="268">
          <cell r="C268">
            <v>17145</v>
          </cell>
          <cell r="D268">
            <v>0.33943933984901253</v>
          </cell>
          <cell r="E268">
            <v>0.78687512308993035</v>
          </cell>
          <cell r="F268">
            <v>1322734</v>
          </cell>
          <cell r="G268">
            <v>0.71780627073487757</v>
          </cell>
          <cell r="H268">
            <v>0.85787493830740069</v>
          </cell>
        </row>
        <row r="269">
          <cell r="C269">
            <v>17404</v>
          </cell>
          <cell r="D269">
            <v>6.8997240110402203E-2</v>
          </cell>
          <cell r="E269">
            <v>0.75161651039218402</v>
          </cell>
          <cell r="F269">
            <v>1338654</v>
          </cell>
          <cell r="G269">
            <v>0.61867541375937307</v>
          </cell>
          <cell r="H269">
            <v>0.84405737552321336</v>
          </cell>
        </row>
        <row r="270">
          <cell r="C270">
            <v>17367</v>
          </cell>
          <cell r="D270">
            <v>4.0322580645169026E-2</v>
          </cell>
          <cell r="E270">
            <v>0.71483564010701617</v>
          </cell>
          <cell r="F270">
            <v>1336531</v>
          </cell>
          <cell r="G270">
            <v>0.3090633309641877</v>
          </cell>
          <cell r="H270">
            <v>0.82834791511950101</v>
          </cell>
        </row>
        <row r="271">
          <cell r="C271">
            <v>17522</v>
          </cell>
          <cell r="D271">
            <v>0.17150697461696396</v>
          </cell>
          <cell r="E271">
            <v>0.67681314758201028</v>
          </cell>
          <cell r="F271">
            <v>1331470</v>
          </cell>
          <cell r="G271">
            <v>0.26197466699700023</v>
          </cell>
          <cell r="H271">
            <v>0.8109813319210869</v>
          </cell>
        </row>
        <row r="272">
          <cell r="C272">
            <v>17796</v>
          </cell>
          <cell r="D272">
            <v>-0.20748051365445663</v>
          </cell>
          <cell r="E272">
            <v>0.63778282698006494</v>
          </cell>
          <cell r="F272">
            <v>1325910</v>
          </cell>
          <cell r="G272">
            <v>-0.11480796785376945</v>
          </cell>
          <cell r="H272">
            <v>0.79215633932333906</v>
          </cell>
        </row>
        <row r="273">
          <cell r="C273">
            <v>17623</v>
          </cell>
          <cell r="D273">
            <v>6.2457415398586846E-2</v>
          </cell>
          <cell r="E273">
            <v>0.59794338175762296</v>
          </cell>
          <cell r="F273">
            <v>1317509</v>
          </cell>
          <cell r="G273">
            <v>0.51957009198908555</v>
          </cell>
          <cell r="H273">
            <v>0.77203352525878377</v>
          </cell>
        </row>
        <row r="274">
          <cell r="C274">
            <v>17410</v>
          </cell>
          <cell r="D274">
            <v>0.83984940631334215</v>
          </cell>
          <cell r="E274">
            <v>0.55743481652802762</v>
          </cell>
          <cell r="F274">
            <v>1333972</v>
          </cell>
          <cell r="G274">
            <v>1.0665242310941458</v>
          </cell>
          <cell r="H274">
            <v>0.75071049402750434</v>
          </cell>
        </row>
        <row r="275">
          <cell r="C275">
            <v>17170</v>
          </cell>
          <cell r="D275">
            <v>-0.19182700691739996</v>
          </cell>
          <cell r="E275">
            <v>0.51635994937918062</v>
          </cell>
          <cell r="F275">
            <v>1322573</v>
          </cell>
          <cell r="G275">
            <v>0.2890592002644965</v>
          </cell>
          <cell r="H275">
            <v>0.72826731774671827</v>
          </cell>
        </row>
        <row r="276">
          <cell r="C276">
            <v>17068</v>
          </cell>
          <cell r="D276">
            <v>-6.4406581181564171E-2</v>
          </cell>
          <cell r="E276">
            <v>0.47484121052327427</v>
          </cell>
          <cell r="F276">
            <v>1331640</v>
          </cell>
          <cell r="G276">
            <v>0.70550725207609855</v>
          </cell>
          <cell r="H276">
            <v>0.70480600004316163</v>
          </cell>
        </row>
        <row r="277">
          <cell r="C277">
            <v>16963</v>
          </cell>
          <cell r="D277">
            <v>0</v>
          </cell>
          <cell r="E277">
            <v>0.4329518505227582</v>
          </cell>
          <cell r="F277">
            <v>1338191</v>
          </cell>
          <cell r="G277">
            <v>0.62365732083011771</v>
          </cell>
          <cell r="H277">
            <v>0.68039804397985659</v>
          </cell>
        </row>
        <row r="278">
          <cell r="C278">
            <v>16771</v>
          </cell>
          <cell r="D278">
            <v>0.16723406796870233</v>
          </cell>
          <cell r="E278">
            <v>0.39072767217676924</v>
          </cell>
          <cell r="F278">
            <v>1319327</v>
          </cell>
          <cell r="G278">
            <v>0.47169631712857818</v>
          </cell>
          <cell r="H278">
            <v>0.65511500131788314</v>
          </cell>
        </row>
        <row r="279">
          <cell r="C279">
            <v>16885</v>
          </cell>
          <cell r="D279">
            <v>0.21961063627731203</v>
          </cell>
          <cell r="E279">
            <v>0.34817441218371337</v>
          </cell>
          <cell r="F279">
            <v>1323368</v>
          </cell>
          <cell r="G279">
            <v>0.51962473994076053</v>
          </cell>
          <cell r="H279">
            <v>0.62902448349032469</v>
          </cell>
        </row>
        <row r="280">
          <cell r="C280">
            <v>17347</v>
          </cell>
          <cell r="D280">
            <v>1.1781860600758254</v>
          </cell>
          <cell r="E280">
            <v>0.30528228685281555</v>
          </cell>
          <cell r="F280">
            <v>1338491</v>
          </cell>
          <cell r="G280">
            <v>1.191244800541913</v>
          </cell>
          <cell r="H280">
            <v>0.60218136452164051</v>
          </cell>
        </row>
        <row r="281">
          <cell r="C281">
            <v>17335</v>
          </cell>
          <cell r="D281">
            <v>-0.39646058377384996</v>
          </cell>
          <cell r="E281">
            <v>0.26203258445330724</v>
          </cell>
          <cell r="F281">
            <v>1340814</v>
          </cell>
          <cell r="G281">
            <v>0.16135610844922876</v>
          </cell>
          <cell r="H281">
            <v>0.5746329212318767</v>
          </cell>
        </row>
        <row r="282">
          <cell r="C282">
            <v>17412</v>
          </cell>
          <cell r="D282">
            <v>0.25911210917257677</v>
          </cell>
          <cell r="E282">
            <v>0.21846721157200474</v>
          </cell>
          <cell r="F282">
            <v>1342887</v>
          </cell>
          <cell r="G282">
            <v>0.47555948945441351</v>
          </cell>
          <cell r="H282">
            <v>0.54646733762413624</v>
          </cell>
        </row>
        <row r="283">
          <cell r="C283">
            <v>17588</v>
          </cell>
          <cell r="D283">
            <v>0.37666932998516867</v>
          </cell>
          <cell r="E283">
            <v>0.17458234610348644</v>
          </cell>
          <cell r="F283">
            <v>1344094</v>
          </cell>
          <cell r="G283">
            <v>0.94812500469405592</v>
          </cell>
          <cell r="H283">
            <v>0.51774409792285669</v>
          </cell>
        </row>
        <row r="284">
          <cell r="C284">
            <v>17767</v>
          </cell>
          <cell r="D284">
            <v>-0.1629579680827109</v>
          </cell>
          <cell r="E284">
            <v>0.13037698850466409</v>
          </cell>
          <cell r="F284">
            <v>1328221</v>
          </cell>
          <cell r="G284">
            <v>0.17429538958149138</v>
          </cell>
          <cell r="H284">
            <v>0.48851776219635273</v>
          </cell>
        </row>
        <row r="285">
          <cell r="C285">
            <v>17757</v>
          </cell>
          <cell r="D285">
            <v>0.76036997106054827</v>
          </cell>
          <cell r="E285">
            <v>8.5864173050774525E-2</v>
          </cell>
          <cell r="F285">
            <v>1325904</v>
          </cell>
          <cell r="G285">
            <v>0.63718729815127606</v>
          </cell>
          <cell r="H285">
            <v>0.45887277807590926</v>
          </cell>
        </row>
        <row r="286">
          <cell r="C286">
            <v>17323</v>
          </cell>
          <cell r="D286">
            <v>-0.49971280873061241</v>
          </cell>
          <cell r="E286">
            <v>4.1036563533958237E-2</v>
          </cell>
          <cell r="F286">
            <v>1330115</v>
          </cell>
          <cell r="G286">
            <v>-0.28913650361477305</v>
          </cell>
          <cell r="H286">
            <v>0.42887177219471284</v>
          </cell>
        </row>
        <row r="287">
          <cell r="C287">
            <v>17184</v>
          </cell>
          <cell r="D287">
            <v>8.1537565521250244E-2</v>
          </cell>
          <cell r="E287">
            <v>-4.0663355732269398E-3</v>
          </cell>
          <cell r="F287">
            <v>1325048</v>
          </cell>
          <cell r="G287">
            <v>0.18713522807436433</v>
          </cell>
          <cell r="H287">
            <v>0.3985897541387331</v>
          </cell>
        </row>
        <row r="288">
          <cell r="C288">
            <v>17174</v>
          </cell>
          <cell r="D288">
            <v>0.62104523084134389</v>
          </cell>
          <cell r="E288">
            <v>-4.9442571837963765E-2</v>
          </cell>
          <cell r="F288">
            <v>1343760</v>
          </cell>
          <cell r="G288">
            <v>0.91015589799043894</v>
          </cell>
          <cell r="H288">
            <v>0.36805187180811949</v>
          </cell>
        </row>
        <row r="289">
          <cell r="C289">
            <v>16954</v>
          </cell>
          <cell r="D289">
            <v>-5.3056652714733588E-2</v>
          </cell>
          <cell r="E289">
            <v>-9.5084248112081216E-2</v>
          </cell>
          <cell r="F289">
            <v>1344934</v>
          </cell>
          <cell r="G289">
            <v>0.50388920565151984</v>
          </cell>
          <cell r="H289">
            <v>0.33726858876093369</v>
          </cell>
        </row>
        <row r="290">
          <cell r="C290">
            <v>16782</v>
          </cell>
          <cell r="D290">
            <v>6.5589410291577721E-2</v>
          </cell>
          <cell r="E290">
            <v>-0.14093690559444444</v>
          </cell>
          <cell r="F290">
            <v>1325760</v>
          </cell>
          <cell r="G290">
            <v>0.48759708548373748</v>
          </cell>
          <cell r="H290">
            <v>0.30628801466816674</v>
          </cell>
        </row>
        <row r="291">
          <cell r="C291">
            <v>16876</v>
          </cell>
          <cell r="D291">
            <v>-5.3301747112821651E-2</v>
          </cell>
          <cell r="E291">
            <v>-0.18694316690090487</v>
          </cell>
          <cell r="F291">
            <v>1326486</v>
          </cell>
          <cell r="G291">
            <v>0.23561095628730211</v>
          </cell>
          <cell r="H291">
            <v>0.27516983007698265</v>
          </cell>
        </row>
        <row r="292">
          <cell r="C292">
            <v>17084</v>
          </cell>
          <cell r="D292">
            <v>-1.5161122960742457</v>
          </cell>
          <cell r="E292">
            <v>-0.23303131254204404</v>
          </cell>
          <cell r="F292">
            <v>1330155</v>
          </cell>
          <cell r="G292">
            <v>-0.62279088914307668</v>
          </cell>
          <cell r="H292">
            <v>0.2439863064422409</v>
          </cell>
        </row>
        <row r="293">
          <cell r="C293">
            <v>17299</v>
          </cell>
          <cell r="D293">
            <v>-0.20767233919815054</v>
          </cell>
          <cell r="E293">
            <v>-0.27912034237429151</v>
          </cell>
          <cell r="F293">
            <v>1341240</v>
          </cell>
          <cell r="G293">
            <v>3.177174462676291E-2</v>
          </cell>
          <cell r="H293">
            <v>0.21280696807478769</v>
          </cell>
        </row>
        <row r="294">
          <cell r="C294">
            <v>17416</v>
          </cell>
          <cell r="D294">
            <v>2.2972662531595134E-2</v>
          </cell>
          <cell r="E294">
            <v>-0.32521835910015551</v>
          </cell>
          <cell r="F294">
            <v>1350011</v>
          </cell>
          <cell r="G294">
            <v>0.53049884316402895</v>
          </cell>
          <cell r="H294">
            <v>0.18164114642466478</v>
          </cell>
        </row>
        <row r="295">
          <cell r="C295">
            <v>17462</v>
          </cell>
          <cell r="D295">
            <v>-0.71639754377984532</v>
          </cell>
          <cell r="E295">
            <v>-0.371328503755257</v>
          </cell>
          <cell r="F295">
            <v>1338590</v>
          </cell>
          <cell r="G295">
            <v>-0.40949516923667328</v>
          </cell>
          <cell r="H295">
            <v>0.15048560105139669</v>
          </cell>
        </row>
        <row r="296">
          <cell r="C296">
            <v>17685</v>
          </cell>
          <cell r="D296">
            <v>-0.46152980244272834</v>
          </cell>
          <cell r="E296">
            <v>-0.41742973744315925</v>
          </cell>
          <cell r="F296">
            <v>1330675</v>
          </cell>
          <cell r="G296">
            <v>0.1847584099332833</v>
          </cell>
          <cell r="H296">
            <v>0.11936131774344819</v>
          </cell>
        </row>
        <row r="297">
          <cell r="C297">
            <v>17690</v>
          </cell>
          <cell r="D297">
            <v>-0.37731598806104438</v>
          </cell>
          <cell r="E297">
            <v>-0.46352498439520495</v>
          </cell>
          <cell r="F297">
            <v>1329625</v>
          </cell>
          <cell r="G297">
            <v>0.28063871894195014</v>
          </cell>
          <cell r="H297">
            <v>8.8250394735791785E-2</v>
          </cell>
        </row>
      </sheetData>
      <sheetData sheetId="16">
        <row r="206">
          <cell r="C206">
            <v>6698</v>
          </cell>
          <cell r="D206">
            <v>-0.32738095238095122</v>
          </cell>
          <cell r="E206">
            <v>1.2248751201079482</v>
          </cell>
          <cell r="F206">
            <v>499660</v>
          </cell>
          <cell r="G206">
            <v>0.78219862762263226</v>
          </cell>
          <cell r="H206">
            <v>1.1028292485048379</v>
          </cell>
        </row>
        <row r="207">
          <cell r="C207">
            <v>6723</v>
          </cell>
          <cell r="D207">
            <v>-0.17817371937639548</v>
          </cell>
          <cell r="E207">
            <v>1.0858557755069829</v>
          </cell>
          <cell r="F207">
            <v>491707</v>
          </cell>
          <cell r="G207">
            <v>4.7204842565751193E-2</v>
          </cell>
          <cell r="H207">
            <v>0.98321960124651153</v>
          </cell>
        </row>
        <row r="208">
          <cell r="C208">
            <v>7054</v>
          </cell>
          <cell r="D208">
            <v>3.0382705229331064</v>
          </cell>
          <cell r="E208">
            <v>0.94610534440881044</v>
          </cell>
          <cell r="F208">
            <v>499450</v>
          </cell>
          <cell r="G208">
            <v>1.5840150347189663</v>
          </cell>
          <cell r="H208">
            <v>0.86041016706521689</v>
          </cell>
        </row>
        <row r="209">
          <cell r="C209">
            <v>7140</v>
          </cell>
          <cell r="D209">
            <v>1.0615711252653925</v>
          </cell>
          <cell r="E209">
            <v>0.80565065309457606</v>
          </cell>
          <cell r="F209">
            <v>502173</v>
          </cell>
          <cell r="G209">
            <v>-4.4984165971673207E-2</v>
          </cell>
          <cell r="H209">
            <v>0.73448936129306686</v>
          </cell>
        </row>
        <row r="210">
          <cell r="C210">
            <v>7120</v>
          </cell>
          <cell r="D210">
            <v>0.66449879824685976</v>
          </cell>
          <cell r="E210">
            <v>0.66466381709393352</v>
          </cell>
          <cell r="F210">
            <v>505878</v>
          </cell>
          <cell r="G210">
            <v>0.53119503979490723</v>
          </cell>
          <cell r="H210">
            <v>0.60559584960020585</v>
          </cell>
        </row>
        <row r="211">
          <cell r="C211">
            <v>7293</v>
          </cell>
          <cell r="D211">
            <v>1.4325452016689777</v>
          </cell>
          <cell r="E211">
            <v>0.52333472419154836</v>
          </cell>
          <cell r="F211">
            <v>510608</v>
          </cell>
          <cell r="G211">
            <v>1.9849401801585786</v>
          </cell>
          <cell r="H211">
            <v>0.4738141675507182</v>
          </cell>
        </row>
        <row r="212">
          <cell r="C212">
            <v>7526</v>
          </cell>
          <cell r="D212">
            <v>0.76315437140179743</v>
          </cell>
          <cell r="E212">
            <v>0.38185325071244391</v>
          </cell>
          <cell r="F212">
            <v>501333</v>
          </cell>
          <cell r="G212">
            <v>0.82740200997950542</v>
          </cell>
          <cell r="H212">
            <v>0.33922368398578495</v>
          </cell>
        </row>
        <row r="213">
          <cell r="C213">
            <v>7399</v>
          </cell>
          <cell r="D213">
            <v>0.36625067824198609</v>
          </cell>
          <cell r="E213">
            <v>0.24047241259813493</v>
          </cell>
          <cell r="F213">
            <v>492332</v>
          </cell>
          <cell r="G213">
            <v>0.42550066701207978</v>
          </cell>
          <cell r="H213">
            <v>0.20200870705301824</v>
          </cell>
        </row>
        <row r="214">
          <cell r="C214">
            <v>7223</v>
          </cell>
          <cell r="D214">
            <v>0.92217409529131711</v>
          </cell>
          <cell r="E214">
            <v>9.9471705034628516E-2</v>
          </cell>
          <cell r="F214">
            <v>507595</v>
          </cell>
          <cell r="G214">
            <v>1.7591515977707362</v>
          </cell>
          <cell r="H214">
            <v>6.2387446172668698E-2</v>
          </cell>
        </row>
        <row r="215">
          <cell r="C215">
            <v>7044</v>
          </cell>
          <cell r="D215">
            <v>1.018213107701138</v>
          </cell>
          <cell r="E215">
            <v>-4.086064219028742E-2</v>
          </cell>
          <cell r="F215">
            <v>494875</v>
          </cell>
          <cell r="G215">
            <v>0.93330804264337708</v>
          </cell>
          <cell r="H215">
            <v>-7.9406368960015961E-2</v>
          </cell>
        </row>
        <row r="216">
          <cell r="C216">
            <v>7005</v>
          </cell>
          <cell r="D216">
            <v>1.1990754117307212</v>
          </cell>
          <cell r="E216">
            <v>-0.18017926717839053</v>
          </cell>
          <cell r="F216">
            <v>498669</v>
          </cell>
          <cell r="G216">
            <v>0.77643297556519997</v>
          </cell>
          <cell r="H216">
            <v>-0.22302117780592706</v>
          </cell>
        </row>
        <row r="217">
          <cell r="C217">
            <v>6944</v>
          </cell>
          <cell r="D217">
            <v>1.1065812463599389</v>
          </cell>
          <cell r="E217">
            <v>-0.31806526124327156</v>
          </cell>
          <cell r="F217">
            <v>521024</v>
          </cell>
          <cell r="G217">
            <v>1.9251422680331753</v>
          </cell>
          <cell r="H217">
            <v>-0.36803509243626126</v>
          </cell>
        </row>
        <row r="218">
          <cell r="C218">
            <v>6769</v>
          </cell>
          <cell r="D218">
            <v>1.0600179157957523</v>
          </cell>
          <cell r="E218">
            <v>-0.45400393412359696</v>
          </cell>
          <cell r="F218">
            <v>504707</v>
          </cell>
          <cell r="G218">
            <v>1.0100868590641632</v>
          </cell>
          <cell r="H218">
            <v>-0.5139568183837866</v>
          </cell>
        </row>
        <row r="219">
          <cell r="C219">
            <v>6810</v>
          </cell>
          <cell r="D219">
            <v>1.2940651494868449</v>
          </cell>
          <cell r="E219">
            <v>-0.58738166177278306</v>
          </cell>
          <cell r="F219">
            <v>498754</v>
          </cell>
          <cell r="G219">
            <v>1.4331705670246775</v>
          </cell>
          <cell r="H219">
            <v>-0.66013581275346078</v>
          </cell>
        </row>
        <row r="220">
          <cell r="C220">
            <v>6968</v>
          </cell>
          <cell r="D220">
            <v>-1.219166430394103</v>
          </cell>
          <cell r="E220">
            <v>-0.71747967973800175</v>
          </cell>
          <cell r="F220">
            <v>504308</v>
          </cell>
          <cell r="G220">
            <v>0.97266993693061465</v>
          </cell>
          <cell r="H220">
            <v>-0.80581569628375216</v>
          </cell>
        </row>
        <row r="221">
          <cell r="C221">
            <v>7069</v>
          </cell>
          <cell r="D221">
            <v>-0.99439775910363792</v>
          </cell>
          <cell r="E221">
            <v>-0.84344856753786512</v>
          </cell>
          <cell r="F221">
            <v>503538</v>
          </cell>
          <cell r="G221">
            <v>0.27181867603396359</v>
          </cell>
          <cell r="H221">
            <v>-0.9500947212145332</v>
          </cell>
        </row>
        <row r="222">
          <cell r="C222">
            <v>7128</v>
          </cell>
          <cell r="D222">
            <v>0.11235955056179137</v>
          </cell>
          <cell r="E222">
            <v>-0.96447374404866992</v>
          </cell>
          <cell r="F222">
            <v>507129</v>
          </cell>
          <cell r="G222">
            <v>0.24729282554292187</v>
          </cell>
          <cell r="H222">
            <v>-1.0919476338389256</v>
          </cell>
        </row>
        <row r="223">
          <cell r="C223">
            <v>7309</v>
          </cell>
          <cell r="D223">
            <v>0.21938845468256751</v>
          </cell>
          <cell r="E223">
            <v>-1.0797511107294604</v>
          </cell>
          <cell r="F223">
            <v>509973</v>
          </cell>
          <cell r="G223">
            <v>-0.12436154545170108</v>
          </cell>
          <cell r="H223">
            <v>-1.2302643253530197</v>
          </cell>
        </row>
        <row r="224">
          <cell r="C224">
            <v>7471</v>
          </cell>
          <cell r="D224">
            <v>-0.73079989370183895</v>
          </cell>
          <cell r="E224">
            <v>-1.1884017889493774</v>
          </cell>
          <cell r="F224">
            <v>498116</v>
          </cell>
          <cell r="G224">
            <v>-0.64168925644232377</v>
          </cell>
          <cell r="H224">
            <v>-1.3638416841432268</v>
          </cell>
        </row>
        <row r="225">
          <cell r="C225">
            <v>7456</v>
          </cell>
          <cell r="D225">
            <v>0.77037437491553895</v>
          </cell>
          <cell r="E225">
            <v>-1.2894566820521862</v>
          </cell>
          <cell r="F225">
            <v>495298</v>
          </cell>
          <cell r="G225">
            <v>0.60243900457415123</v>
          </cell>
          <cell r="H225">
            <v>-1.4913997997917985</v>
          </cell>
        </row>
        <row r="226">
          <cell r="C226">
            <v>7059</v>
          </cell>
          <cell r="D226">
            <v>-2.2705247127232431</v>
          </cell>
          <cell r="E226">
            <v>-1.3819149154722599</v>
          </cell>
          <cell r="F226">
            <v>497439</v>
          </cell>
          <cell r="G226">
            <v>-2.0008077305726069</v>
          </cell>
          <cell r="H226">
            <v>-1.6116086124068407</v>
          </cell>
        </row>
        <row r="227">
          <cell r="C227">
            <v>6939</v>
          </cell>
          <cell r="D227">
            <v>-1.4906303236797314</v>
          </cell>
          <cell r="E227">
            <v>-1.4646325708205712</v>
          </cell>
          <cell r="F227">
            <v>489323</v>
          </cell>
          <cell r="G227">
            <v>-1.1218994695630258</v>
          </cell>
          <cell r="H227">
            <v>-1.7229926566239342</v>
          </cell>
        </row>
        <row r="228">
          <cell r="C228">
            <v>6938</v>
          </cell>
          <cell r="D228">
            <v>-0.95645967166310131</v>
          </cell>
          <cell r="E228">
            <v>-1.5365274387217909</v>
          </cell>
          <cell r="F228">
            <v>499589</v>
          </cell>
          <cell r="G228">
            <v>0.18449111534906137</v>
          </cell>
          <cell r="H228">
            <v>-1.8241034947951986</v>
          </cell>
        </row>
        <row r="229">
          <cell r="C229">
            <v>6811</v>
          </cell>
          <cell r="D229">
            <v>-1.9153225806451624</v>
          </cell>
          <cell r="E229">
            <v>-1.5965191152000939</v>
          </cell>
          <cell r="F229">
            <v>511878</v>
          </cell>
          <cell r="G229">
            <v>-1.7553893870531856</v>
          </cell>
          <cell r="H229">
            <v>-1.9134509466903196</v>
          </cell>
        </row>
        <row r="230">
          <cell r="C230">
            <v>6723</v>
          </cell>
          <cell r="D230">
            <v>-0.67956862165755583</v>
          </cell>
          <cell r="E230">
            <v>-1.6434869137958321</v>
          </cell>
          <cell r="F230">
            <v>493652</v>
          </cell>
          <cell r="G230">
            <v>-2.190379764893291</v>
          </cell>
          <cell r="H230">
            <v>-1.989405346342167</v>
          </cell>
        </row>
        <row r="231">
          <cell r="C231">
            <v>6797</v>
          </cell>
          <cell r="D231">
            <v>-0.19089574155652933</v>
          </cell>
          <cell r="E231">
            <v>-1.6763322871789015</v>
          </cell>
          <cell r="F231">
            <v>494188</v>
          </cell>
          <cell r="G231">
            <v>-0.91548137959795994</v>
          </cell>
          <cell r="H231">
            <v>-2.0503260512864134</v>
          </cell>
        </row>
        <row r="232">
          <cell r="C232">
            <v>6305</v>
          </cell>
          <cell r="D232">
            <v>-9.5149253731343304</v>
          </cell>
          <cell r="E232">
            <v>-1.6938897492489109</v>
          </cell>
          <cell r="F232">
            <v>438860</v>
          </cell>
          <cell r="G232">
            <v>-12.97778341806991</v>
          </cell>
          <cell r="H232">
            <v>-2.0945863756155751</v>
          </cell>
        </row>
        <row r="233">
          <cell r="C233">
            <v>6242</v>
          </cell>
          <cell r="D233">
            <v>-11.698967322110621</v>
          </cell>
          <cell r="E233">
            <v>-1.6948906585898009</v>
          </cell>
          <cell r="F233">
            <v>435814</v>
          </cell>
          <cell r="G233">
            <v>-13.449630415182167</v>
          </cell>
          <cell r="H233">
            <v>-2.1204808247644129</v>
          </cell>
        </row>
        <row r="234">
          <cell r="C234">
            <v>6456</v>
          </cell>
          <cell r="D234">
            <v>-9.4276094276094291</v>
          </cell>
          <cell r="E234">
            <v>-1.6786095012593931</v>
          </cell>
          <cell r="F234">
            <v>452713</v>
          </cell>
          <cell r="G234">
            <v>-10.730208684575327</v>
          </cell>
          <cell r="H234">
            <v>-2.1270596817400795</v>
          </cell>
        </row>
        <row r="235">
          <cell r="C235">
            <v>6730</v>
          </cell>
          <cell r="D235">
            <v>-7.921740320153237</v>
          </cell>
          <cell r="E235">
            <v>-1.6450154908615868</v>
          </cell>
          <cell r="F235">
            <v>461663</v>
          </cell>
          <cell r="G235">
            <v>-9.4730505340478786</v>
          </cell>
          <cell r="H235">
            <v>-2.1141599760490628</v>
          </cell>
        </row>
        <row r="236">
          <cell r="C236">
            <v>7144</v>
          </cell>
          <cell r="D236">
            <v>-4.3769241065453102</v>
          </cell>
          <cell r="E236">
            <v>-1.5946159659951671</v>
          </cell>
          <cell r="F236">
            <v>468467</v>
          </cell>
          <cell r="G236">
            <v>-5.9522279950854795</v>
          </cell>
          <cell r="H236">
            <v>-2.082216178100825</v>
          </cell>
        </row>
        <row r="237">
          <cell r="C237">
            <v>7020</v>
          </cell>
          <cell r="D237">
            <v>-5.84763948497854</v>
          </cell>
          <cell r="E237">
            <v>-1.5283541489276196</v>
          </cell>
          <cell r="F237">
            <v>465367</v>
          </cell>
          <cell r="G237">
            <v>-6.0430286413431951</v>
          </cell>
          <cell r="H237">
            <v>-2.0321737923713563</v>
          </cell>
        </row>
        <row r="238">
          <cell r="C238">
            <v>6757</v>
          </cell>
          <cell r="D238">
            <v>-4.2782263776738887</v>
          </cell>
          <cell r="E238">
            <v>-1.4473664777695239</v>
          </cell>
          <cell r="F238">
            <v>470729</v>
          </cell>
          <cell r="G238">
            <v>-5.3695025922776418</v>
          </cell>
          <cell r="H238">
            <v>-1.9652470741572707</v>
          </cell>
        </row>
        <row r="239">
          <cell r="C239">
            <v>6767</v>
          </cell>
          <cell r="D239">
            <v>-2.4787433347744581</v>
          </cell>
          <cell r="E239">
            <v>-1.3530893410020186</v>
          </cell>
          <cell r="F239">
            <v>468668</v>
          </cell>
          <cell r="G239">
            <v>-4.2211381847981784</v>
          </cell>
          <cell r="H239">
            <v>-1.8829288103419164</v>
          </cell>
        </row>
        <row r="240">
          <cell r="C240">
            <v>6561</v>
          </cell>
          <cell r="D240">
            <v>-5.4338426059383105</v>
          </cell>
          <cell r="E240">
            <v>-1.2471557145992915</v>
          </cell>
          <cell r="F240">
            <v>473150</v>
          </cell>
          <cell r="G240">
            <v>-5.2921501474211823</v>
          </cell>
          <cell r="H240">
            <v>-1.7869481944418446</v>
          </cell>
        </row>
        <row r="241">
          <cell r="C241">
            <v>6422</v>
          </cell>
          <cell r="D241">
            <v>-5.711349287916601</v>
          </cell>
          <cell r="E241">
            <v>-1.1312767449517644</v>
          </cell>
          <cell r="F241">
            <v>482429</v>
          </cell>
          <cell r="G241">
            <v>-5.7531286751921318</v>
          </cell>
          <cell r="H241">
            <v>-1.6791967956246103</v>
          </cell>
        </row>
        <row r="242">
          <cell r="C242">
            <v>6330</v>
          </cell>
          <cell r="D242">
            <v>-5.8456046407853623</v>
          </cell>
          <cell r="E242">
            <v>-1.0074543205950908</v>
          </cell>
          <cell r="F242">
            <v>472686</v>
          </cell>
          <cell r="G242">
            <v>-4.2471214539797302</v>
          </cell>
          <cell r="H242">
            <v>-1.5618095998600587</v>
          </cell>
        </row>
        <row r="243">
          <cell r="C243">
            <v>6365</v>
          </cell>
          <cell r="D243">
            <v>-6.3557451816978023</v>
          </cell>
          <cell r="E243">
            <v>-0.87800839065818548</v>
          </cell>
          <cell r="F243">
            <v>463576</v>
          </cell>
          <cell r="G243">
            <v>-6.1944037491804771</v>
          </cell>
          <cell r="H243">
            <v>-1.4372045050541158</v>
          </cell>
        </row>
        <row r="244">
          <cell r="C244">
            <v>6541</v>
          </cell>
          <cell r="D244">
            <v>3.7430610626487004</v>
          </cell>
          <cell r="E244">
            <v>-0.74559488693108777</v>
          </cell>
          <cell r="F244">
            <v>459182</v>
          </cell>
          <cell r="G244">
            <v>4.6306339151437781</v>
          </cell>
          <cell r="H244">
            <v>-1.3079858891025768</v>
          </cell>
        </row>
        <row r="245">
          <cell r="C245">
            <v>6586</v>
          </cell>
          <cell r="D245">
            <v>5.5110541493111231</v>
          </cell>
          <cell r="E245">
            <v>-0.6132501395921035</v>
          </cell>
          <cell r="F245">
            <v>463458</v>
          </cell>
          <cell r="G245">
            <v>6.3430729623187965</v>
          </cell>
          <cell r="H245">
            <v>-1.1770884909598573</v>
          </cell>
        </row>
        <row r="246">
          <cell r="C246">
            <v>6734</v>
          </cell>
          <cell r="D246">
            <v>4.3060718711276369</v>
          </cell>
          <cell r="E246">
            <v>-0.48369876660081773</v>
          </cell>
          <cell r="F246">
            <v>470940</v>
          </cell>
          <cell r="G246">
            <v>4.0261711061975181</v>
          </cell>
          <cell r="H246">
            <v>-1.0470346454273001</v>
          </cell>
        </row>
        <row r="247">
          <cell r="C247">
            <v>6979</v>
          </cell>
          <cell r="D247">
            <v>3.699851411589905</v>
          </cell>
          <cell r="E247">
            <v>-0.35924008700786392</v>
          </cell>
          <cell r="F247">
            <v>475533</v>
          </cell>
          <cell r="G247">
            <v>3.0043559912750206</v>
          </cell>
          <cell r="H247">
            <v>-0.91982445387199208</v>
          </cell>
        </row>
        <row r="248">
          <cell r="C248">
            <v>7324</v>
          </cell>
          <cell r="D248">
            <v>2.519596864501672</v>
          </cell>
          <cell r="E248">
            <v>-0.24184079690292201</v>
          </cell>
          <cell r="F248">
            <v>479285</v>
          </cell>
          <cell r="G248">
            <v>2.3092341616378631</v>
          </cell>
          <cell r="H248">
            <v>-0.79710571170604627</v>
          </cell>
        </row>
        <row r="249">
          <cell r="C249">
            <v>7186</v>
          </cell>
          <cell r="D249">
            <v>2.3646723646723711</v>
          </cell>
          <cell r="E249">
            <v>-0.13318571102160273</v>
          </cell>
          <cell r="F249">
            <v>469835</v>
          </cell>
          <cell r="G249">
            <v>0.96010245677067285</v>
          </cell>
          <cell r="H249">
            <v>-0.6802537018106628</v>
          </cell>
        </row>
        <row r="250">
          <cell r="C250">
            <v>6919</v>
          </cell>
          <cell r="D250">
            <v>2.3975136895071802</v>
          </cell>
          <cell r="E250">
            <v>-3.4767877595252572E-2</v>
          </cell>
          <cell r="F250">
            <v>476291</v>
          </cell>
          <cell r="G250">
            <v>1.1815715624063916</v>
          </cell>
          <cell r="H250">
            <v>-0.57042798902028169</v>
          </cell>
        </row>
        <row r="251">
          <cell r="C251">
            <v>6942</v>
          </cell>
          <cell r="D251">
            <v>2.586079503472738</v>
          </cell>
          <cell r="E251">
            <v>5.2093117511149624E-2</v>
          </cell>
          <cell r="F251">
            <v>480265</v>
          </cell>
          <cell r="G251">
            <v>2.4744595321208207</v>
          </cell>
          <cell r="H251">
            <v>-0.4686742245472193</v>
          </cell>
        </row>
        <row r="252">
          <cell r="C252">
            <v>6833</v>
          </cell>
          <cell r="D252">
            <v>4.1457094955037244</v>
          </cell>
          <cell r="E252">
            <v>0.12624659687478493</v>
          </cell>
          <cell r="F252">
            <v>485902</v>
          </cell>
          <cell r="G252">
            <v>2.6951283948007942</v>
          </cell>
          <cell r="H252">
            <v>-0.37591639296827611</v>
          </cell>
        </row>
        <row r="253">
          <cell r="C253">
            <v>6775</v>
          </cell>
          <cell r="D253">
            <v>5.4967299906571121</v>
          </cell>
          <cell r="E253">
            <v>0.18671785434963728</v>
          </cell>
          <cell r="F253">
            <v>497534</v>
          </cell>
          <cell r="G253">
            <v>3.1310306801622723</v>
          </cell>
          <cell r="H253">
            <v>-0.29287409457159502</v>
          </cell>
        </row>
        <row r="254">
          <cell r="C254">
            <v>6657</v>
          </cell>
          <cell r="D254">
            <v>5.1658767772511771</v>
          </cell>
          <cell r="E254">
            <v>0.23281131315765097</v>
          </cell>
          <cell r="F254">
            <v>481166</v>
          </cell>
          <cell r="G254">
            <v>1.7940027840892325</v>
          </cell>
          <cell r="H254">
            <v>-0.22005366264616835</v>
          </cell>
        </row>
        <row r="255">
          <cell r="C255">
            <v>6711</v>
          </cell>
          <cell r="D255">
            <v>5.4359780047132711</v>
          </cell>
          <cell r="E255">
            <v>0.26420014736356945</v>
          </cell>
          <cell r="F255">
            <v>477987</v>
          </cell>
          <cell r="G255">
            <v>3.1086596372547293</v>
          </cell>
          <cell r="H255">
            <v>-0.1577236593160764</v>
          </cell>
        </row>
        <row r="256">
          <cell r="C256">
            <v>6822</v>
          </cell>
          <cell r="D256">
            <v>4.2959792080721648</v>
          </cell>
          <cell r="E256">
            <v>0.28090010502269824</v>
          </cell>
          <cell r="F256">
            <v>473673</v>
          </cell>
          <cell r="G256">
            <v>3.1558292790222708</v>
          </cell>
          <cell r="H256">
            <v>-0.10601278167437619</v>
          </cell>
        </row>
        <row r="257">
          <cell r="C257">
            <v>7002</v>
          </cell>
          <cell r="D257">
            <v>6.3164287883388903</v>
          </cell>
          <cell r="E257">
            <v>0.2832860854304366</v>
          </cell>
          <cell r="F257">
            <v>482911</v>
          </cell>
          <cell r="G257">
            <v>4.1973598470627316</v>
          </cell>
          <cell r="H257">
            <v>-6.4822894640751749E-2</v>
          </cell>
        </row>
        <row r="258">
          <cell r="C258">
            <v>6989</v>
          </cell>
          <cell r="D258">
            <v>3.7867537867537937</v>
          </cell>
          <cell r="E258">
            <v>0.2720118128198955</v>
          </cell>
          <cell r="F258">
            <v>483588</v>
          </cell>
          <cell r="G258">
            <v>2.6856924448974473</v>
          </cell>
          <cell r="H258">
            <v>-3.3829346325116499E-2</v>
          </cell>
        </row>
        <row r="259">
          <cell r="C259">
            <v>7081</v>
          </cell>
          <cell r="D259">
            <v>1.461527439461241</v>
          </cell>
          <cell r="E259">
            <v>0.24814997966744351</v>
          </cell>
          <cell r="F259">
            <v>480692</v>
          </cell>
          <cell r="G259">
            <v>1.0848879047300697</v>
          </cell>
          <cell r="H259">
            <v>-1.241149992476559E-2</v>
          </cell>
        </row>
        <row r="260">
          <cell r="C260">
            <v>7313</v>
          </cell>
          <cell r="D260">
            <v>-0.15019115237575598</v>
          </cell>
          <cell r="E260">
            <v>0.21301735775319458</v>
          </cell>
          <cell r="F260">
            <v>480535</v>
          </cell>
          <cell r="G260">
            <v>0.26080515768280854</v>
          </cell>
          <cell r="H260">
            <v>2.4013704295185127E-4</v>
          </cell>
        </row>
        <row r="261">
          <cell r="C261">
            <v>7154</v>
          </cell>
          <cell r="D261">
            <v>-0.44531032563317474</v>
          </cell>
          <cell r="E261">
            <v>0.16801498118085945</v>
          </cell>
          <cell r="F261">
            <v>470558</v>
          </cell>
          <cell r="G261">
            <v>0.15388381027381381</v>
          </cell>
          <cell r="H261">
            <v>5.0112584082321705E-3</v>
          </cell>
        </row>
        <row r="262">
          <cell r="C262">
            <v>6882</v>
          </cell>
          <cell r="D262">
            <v>-0.53475935828877219</v>
          </cell>
          <cell r="E262">
            <v>0.11451866124094545</v>
          </cell>
          <cell r="F262">
            <v>475355</v>
          </cell>
          <cell r="G262">
            <v>-0.19651851494149053</v>
          </cell>
          <cell r="H262">
            <v>2.8056527943717022E-3</v>
          </cell>
        </row>
        <row r="263">
          <cell r="C263">
            <v>6830</v>
          </cell>
          <cell r="D263">
            <v>-1.6133679055027383</v>
          </cell>
          <cell r="E263">
            <v>5.3861617188764477E-2</v>
          </cell>
          <cell r="F263">
            <v>472635</v>
          </cell>
          <cell r="G263">
            <v>-1.5887062350993686</v>
          </cell>
          <cell r="H263">
            <v>-5.4625528036758896E-3</v>
          </cell>
        </row>
        <row r="264">
          <cell r="C264">
            <v>6704</v>
          </cell>
          <cell r="D264">
            <v>-1.8878969705839355</v>
          </cell>
          <cell r="E264">
            <v>-1.2668020471727826E-2</v>
          </cell>
          <cell r="F264">
            <v>476615</v>
          </cell>
          <cell r="G264">
            <v>-1.9112907541026791</v>
          </cell>
          <cell r="H264">
            <v>-1.8893073347049708E-2</v>
          </cell>
        </row>
        <row r="265">
          <cell r="C265">
            <v>6639</v>
          </cell>
          <cell r="D265">
            <v>-2.0073800738007352</v>
          </cell>
          <cell r="E265">
            <v>-8.3897901064540495E-2</v>
          </cell>
          <cell r="F265">
            <v>485738</v>
          </cell>
          <cell r="G265">
            <v>-2.3708932454867382</v>
          </cell>
          <cell r="H265">
            <v>-3.6695571274826061E-2</v>
          </cell>
        </row>
        <row r="266">
          <cell r="C266">
            <v>6492</v>
          </cell>
          <cell r="D266">
            <v>-2.4785939612438024</v>
          </cell>
          <cell r="E266">
            <v>-0.15878589814632924</v>
          </cell>
          <cell r="F266">
            <v>471700</v>
          </cell>
          <cell r="G266">
            <v>-1.9673044230057779</v>
          </cell>
          <cell r="H266">
            <v>-5.8211125531689278E-2</v>
          </cell>
        </row>
        <row r="267">
          <cell r="C267">
            <v>6532</v>
          </cell>
          <cell r="D267">
            <v>-2.6672627030248863</v>
          </cell>
          <cell r="E267">
            <v>-0.23642346042463419</v>
          </cell>
          <cell r="F267">
            <v>471396</v>
          </cell>
          <cell r="G267">
            <v>-1.3789077945634554</v>
          </cell>
          <cell r="H267">
            <v>-8.2942912123032841E-2</v>
          </cell>
        </row>
        <row r="268">
          <cell r="C268">
            <v>6690</v>
          </cell>
          <cell r="D268">
            <v>-1.9349164467898028</v>
          </cell>
          <cell r="E268">
            <v>-0.31606313438915506</v>
          </cell>
          <cell r="F268">
            <v>472704</v>
          </cell>
          <cell r="G268">
            <v>-0.2045715081923638</v>
          </cell>
          <cell r="H268">
            <v>-0.11052668297768595</v>
          </cell>
        </row>
        <row r="269">
          <cell r="C269">
            <v>6867</v>
          </cell>
          <cell r="D269">
            <v>-1.9280205655527016</v>
          </cell>
          <cell r="E269">
            <v>-0.3971262748103277</v>
          </cell>
          <cell r="F269">
            <v>481540</v>
          </cell>
          <cell r="G269">
            <v>-0.28390324511141651</v>
          </cell>
          <cell r="H269">
            <v>-0.14068818758575838</v>
          </cell>
        </row>
        <row r="270">
          <cell r="C270">
            <v>6838</v>
          </cell>
          <cell r="D270">
            <v>-2.1605379882672748</v>
          </cell>
          <cell r="E270">
            <v>-0.47914665682750462</v>
          </cell>
          <cell r="F270">
            <v>478962</v>
          </cell>
          <cell r="G270">
            <v>-0.95659941934043147</v>
          </cell>
          <cell r="H270">
            <v>-0.17315970632799982</v>
          </cell>
        </row>
        <row r="271">
          <cell r="C271">
            <v>6956</v>
          </cell>
          <cell r="D271">
            <v>-1.7652873887868958</v>
          </cell>
          <cell r="E271">
            <v>-0.56176436768356219</v>
          </cell>
          <cell r="F271">
            <v>475640</v>
          </cell>
          <cell r="G271">
            <v>-1.0509848302031277</v>
          </cell>
          <cell r="H271">
            <v>-0.20768346507526592</v>
          </cell>
        </row>
        <row r="272">
          <cell r="C272">
            <v>7154</v>
          </cell>
          <cell r="D272">
            <v>-2.1742103104061217</v>
          </cell>
          <cell r="E272">
            <v>-0.64473625790828237</v>
          </cell>
          <cell r="F272">
            <v>472664</v>
          </cell>
          <cell r="G272">
            <v>-1.6379660170435018</v>
          </cell>
          <cell r="H272">
            <v>-0.24405609523403821</v>
          </cell>
        </row>
        <row r="273">
          <cell r="C273">
            <v>7010</v>
          </cell>
          <cell r="D273">
            <v>-2.0128599384959478</v>
          </cell>
          <cell r="E273">
            <v>-0.72790275601902377</v>
          </cell>
          <cell r="F273">
            <v>467245</v>
          </cell>
          <cell r="G273">
            <v>-0.70405773570951791</v>
          </cell>
          <cell r="H273">
            <v>-0.28213279080559878</v>
          </cell>
        </row>
        <row r="274">
          <cell r="C274">
            <v>6854</v>
          </cell>
          <cell r="D274">
            <v>-0.40685847137460485</v>
          </cell>
          <cell r="E274">
            <v>-0.81121050400901296</v>
          </cell>
          <cell r="F274">
            <v>476526</v>
          </cell>
          <cell r="G274">
            <v>0.24634220740289425</v>
          </cell>
          <cell r="H274">
            <v>-0.3218655450913554</v>
          </cell>
        </row>
        <row r="275">
          <cell r="C275">
            <v>6692</v>
          </cell>
          <cell r="D275">
            <v>-2.0204978038067312</v>
          </cell>
          <cell r="E275">
            <v>-0.89469537700914858</v>
          </cell>
          <cell r="F275">
            <v>468109</v>
          </cell>
          <cell r="G275">
            <v>-0.95760999502787492</v>
          </cell>
          <cell r="H275">
            <v>-0.363235651736112</v>
          </cell>
        </row>
        <row r="276">
          <cell r="C276">
            <v>6632</v>
          </cell>
          <cell r="D276">
            <v>-1.0739856801909253</v>
          </cell>
          <cell r="E276">
            <v>-0.97836517014806312</v>
          </cell>
          <cell r="F276">
            <v>476789</v>
          </cell>
          <cell r="G276">
            <v>3.6507453605105766E-2</v>
          </cell>
          <cell r="H276">
            <v>-0.40618494551297152</v>
          </cell>
        </row>
        <row r="277">
          <cell r="C277">
            <v>6561</v>
          </cell>
          <cell r="D277">
            <v>-1.1748757342973315</v>
          </cell>
          <cell r="E277">
            <v>-1.0623058592784724</v>
          </cell>
          <cell r="F277">
            <v>484514</v>
          </cell>
          <cell r="G277">
            <v>-0.25198769707126534</v>
          </cell>
          <cell r="H277">
            <v>-0.45069653719109892</v>
          </cell>
        </row>
        <row r="278">
          <cell r="C278">
            <v>6429</v>
          </cell>
          <cell r="D278">
            <v>-0.97042513863215829</v>
          </cell>
          <cell r="E278">
            <v>-1.1466100605662897</v>
          </cell>
          <cell r="F278">
            <v>468824</v>
          </cell>
          <cell r="G278">
            <v>-0.60970956116175312</v>
          </cell>
          <cell r="H278">
            <v>-0.49672279501194261</v>
          </cell>
        </row>
        <row r="279">
          <cell r="C279">
            <v>6467</v>
          </cell>
          <cell r="D279">
            <v>-0.99510104102877861</v>
          </cell>
          <cell r="E279">
            <v>-1.2313782075298598</v>
          </cell>
          <cell r="F279">
            <v>468367</v>
          </cell>
          <cell r="G279">
            <v>-0.64255954653836822</v>
          </cell>
          <cell r="H279">
            <v>-0.54420228799194259</v>
          </cell>
        </row>
        <row r="280">
          <cell r="C280">
            <v>6734</v>
          </cell>
          <cell r="D280">
            <v>0.65769805680120363</v>
          </cell>
          <cell r="E280">
            <v>-1.3166984986235049</v>
          </cell>
          <cell r="F280">
            <v>475618</v>
          </cell>
          <cell r="G280">
            <v>0.61645342539939918</v>
          </cell>
          <cell r="H280">
            <v>-0.59308143145074388</v>
          </cell>
        </row>
        <row r="281">
          <cell r="C281">
            <v>6707</v>
          </cell>
          <cell r="D281">
            <v>-2.3299839813601286</v>
          </cell>
          <cell r="E281">
            <v>-1.4026427241649841</v>
          </cell>
          <cell r="F281">
            <v>475598</v>
          </cell>
          <cell r="G281">
            <v>-1.2339577189849238</v>
          </cell>
          <cell r="H281">
            <v>-0.64331347107316827</v>
          </cell>
        </row>
        <row r="282">
          <cell r="C282">
            <v>6734</v>
          </cell>
          <cell r="D282">
            <v>-1.520912547528519</v>
          </cell>
          <cell r="E282">
            <v>-1.4891455636001523</v>
          </cell>
          <cell r="F282">
            <v>475383</v>
          </cell>
          <cell r="G282">
            <v>-0.7472409084645526</v>
          </cell>
          <cell r="H282">
            <v>-0.69476765706786725</v>
          </cell>
        </row>
        <row r="283">
          <cell r="C283">
            <v>6872</v>
          </cell>
          <cell r="D283">
            <v>-1.2075905692926936</v>
          </cell>
          <cell r="E283">
            <v>-1.5762060950732804</v>
          </cell>
          <cell r="F283">
            <v>475488</v>
          </cell>
          <cell r="G283">
            <v>-3.1956942225208618E-2</v>
          </cell>
          <cell r="H283">
            <v>-0.74735425660515309</v>
          </cell>
        </row>
        <row r="284">
          <cell r="C284">
            <v>7012</v>
          </cell>
          <cell r="D284">
            <v>-1.9849035504612811</v>
          </cell>
          <cell r="E284">
            <v>-1.66382560276919</v>
          </cell>
          <cell r="F284">
            <v>466679</v>
          </cell>
          <cell r="G284">
            <v>-1.2662271719445561</v>
          </cell>
          <cell r="H284">
            <v>-0.8009871808311293</v>
          </cell>
        </row>
        <row r="285">
          <cell r="C285">
            <v>7016</v>
          </cell>
          <cell r="D285">
            <v>8.5592011412272129E-2</v>
          </cell>
          <cell r="E285">
            <v>-1.7519797725723014</v>
          </cell>
          <cell r="F285">
            <v>465467</v>
          </cell>
          <cell r="G285">
            <v>-0.38052841656947001</v>
          </cell>
          <cell r="H285">
            <v>-0.85553066052284532</v>
          </cell>
        </row>
        <row r="286">
          <cell r="C286">
            <v>6655</v>
          </cell>
          <cell r="D286">
            <v>-2.9034140647796858</v>
          </cell>
          <cell r="E286">
            <v>-1.8406665874467356</v>
          </cell>
          <cell r="F286">
            <v>466346</v>
          </cell>
          <cell r="G286">
            <v>-2.1362947667073806</v>
          </cell>
          <cell r="H286">
            <v>-0.91088123479006677</v>
          </cell>
        </row>
        <row r="287">
          <cell r="C287">
            <v>6560</v>
          </cell>
          <cell r="D287">
            <v>-1.972504482964732</v>
          </cell>
          <cell r="E287">
            <v>-1.9297564212049481</v>
          </cell>
          <cell r="F287">
            <v>461561</v>
          </cell>
          <cell r="G287">
            <v>-1.3988195057134112</v>
          </cell>
          <cell r="H287">
            <v>-0.96690245647561801</v>
          </cell>
        </row>
        <row r="288">
          <cell r="C288">
            <v>6534</v>
          </cell>
          <cell r="D288">
            <v>-1.4776839565741828</v>
          </cell>
          <cell r="E288">
            <v>-2.0191934495675423</v>
          </cell>
          <cell r="F288">
            <v>476530</v>
          </cell>
          <cell r="G288">
            <v>-5.4321723026329316E-2</v>
          </cell>
          <cell r="H288">
            <v>-1.0235429765842621</v>
          </cell>
        </row>
        <row r="289">
          <cell r="C289">
            <v>6414</v>
          </cell>
          <cell r="D289">
            <v>-2.2405121170553266</v>
          </cell>
          <cell r="E289">
            <v>-2.1089248168705219</v>
          </cell>
          <cell r="F289">
            <v>481756</v>
          </cell>
          <cell r="G289">
            <v>-0.56923019768262417</v>
          </cell>
          <cell r="H289">
            <v>-1.0807814403602924</v>
          </cell>
        </row>
        <row r="290">
          <cell r="C290">
            <v>6296</v>
          </cell>
          <cell r="D290">
            <v>-2.0687509721574071</v>
          </cell>
          <cell r="E290">
            <v>-2.198860062623988</v>
          </cell>
          <cell r="F290">
            <v>465979</v>
          </cell>
          <cell r="G290">
            <v>-0.60683753391465034</v>
          </cell>
          <cell r="H290">
            <v>-1.1385291860165057</v>
          </cell>
        </row>
        <row r="291">
          <cell r="C291">
            <v>6342</v>
          </cell>
          <cell r="D291">
            <v>-1.9328900572135432</v>
          </cell>
          <cell r="E291">
            <v>-2.2889178643449992</v>
          </cell>
          <cell r="F291">
            <v>462223</v>
          </cell>
          <cell r="G291">
            <v>-1.3117918213708446</v>
          </cell>
          <cell r="H291">
            <v>-1.1966620273738455</v>
          </cell>
        </row>
        <row r="292">
          <cell r="C292">
            <v>6424</v>
          </cell>
          <cell r="D292">
            <v>-4.6035046035046046</v>
          </cell>
          <cell r="E292">
            <v>-2.3790078641971091</v>
          </cell>
          <cell r="F292">
            <v>461932</v>
          </cell>
          <cell r="G292">
            <v>-2.8775193537670996</v>
          </cell>
          <cell r="H292">
            <v>-1.2550188552218597</v>
          </cell>
        </row>
        <row r="293">
          <cell r="C293">
            <v>6559</v>
          </cell>
          <cell r="D293">
            <v>-2.2066497688981612</v>
          </cell>
          <cell r="E293">
            <v>-2.4690149801905976</v>
          </cell>
          <cell r="F293">
            <v>467497</v>
          </cell>
          <cell r="G293">
            <v>-1.7033292822930313</v>
          </cell>
          <cell r="H293">
            <v>-1.3134465554746788</v>
          </cell>
        </row>
        <row r="294">
          <cell r="C294">
            <v>6598</v>
          </cell>
          <cell r="D294">
            <v>-2.0196020196020181</v>
          </cell>
          <cell r="E294">
            <v>-2.5589786092759748</v>
          </cell>
          <cell r="F294">
            <v>471258</v>
          </cell>
          <cell r="G294">
            <v>-0.86772139516978486</v>
          </cell>
          <cell r="H294">
            <v>-1.3719046876921659</v>
          </cell>
        </row>
        <row r="295">
          <cell r="C295">
            <v>6642</v>
          </cell>
          <cell r="D295">
            <v>-3.3469150174621598</v>
          </cell>
          <cell r="E295">
            <v>-2.6489199285974112</v>
          </cell>
          <cell r="F295">
            <v>464259</v>
          </cell>
          <cell r="G295">
            <v>-2.3615737936604098</v>
          </cell>
          <cell r="H295">
            <v>-1.4303798866235464</v>
          </cell>
        </row>
        <row r="296">
          <cell r="C296">
            <v>6846</v>
          </cell>
          <cell r="D296">
            <v>-2.3673702224757509</v>
          </cell>
          <cell r="E296">
            <v>-2.7388226585914608</v>
          </cell>
          <cell r="F296">
            <v>459816</v>
          </cell>
          <cell r="G296">
            <v>-1.4706039911802304</v>
          </cell>
          <cell r="H296">
            <v>-1.4888237742893984</v>
          </cell>
        </row>
        <row r="297">
          <cell r="C297">
            <v>6824</v>
          </cell>
          <cell r="D297">
            <v>-2.7366020524515422</v>
          </cell>
          <cell r="E297">
            <v>-2.8287189915758488</v>
          </cell>
          <cell r="F297">
            <v>459272</v>
          </cell>
          <cell r="G297">
            <v>-1.3309214187042229</v>
          </cell>
          <cell r="H297">
            <v>-1.5472526389538441</v>
          </cell>
        </row>
      </sheetData>
      <sheetData sheetId="17">
        <row r="206">
          <cell r="C206">
            <v>9902</v>
          </cell>
          <cell r="D206">
            <v>1.3822053854817273</v>
          </cell>
          <cell r="E206">
            <v>0.49874307561028564</v>
          </cell>
          <cell r="F206">
            <v>812603</v>
          </cell>
          <cell r="G206">
            <v>1.5680113191793632</v>
          </cell>
          <cell r="H206">
            <v>1.3230355166659686</v>
          </cell>
        </row>
        <row r="207">
          <cell r="C207">
            <v>9915</v>
          </cell>
          <cell r="D207">
            <v>1.1734693877551106</v>
          </cell>
          <cell r="E207">
            <v>0.50743482666520989</v>
          </cell>
          <cell r="F207">
            <v>815604</v>
          </cell>
          <cell r="G207">
            <v>1.4238566244773931</v>
          </cell>
          <cell r="H207">
            <v>1.3000065371757972</v>
          </cell>
        </row>
        <row r="208">
          <cell r="C208">
            <v>10101</v>
          </cell>
          <cell r="D208">
            <v>2.1747926360509817</v>
          </cell>
          <cell r="E208">
            <v>0.51238872880212016</v>
          </cell>
          <cell r="F208">
            <v>822152</v>
          </cell>
          <cell r="G208">
            <v>1.6700735920617937</v>
          </cell>
          <cell r="H208">
            <v>1.2724652690432479</v>
          </cell>
        </row>
        <row r="209">
          <cell r="C209">
            <v>10118</v>
          </cell>
          <cell r="D209">
            <v>1.1092235435195441</v>
          </cell>
          <cell r="E209">
            <v>0.51354348937806338</v>
          </cell>
          <cell r="F209">
            <v>825686</v>
          </cell>
          <cell r="G209">
            <v>1.1461051290531987</v>
          </cell>
          <cell r="H209">
            <v>1.2400835699502593</v>
          </cell>
        </row>
        <row r="210">
          <cell r="C210">
            <v>10127</v>
          </cell>
          <cell r="D210">
            <v>1.1486216540151917</v>
          </cell>
          <cell r="E210">
            <v>0.51095326046586764</v>
          </cell>
          <cell r="F210">
            <v>828898</v>
          </cell>
          <cell r="G210">
            <v>1.3108474613559684</v>
          </cell>
          <cell r="H210">
            <v>1.2026236631067291</v>
          </cell>
        </row>
        <row r="211">
          <cell r="C211">
            <v>10206</v>
          </cell>
          <cell r="D211">
            <v>1.7445917655268595</v>
          </cell>
          <cell r="E211">
            <v>0.50471356080878771</v>
          </cell>
          <cell r="F211">
            <v>832088</v>
          </cell>
          <cell r="G211">
            <v>1.9814418307654735</v>
          </cell>
          <cell r="H211">
            <v>1.159826412985987</v>
          </cell>
        </row>
        <row r="212">
          <cell r="C212">
            <v>10238</v>
          </cell>
          <cell r="D212">
            <v>0.89681679314081997</v>
          </cell>
          <cell r="E212">
            <v>0.49496419167740791</v>
          </cell>
          <cell r="F212">
            <v>824512</v>
          </cell>
          <cell r="G212">
            <v>1.3907983502253973</v>
          </cell>
          <cell r="H212">
            <v>1.1114572803791467</v>
          </cell>
        </row>
        <row r="213">
          <cell r="C213">
            <v>10189</v>
          </cell>
          <cell r="D213">
            <v>0.89117734429151607</v>
          </cell>
          <cell r="E213">
            <v>0.48193105699541794</v>
          </cell>
          <cell r="F213">
            <v>818967</v>
          </cell>
          <cell r="G213">
            <v>1.2840966430203826</v>
          </cell>
          <cell r="H213">
            <v>1.05746845685409</v>
          </cell>
        </row>
        <row r="214">
          <cell r="C214">
            <v>10165</v>
          </cell>
          <cell r="D214">
            <v>0.66349772232126014</v>
          </cell>
          <cell r="E214">
            <v>0.46586796711716483</v>
          </cell>
          <cell r="F214">
            <v>827879</v>
          </cell>
          <cell r="G214">
            <v>1.2924009807712133</v>
          </cell>
          <cell r="H214">
            <v>0.99787562058548196</v>
          </cell>
        </row>
        <row r="215">
          <cell r="C215">
            <v>10100</v>
          </cell>
          <cell r="D215">
            <v>0.64773293472843996</v>
          </cell>
          <cell r="E215">
            <v>0.4470571522780577</v>
          </cell>
          <cell r="F215">
            <v>825808</v>
          </cell>
          <cell r="G215">
            <v>1.1769145383128121</v>
          </cell>
          <cell r="H215">
            <v>0.93274595615393507</v>
          </cell>
        </row>
        <row r="216">
          <cell r="C216">
            <v>10054</v>
          </cell>
          <cell r="D216">
            <v>0.64064064064064397</v>
          </cell>
          <cell r="E216">
            <v>0.42579456700206159</v>
          </cell>
          <cell r="F216">
            <v>826214</v>
          </cell>
          <cell r="G216">
            <v>1.1375640973851908</v>
          </cell>
          <cell r="H216">
            <v>0.86221358572192208</v>
          </cell>
        </row>
        <row r="217">
          <cell r="C217">
            <v>9994</v>
          </cell>
          <cell r="D217">
            <v>0.47250427264502459</v>
          </cell>
          <cell r="E217">
            <v>0.40239010163136724</v>
          </cell>
          <cell r="F217">
            <v>825605</v>
          </cell>
          <cell r="G217">
            <v>1.30396157933097</v>
          </cell>
          <cell r="H217">
            <v>0.78646812431149749</v>
          </cell>
        </row>
        <row r="218">
          <cell r="C218">
            <v>9955</v>
          </cell>
          <cell r="D218">
            <v>0.53524540496869832</v>
          </cell>
          <cell r="E218">
            <v>0.37716856637439022</v>
          </cell>
          <cell r="F218">
            <v>822254</v>
          </cell>
          <cell r="G218">
            <v>1.1876648252590716</v>
          </cell>
          <cell r="H218">
            <v>0.7057617666064574</v>
          </cell>
        </row>
        <row r="219">
          <cell r="C219">
            <v>10028</v>
          </cell>
          <cell r="D219">
            <v>1.1396873424104781</v>
          </cell>
          <cell r="E219">
            <v>0.35045964047919992</v>
          </cell>
          <cell r="F219">
            <v>826243</v>
          </cell>
          <cell r="G219">
            <v>1.3044320528099451</v>
          </cell>
          <cell r="H219">
            <v>0.62046431943946589</v>
          </cell>
        </row>
        <row r="220">
          <cell r="C220">
            <v>10158</v>
          </cell>
          <cell r="D220">
            <v>0.5643005643005683</v>
          </cell>
          <cell r="E220">
            <v>0.32260398075210139</v>
          </cell>
          <cell r="F220">
            <v>833387</v>
          </cell>
          <cell r="G220">
            <v>1.3665356284482622</v>
          </cell>
          <cell r="H220">
            <v>0.53105511306560838</v>
          </cell>
        </row>
        <row r="221">
          <cell r="C221">
            <v>10196</v>
          </cell>
          <cell r="D221">
            <v>0.77090334058114163</v>
          </cell>
          <cell r="E221">
            <v>0.29399705147870048</v>
          </cell>
          <cell r="F221">
            <v>834810</v>
          </cell>
          <cell r="G221">
            <v>1.1050205526071721</v>
          </cell>
          <cell r="H221">
            <v>0.43816892495209986</v>
          </cell>
        </row>
        <row r="222">
          <cell r="C222">
            <v>10228</v>
          </cell>
          <cell r="D222">
            <v>0.99733385997826662</v>
          </cell>
          <cell r="E222">
            <v>0.26505110142957172</v>
          </cell>
          <cell r="F222">
            <v>836954</v>
          </cell>
          <cell r="G222">
            <v>0.97189280225069563</v>
          </cell>
          <cell r="H222">
            <v>0.34263041450146964</v>
          </cell>
        </row>
        <row r="223">
          <cell r="C223">
            <v>10297</v>
          </cell>
          <cell r="D223">
            <v>0.89163237311384869</v>
          </cell>
          <cell r="E223">
            <v>0.23621149786758841</v>
          </cell>
          <cell r="F223">
            <v>839352</v>
          </cell>
          <cell r="G223">
            <v>0.87298458816855717</v>
          </cell>
          <cell r="H223">
            <v>0.24541579830435034</v>
          </cell>
        </row>
        <row r="224">
          <cell r="C224">
            <v>10329</v>
          </cell>
          <cell r="D224">
            <v>0.88884547763234956</v>
          </cell>
          <cell r="E224">
            <v>0.20797446102496753</v>
          </cell>
          <cell r="F224">
            <v>830513</v>
          </cell>
          <cell r="G224">
            <v>0.72782445858883271</v>
          </cell>
          <cell r="H224">
            <v>0.14764430713040849</v>
          </cell>
        </row>
        <row r="225">
          <cell r="C225">
            <v>10296</v>
          </cell>
          <cell r="D225">
            <v>1.0501521248405199</v>
          </cell>
          <cell r="E225">
            <v>0.18088172647248482</v>
          </cell>
          <cell r="F225">
            <v>828044</v>
          </cell>
          <cell r="G225">
            <v>1.1083474669919546</v>
          </cell>
          <cell r="H225">
            <v>5.0577801019734366E-2</v>
          </cell>
        </row>
        <row r="226">
          <cell r="C226">
            <v>10158</v>
          </cell>
          <cell r="D226">
            <v>-6.886374815543439E-2</v>
          </cell>
          <cell r="E226">
            <v>0.15552231249040274</v>
          </cell>
          <cell r="F226">
            <v>830430</v>
          </cell>
          <cell r="G226">
            <v>0.30813681709525031</v>
          </cell>
          <cell r="H226">
            <v>-4.4390000862250346E-2</v>
          </cell>
        </row>
        <row r="227">
          <cell r="C227">
            <v>10133</v>
          </cell>
          <cell r="D227">
            <v>0.32673267326732702</v>
          </cell>
          <cell r="E227">
            <v>0.13254560335887039</v>
          </cell>
          <cell r="F227">
            <v>829592</v>
          </cell>
          <cell r="G227">
            <v>0.45821789084146136</v>
          </cell>
          <cell r="H227">
            <v>-0.13562497715331204</v>
          </cell>
        </row>
        <row r="228">
          <cell r="C228">
            <v>10124</v>
          </cell>
          <cell r="D228">
            <v>0.69624030236721257</v>
          </cell>
          <cell r="E228">
            <v>0.11258540099271425</v>
          </cell>
          <cell r="F228">
            <v>833394</v>
          </cell>
          <cell r="G228">
            <v>0.86902424795514133</v>
          </cell>
          <cell r="H228">
            <v>-0.22141288675986312</v>
          </cell>
        </row>
        <row r="229">
          <cell r="C229">
            <v>10027</v>
          </cell>
          <cell r="D229">
            <v>0.33019811887131656</v>
          </cell>
          <cell r="E229">
            <v>9.6288992519948893E-2</v>
          </cell>
          <cell r="F229">
            <v>828537</v>
          </cell>
          <cell r="G229">
            <v>0.35513350815463696</v>
          </cell>
          <cell r="H229">
            <v>-0.29990452430013537</v>
          </cell>
        </row>
        <row r="230">
          <cell r="C230">
            <v>10007</v>
          </cell>
          <cell r="D230">
            <v>0.52235057759919545</v>
          </cell>
          <cell r="E230">
            <v>8.4344196658962145E-2</v>
          </cell>
          <cell r="F230">
            <v>824673</v>
          </cell>
          <cell r="G230">
            <v>0.29419133260524255</v>
          </cell>
          <cell r="H230">
            <v>-0.36900285777083441</v>
          </cell>
        </row>
        <row r="231">
          <cell r="C231">
            <v>10096</v>
          </cell>
          <cell r="D231">
            <v>0.6781013163143168</v>
          </cell>
          <cell r="E231">
            <v>7.7455075817471755E-2</v>
          </cell>
          <cell r="F231">
            <v>830239</v>
          </cell>
          <cell r="G231">
            <v>0.4836349596910372</v>
          </cell>
          <cell r="H231">
            <v>-0.42646198288856246</v>
          </cell>
        </row>
        <row r="232">
          <cell r="C232">
            <v>9845</v>
          </cell>
          <cell r="D232">
            <v>-3.0813152195313998</v>
          </cell>
          <cell r="E232">
            <v>7.6356109512982995E-2</v>
          </cell>
          <cell r="F232">
            <v>799694</v>
          </cell>
          <cell r="G232">
            <v>-4.0428996372633641</v>
          </cell>
          <cell r="H232">
            <v>-0.46988526941756364</v>
          </cell>
        </row>
        <row r="233">
          <cell r="C233">
            <v>9811</v>
          </cell>
          <cell r="D233">
            <v>-3.7759905845429542</v>
          </cell>
          <cell r="E233">
            <v>8.1823488807480096E-2</v>
          </cell>
          <cell r="F233">
            <v>797373</v>
          </cell>
          <cell r="G233">
            <v>-4.4844934775577716</v>
          </cell>
          <cell r="H233">
            <v>-0.49666924690785935</v>
          </cell>
        </row>
        <row r="234">
          <cell r="C234">
            <v>9910</v>
          </cell>
          <cell r="D234">
            <v>-3.109112240907308</v>
          </cell>
          <cell r="E234">
            <v>9.4414122031763636E-2</v>
          </cell>
          <cell r="F234">
            <v>806704</v>
          </cell>
          <cell r="G234">
            <v>-3.614296604114442</v>
          </cell>
          <cell r="H234">
            <v>-0.50502249362943585</v>
          </cell>
        </row>
        <row r="235">
          <cell r="C235">
            <v>10018</v>
          </cell>
          <cell r="D235">
            <v>-2.7095270467126342</v>
          </cell>
          <cell r="E235">
            <v>0.11441701376154043</v>
          </cell>
          <cell r="F235">
            <v>811676</v>
          </cell>
          <cell r="G235">
            <v>-3.2973055404645457</v>
          </cell>
          <cell r="H235">
            <v>-0.4940599115410636</v>
          </cell>
        </row>
        <row r="236">
          <cell r="C236">
            <v>10166</v>
          </cell>
          <cell r="D236">
            <v>-1.5780811307967824</v>
          </cell>
          <cell r="E236">
            <v>0.14189870146397984</v>
          </cell>
          <cell r="F236">
            <v>813879</v>
          </cell>
          <cell r="G236">
            <v>-2.0028584742201483</v>
          </cell>
          <cell r="H236">
            <v>-0.46360305580844152</v>
          </cell>
        </row>
        <row r="237">
          <cell r="C237">
            <v>10146</v>
          </cell>
          <cell r="D237">
            <v>-1.4568764568764547</v>
          </cell>
          <cell r="E237">
            <v>0.17672961537982945</v>
          </cell>
          <cell r="F237">
            <v>811612</v>
          </cell>
          <cell r="G237">
            <v>-1.9844356097018956</v>
          </cell>
          <cell r="H237">
            <v>-0.41411058287656921</v>
          </cell>
        </row>
        <row r="238">
          <cell r="C238">
            <v>10025</v>
          </cell>
          <cell r="D238">
            <v>-1.3093128568615886</v>
          </cell>
          <cell r="E238">
            <v>0.21866074270592983</v>
          </cell>
          <cell r="F238">
            <v>815930</v>
          </cell>
          <cell r="G238">
            <v>-1.7460833544067578</v>
          </cell>
          <cell r="H238">
            <v>-0.3463909799673579</v>
          </cell>
        </row>
        <row r="239">
          <cell r="C239">
            <v>10021</v>
          </cell>
          <cell r="D239">
            <v>-1.1052995164314572</v>
          </cell>
          <cell r="E239">
            <v>0.26732962577299263</v>
          </cell>
          <cell r="F239">
            <v>817768</v>
          </cell>
          <cell r="G239">
            <v>-1.425278932294427</v>
          </cell>
          <cell r="H239">
            <v>-0.26160962635427004</v>
          </cell>
        </row>
        <row r="240">
          <cell r="C240">
            <v>9943</v>
          </cell>
          <cell r="D240">
            <v>-1.787830896878706</v>
          </cell>
          <cell r="E240">
            <v>0.32226769763398178</v>
          </cell>
          <cell r="F240">
            <v>814653</v>
          </cell>
          <cell r="G240">
            <v>-2.2487562905420533</v>
          </cell>
          <cell r="H240">
            <v>-0.1612500132140498</v>
          </cell>
        </row>
        <row r="241">
          <cell r="C241">
            <v>9867</v>
          </cell>
          <cell r="D241">
            <v>-1.5956916325920001</v>
          </cell>
          <cell r="E241">
            <v>0.38291106987365253</v>
          </cell>
          <cell r="F241">
            <v>813227</v>
          </cell>
          <cell r="G241">
            <v>-1.8478354014365039</v>
          </cell>
          <cell r="H241">
            <v>-4.7060102020245888E-2</v>
          </cell>
        </row>
        <row r="242">
          <cell r="C242">
            <v>9824</v>
          </cell>
          <cell r="D242">
            <v>-1.8287198960727502</v>
          </cell>
          <cell r="E242">
            <v>0.44854931945214116</v>
          </cell>
          <cell r="F242">
            <v>810258</v>
          </cell>
          <cell r="G242">
            <v>-1.7479655572572361</v>
          </cell>
          <cell r="H242">
            <v>7.8737712508745727E-2</v>
          </cell>
        </row>
        <row r="243">
          <cell r="C243">
            <v>9874</v>
          </cell>
          <cell r="D243">
            <v>-2.1988906497622862</v>
          </cell>
          <cell r="E243">
            <v>0.51833462036413491</v>
          </cell>
          <cell r="F243">
            <v>812514</v>
          </cell>
          <cell r="G243">
            <v>-2.1349274124679796</v>
          </cell>
          <cell r="H243">
            <v>0.21351176854102538</v>
          </cell>
        </row>
        <row r="244">
          <cell r="C244">
            <v>9967</v>
          </cell>
          <cell r="D244">
            <v>1.2392077196546447</v>
          </cell>
          <cell r="E244">
            <v>0.59126100290879846</v>
          </cell>
          <cell r="F244">
            <v>815993</v>
          </cell>
          <cell r="G244">
            <v>2.0381545941322576</v>
          </cell>
          <cell r="H244">
            <v>0.35421524441065572</v>
          </cell>
        </row>
        <row r="245">
          <cell r="C245">
            <v>10027</v>
          </cell>
          <cell r="D245">
            <v>2.2016104372643008</v>
          </cell>
          <cell r="E245">
            <v>0.6661338011859822</v>
          </cell>
          <cell r="F245">
            <v>821596</v>
          </cell>
          <cell r="G245">
            <v>3.0378505417163693</v>
          </cell>
          <cell r="H245">
            <v>0.49726758227419732</v>
          </cell>
        </row>
        <row r="246">
          <cell r="C246">
            <v>10129</v>
          </cell>
          <cell r="D246">
            <v>2.209889001009091</v>
          </cell>
          <cell r="E246">
            <v>0.74180334559531047</v>
          </cell>
          <cell r="F246">
            <v>827908</v>
          </cell>
          <cell r="G246">
            <v>2.6284733929669457</v>
          </cell>
          <cell r="H246">
            <v>0.63947093777678399</v>
          </cell>
        </row>
        <row r="247">
          <cell r="C247">
            <v>10259</v>
          </cell>
          <cell r="D247">
            <v>2.4056697943701355</v>
          </cell>
          <cell r="E247">
            <v>0.81722659685835741</v>
          </cell>
          <cell r="F247">
            <v>831455</v>
          </cell>
          <cell r="G247">
            <v>2.4368097615304674</v>
          </cell>
          <cell r="H247">
            <v>0.77820487178160458</v>
          </cell>
        </row>
        <row r="248">
          <cell r="C248">
            <v>10392</v>
          </cell>
          <cell r="D248">
            <v>2.2230965964981309</v>
          </cell>
          <cell r="E248">
            <v>0.89146246608943414</v>
          </cell>
          <cell r="F248">
            <v>833181</v>
          </cell>
          <cell r="G248">
            <v>2.3716056072217162</v>
          </cell>
          <cell r="H248">
            <v>0.91130099116439123</v>
          </cell>
        </row>
        <row r="249">
          <cell r="C249">
            <v>10332</v>
          </cell>
          <cell r="D249">
            <v>1.8332347723240661</v>
          </cell>
          <cell r="E249">
            <v>0.9636801729582346</v>
          </cell>
          <cell r="F249">
            <v>826953</v>
          </cell>
          <cell r="G249">
            <v>1.8901889080003675</v>
          </cell>
          <cell r="H249">
            <v>1.0369678584576372</v>
          </cell>
        </row>
        <row r="250">
          <cell r="C250">
            <v>10243</v>
          </cell>
          <cell r="D250">
            <v>2.1745635910224381</v>
          </cell>
          <cell r="E250">
            <v>1.033141411726842</v>
          </cell>
          <cell r="F250">
            <v>833278</v>
          </cell>
          <cell r="G250">
            <v>2.1261627835721164</v>
          </cell>
          <cell r="H250">
            <v>1.1537459236065761</v>
          </cell>
        </row>
        <row r="251">
          <cell r="C251">
            <v>10283</v>
          </cell>
          <cell r="D251">
            <v>2.6145095299870302</v>
          </cell>
          <cell r="E251">
            <v>1.0991682623934069</v>
          </cell>
          <cell r="F251">
            <v>838512</v>
          </cell>
          <cell r="G251">
            <v>2.5366607644221828</v>
          </cell>
          <cell r="H251">
            <v>1.2603695504313375</v>
          </cell>
        </row>
        <row r="252">
          <cell r="C252">
            <v>10202</v>
          </cell>
          <cell r="D252">
            <v>2.6048476314995517</v>
          </cell>
          <cell r="E252">
            <v>1.1611620703851973</v>
          </cell>
          <cell r="F252">
            <v>836538</v>
          </cell>
          <cell r="G252">
            <v>2.6864198621989965</v>
          </cell>
          <cell r="H252">
            <v>1.355794106583861</v>
          </cell>
        </row>
        <row r="253">
          <cell r="C253">
            <v>10174</v>
          </cell>
          <cell r="D253">
            <v>3.111381372250932</v>
          </cell>
          <cell r="E253">
            <v>1.2186294131619526</v>
          </cell>
          <cell r="F253">
            <v>834856</v>
          </cell>
          <cell r="G253">
            <v>2.6596509953555447</v>
          </cell>
          <cell r="H253">
            <v>1.4392650259010844</v>
          </cell>
        </row>
        <row r="254">
          <cell r="C254">
            <v>10127</v>
          </cell>
          <cell r="D254">
            <v>3.0842833876221443</v>
          </cell>
          <cell r="E254">
            <v>1.2711771241251568</v>
          </cell>
          <cell r="F254">
            <v>831445</v>
          </cell>
          <cell r="G254">
            <v>2.6148461354284613</v>
          </cell>
          <cell r="H254">
            <v>1.5103301571644034</v>
          </cell>
        </row>
        <row r="255">
          <cell r="C255">
            <v>10194</v>
          </cell>
          <cell r="D255">
            <v>3.2408345148875917</v>
          </cell>
          <cell r="E255">
            <v>1.3185434777845639</v>
          </cell>
          <cell r="F255">
            <v>836159</v>
          </cell>
          <cell r="G255">
            <v>2.9101037028285148</v>
          </cell>
          <cell r="H255">
            <v>1.5688147096028171</v>
          </cell>
        </row>
        <row r="256">
          <cell r="C256">
            <v>10265</v>
          </cell>
          <cell r="D256">
            <v>2.9898665596468366</v>
          </cell>
          <cell r="E256">
            <v>1.3605926588071153</v>
          </cell>
          <cell r="F256">
            <v>839634</v>
          </cell>
          <cell r="G256">
            <v>2.8972062260337994</v>
          </cell>
          <cell r="H256">
            <v>1.6147949188040209</v>
          </cell>
        </row>
        <row r="257">
          <cell r="C257">
            <v>10390</v>
          </cell>
          <cell r="D257">
            <v>3.6202253914431104</v>
          </cell>
          <cell r="E257">
            <v>1.3973223442928844</v>
          </cell>
          <cell r="F257">
            <v>847512</v>
          </cell>
          <cell r="G257">
            <v>3.1543483658635241</v>
          </cell>
          <cell r="H257">
            <v>1.6486518587632619</v>
          </cell>
        </row>
        <row r="258">
          <cell r="C258">
            <v>10371</v>
          </cell>
          <cell r="D258">
            <v>2.3891795833744789</v>
          </cell>
          <cell r="E258">
            <v>1.4288433553628364</v>
          </cell>
          <cell r="F258">
            <v>848825</v>
          </cell>
          <cell r="G258">
            <v>2.5264884504075269</v>
          </cell>
          <cell r="H258">
            <v>1.6710580605910663</v>
          </cell>
        </row>
        <row r="259">
          <cell r="C259">
            <v>10411</v>
          </cell>
          <cell r="D259">
            <v>1.4816258894629009</v>
          </cell>
          <cell r="E259">
            <v>1.4554208814050997</v>
          </cell>
          <cell r="F259">
            <v>847299</v>
          </cell>
          <cell r="G259">
            <v>1.905575166425133</v>
          </cell>
          <cell r="H259">
            <v>1.6830282591495738</v>
          </cell>
        </row>
        <row r="260">
          <cell r="C260">
            <v>10520</v>
          </cell>
          <cell r="D260">
            <v>1.2317167051578037</v>
          </cell>
          <cell r="E260">
            <v>1.4773868018236371</v>
          </cell>
          <cell r="F260">
            <v>846899</v>
          </cell>
          <cell r="G260">
            <v>1.6464609730658664</v>
          </cell>
          <cell r="H260">
            <v>1.6857716052986094</v>
          </cell>
        </row>
        <row r="261">
          <cell r="C261">
            <v>10458</v>
          </cell>
          <cell r="D261">
            <v>1.2195121951219523</v>
          </cell>
          <cell r="E261">
            <v>1.4950748158146372</v>
          </cell>
          <cell r="F261">
            <v>840141</v>
          </cell>
          <cell r="G261">
            <v>1.5947701985481677</v>
          </cell>
          <cell r="H261">
            <v>1.6805478287405606</v>
          </cell>
        </row>
        <row r="262">
          <cell r="C262">
            <v>10383</v>
          </cell>
          <cell r="D262">
            <v>1.3667870740993848</v>
          </cell>
          <cell r="E262">
            <v>1.508801562150909</v>
          </cell>
          <cell r="F262">
            <v>844540</v>
          </cell>
          <cell r="G262">
            <v>1.3515297415748417</v>
          </cell>
          <cell r="H262">
            <v>1.6686077249432165</v>
          </cell>
        </row>
        <row r="263">
          <cell r="C263">
            <v>10373</v>
          </cell>
          <cell r="D263">
            <v>0.87523096372654763</v>
          </cell>
          <cell r="E263">
            <v>1.5188645433121575</v>
          </cell>
          <cell r="F263">
            <v>846126</v>
          </cell>
          <cell r="G263">
            <v>0.90803709428128876</v>
          </cell>
          <cell r="H263">
            <v>1.6511825944584133</v>
          </cell>
        </row>
        <row r="264">
          <cell r="C264">
            <v>10375</v>
          </cell>
          <cell r="D264">
            <v>1.6957459321701673</v>
          </cell>
          <cell r="E264">
            <v>1.5255513996608621</v>
          </cell>
          <cell r="F264">
            <v>845696</v>
          </cell>
          <cell r="G264">
            <v>1.0947500292873835</v>
          </cell>
          <cell r="H264">
            <v>1.6294316746599489</v>
          </cell>
        </row>
        <row r="265">
          <cell r="C265">
            <v>10324</v>
          </cell>
          <cell r="D265">
            <v>1.4743463731079265</v>
          </cell>
          <cell r="E265">
            <v>1.5291050747831423</v>
          </cell>
          <cell r="F265">
            <v>844159</v>
          </cell>
          <cell r="G265">
            <v>1.1143239073564848</v>
          </cell>
          <cell r="H265">
            <v>1.6043453062170352</v>
          </cell>
        </row>
        <row r="266">
          <cell r="C266">
            <v>10251</v>
          </cell>
          <cell r="D266">
            <v>1.2244494914584791</v>
          </cell>
          <cell r="E266">
            <v>1.5297803313298748</v>
          </cell>
          <cell r="F266">
            <v>841433</v>
          </cell>
          <cell r="G266">
            <v>1.2012821052505007</v>
          </cell>
          <cell r="H266">
            <v>1.5767923112431179</v>
          </cell>
        </row>
        <row r="267">
          <cell r="C267">
            <v>10316</v>
          </cell>
          <cell r="D267">
            <v>1.1967824210319833</v>
          </cell>
          <cell r="E267">
            <v>1.5278281292643199</v>
          </cell>
          <cell r="F267">
            <v>845131</v>
          </cell>
          <cell r="G267">
            <v>1.073001665951101</v>
          </cell>
          <cell r="H267">
            <v>1.5475301433519018</v>
          </cell>
        </row>
        <row r="268">
          <cell r="C268">
            <v>10455</v>
          </cell>
          <cell r="D268">
            <v>1.8509498295177895</v>
          </cell>
          <cell r="E268">
            <v>1.5234782250191914</v>
          </cell>
          <cell r="F268">
            <v>850030</v>
          </cell>
          <cell r="G268">
            <v>1.2381585309789722</v>
          </cell>
          <cell r="H268">
            <v>1.5172309129284567</v>
          </cell>
        </row>
        <row r="269">
          <cell r="C269">
            <v>10537</v>
          </cell>
          <cell r="D269">
            <v>1.4148219441771026</v>
          </cell>
          <cell r="E269">
            <v>1.5169373857419093</v>
          </cell>
          <cell r="F269">
            <v>857114</v>
          </cell>
          <cell r="G269">
            <v>1.1329633090740865</v>
          </cell>
          <cell r="H269">
            <v>1.4864588829766252</v>
          </cell>
        </row>
        <row r="270">
          <cell r="C270">
            <v>10529</v>
          </cell>
          <cell r="D270">
            <v>1.5234789316362907</v>
          </cell>
          <cell r="E270">
            <v>1.5084351196635393</v>
          </cell>
          <cell r="F270">
            <v>857569</v>
          </cell>
          <cell r="G270">
            <v>1.0301298854298535</v>
          </cell>
          <cell r="H270">
            <v>1.4557148909588977</v>
          </cell>
        </row>
        <row r="271">
          <cell r="C271">
            <v>10566</v>
          </cell>
          <cell r="D271">
            <v>1.4888099125924592</v>
          </cell>
          <cell r="E271">
            <v>1.4981938436650386</v>
          </cell>
          <cell r="F271">
            <v>855830</v>
          </cell>
          <cell r="G271">
            <v>1.0068464615206718</v>
          </cell>
          <cell r="H271">
            <v>1.4254194344346049</v>
          </cell>
        </row>
        <row r="272">
          <cell r="C272">
            <v>10642</v>
          </cell>
          <cell r="D272">
            <v>1.1596958174904914</v>
          </cell>
          <cell r="E272">
            <v>1.4864370193365293</v>
          </cell>
          <cell r="F272">
            <v>853246</v>
          </cell>
          <cell r="G272">
            <v>0.74944001586965125</v>
          </cell>
          <cell r="H272">
            <v>1.3958962870981844</v>
          </cell>
        </row>
        <row r="273">
          <cell r="C273">
            <v>10613</v>
          </cell>
          <cell r="D273">
            <v>1.482118951998479</v>
          </cell>
          <cell r="E273">
            <v>1.4733874566062535</v>
          </cell>
          <cell r="F273">
            <v>850264</v>
          </cell>
          <cell r="G273">
            <v>1.204916793728672</v>
          </cell>
          <cell r="H273">
            <v>1.3673740924229567</v>
          </cell>
        </row>
        <row r="274">
          <cell r="C274">
            <v>10556</v>
          </cell>
          <cell r="D274">
            <v>1.666185110276408</v>
          </cell>
          <cell r="E274">
            <v>1.4592452750412144</v>
          </cell>
          <cell r="F274">
            <v>857446</v>
          </cell>
          <cell r="G274">
            <v>1.528169180855854</v>
          </cell>
          <cell r="H274">
            <v>1.3399345720024181</v>
          </cell>
        </row>
        <row r="275">
          <cell r="C275">
            <v>10478</v>
          </cell>
          <cell r="D275">
            <v>1.0122433240142614</v>
          </cell>
          <cell r="E275">
            <v>1.4442112005622616</v>
          </cell>
          <cell r="F275">
            <v>854464</v>
          </cell>
          <cell r="G275">
            <v>0.98543242968540667</v>
          </cell>
          <cell r="H275">
            <v>1.3136225253167251</v>
          </cell>
        </row>
        <row r="276">
          <cell r="C276">
            <v>10436</v>
          </cell>
          <cell r="D276">
            <v>0.58795180722892582</v>
          </cell>
          <cell r="E276">
            <v>1.4285003299121366</v>
          </cell>
          <cell r="F276">
            <v>854851</v>
          </cell>
          <cell r="G276">
            <v>1.0825402981686105</v>
          </cell>
          <cell r="H276">
            <v>1.2885255324389555</v>
          </cell>
        </row>
        <row r="277">
          <cell r="C277">
            <v>10402</v>
          </cell>
          <cell r="D277">
            <v>0.75552111584658022</v>
          </cell>
          <cell r="E277">
            <v>1.4122977620643762</v>
          </cell>
          <cell r="F277">
            <v>853677</v>
          </cell>
          <cell r="G277">
            <v>1.1275127079140246</v>
          </cell>
          <cell r="H277">
            <v>1.2646565847840889</v>
          </cell>
        </row>
        <row r="278">
          <cell r="C278">
            <v>10342</v>
          </cell>
          <cell r="D278">
            <v>0.8877182713881604</v>
          </cell>
          <cell r="E278">
            <v>1.3957302245673309</v>
          </cell>
          <cell r="F278">
            <v>850503</v>
          </cell>
          <cell r="G278">
            <v>1.0779230194204459</v>
          </cell>
          <cell r="H278">
            <v>1.2419818589411344</v>
          </cell>
        </row>
        <row r="279">
          <cell r="C279">
            <v>10418</v>
          </cell>
          <cell r="D279">
            <v>0.98875533152384953</v>
          </cell>
          <cell r="E279">
            <v>1.3788788354800301</v>
          </cell>
          <cell r="F279">
            <v>855001</v>
          </cell>
          <cell r="G279">
            <v>1.1678662834519127</v>
          </cell>
          <cell r="H279">
            <v>1.2204363624361763</v>
          </cell>
        </row>
        <row r="280">
          <cell r="C280">
            <v>10613</v>
          </cell>
          <cell r="D280">
            <v>1.5112386417981849</v>
          </cell>
          <cell r="E280">
            <v>1.3617894342536441</v>
          </cell>
          <cell r="F280">
            <v>862873</v>
          </cell>
          <cell r="G280">
            <v>1.5108878510170287</v>
          </cell>
          <cell r="H280">
            <v>1.1999178166954072</v>
          </cell>
        </row>
        <row r="281">
          <cell r="C281">
            <v>10628</v>
          </cell>
          <cell r="D281">
            <v>0.86362342222643385</v>
          </cell>
          <cell r="E281">
            <v>1.3444807684293461</v>
          </cell>
          <cell r="F281">
            <v>865216</v>
          </cell>
          <cell r="G281">
            <v>0.94526515726029992</v>
          </cell>
          <cell r="H281">
            <v>1.1803119953997963</v>
          </cell>
        </row>
        <row r="282">
          <cell r="C282">
            <v>10678</v>
          </cell>
          <cell r="D282">
            <v>1.4151391395194279</v>
          </cell>
          <cell r="E282">
            <v>1.3269819639654996</v>
          </cell>
          <cell r="F282">
            <v>867504</v>
          </cell>
          <cell r="G282">
            <v>1.1585073620898223</v>
          </cell>
          <cell r="H282">
            <v>1.1615753472381127</v>
          </cell>
        </row>
        <row r="283">
          <cell r="C283">
            <v>10716</v>
          </cell>
          <cell r="D283">
            <v>1.4196479273140161</v>
          </cell>
          <cell r="E283">
            <v>1.3092887539492046</v>
          </cell>
          <cell r="F283">
            <v>868606</v>
          </cell>
          <cell r="G283">
            <v>1.4928198357150313</v>
          </cell>
          <cell r="H283">
            <v>1.1436109011631854</v>
          </cell>
        </row>
        <row r="284">
          <cell r="C284">
            <v>10755</v>
          </cell>
          <cell r="D284">
            <v>1.0618304829919101</v>
          </cell>
          <cell r="E284">
            <v>1.2914029934936406</v>
          </cell>
          <cell r="F284">
            <v>861542</v>
          </cell>
          <cell r="G284">
            <v>0.97228700749842911</v>
          </cell>
          <cell r="H284">
            <v>1.1263209888584911</v>
          </cell>
        </row>
        <row r="285">
          <cell r="C285">
            <v>10741</v>
          </cell>
          <cell r="D285">
            <v>1.2060680297748094</v>
          </cell>
          <cell r="E285">
            <v>1.2733342015434712</v>
          </cell>
          <cell r="F285">
            <v>860437</v>
          </cell>
          <cell r="G285">
            <v>1.1964519255196038</v>
          </cell>
          <cell r="H285">
            <v>1.1096873076744505</v>
          </cell>
        </row>
        <row r="286">
          <cell r="C286">
            <v>10668</v>
          </cell>
          <cell r="D286">
            <v>1.0610079575596787</v>
          </cell>
          <cell r="E286">
            <v>1.2550759545079082</v>
          </cell>
          <cell r="F286">
            <v>863769</v>
          </cell>
          <cell r="G286">
            <v>0.73742253156467985</v>
          </cell>
          <cell r="H286">
            <v>1.0936565472384479</v>
          </cell>
        </row>
        <row r="287">
          <cell r="C287">
            <v>10624</v>
          </cell>
          <cell r="D287">
            <v>1.3933956861996499</v>
          </cell>
          <cell r="E287">
            <v>1.2366171575342351</v>
          </cell>
          <cell r="F287">
            <v>863487</v>
          </cell>
          <cell r="G287">
            <v>1.0559836341847095</v>
          </cell>
          <cell r="H287">
            <v>1.0781951164091963</v>
          </cell>
        </row>
        <row r="288">
          <cell r="C288">
            <v>10640</v>
          </cell>
          <cell r="D288">
            <v>1.9547719432732924</v>
          </cell>
          <cell r="E288">
            <v>1.2179332388255026</v>
          </cell>
          <cell r="F288">
            <v>867230</v>
          </cell>
          <cell r="G288">
            <v>1.4480886142731242</v>
          </cell>
          <cell r="H288">
            <v>1.0631884617691192</v>
          </cell>
        </row>
        <row r="289">
          <cell r="C289">
            <v>10540</v>
          </cell>
          <cell r="D289">
            <v>1.3266679484714494</v>
          </cell>
          <cell r="E289">
            <v>1.199010513982586</v>
          </cell>
          <cell r="F289">
            <v>863178</v>
          </cell>
          <cell r="G289">
            <v>1.1129502141910885</v>
          </cell>
          <cell r="H289">
            <v>1.0485169818364981</v>
          </cell>
        </row>
        <row r="290">
          <cell r="C290">
            <v>10486</v>
          </cell>
          <cell r="D290">
            <v>1.3923805840263093</v>
          </cell>
          <cell r="E290">
            <v>1.1798864679608356</v>
          </cell>
          <cell r="F290">
            <v>859781</v>
          </cell>
          <cell r="G290">
            <v>1.0908838651950692</v>
          </cell>
          <cell r="H290">
            <v>1.0341485524370022</v>
          </cell>
        </row>
        <row r="291">
          <cell r="C291">
            <v>10534</v>
          </cell>
          <cell r="D291">
            <v>1.1134574774428918</v>
          </cell>
          <cell r="E291">
            <v>1.1606074508152193</v>
          </cell>
          <cell r="F291">
            <v>864263</v>
          </cell>
          <cell r="G291">
            <v>1.083273586814526</v>
          </cell>
          <cell r="H291">
            <v>1.020065693312745</v>
          </cell>
        </row>
        <row r="292">
          <cell r="C292">
            <v>10660</v>
          </cell>
          <cell r="D292">
            <v>0.4428531046829276</v>
          </cell>
          <cell r="E292">
            <v>1.1412345691365424</v>
          </cell>
          <cell r="F292">
            <v>868223</v>
          </cell>
          <cell r="G292">
            <v>0.62002171814392604</v>
          </cell>
          <cell r="H292">
            <v>1.0062638185951029</v>
          </cell>
        </row>
        <row r="293">
          <cell r="C293">
            <v>10740</v>
          </cell>
          <cell r="D293">
            <v>1.0538200978547296</v>
          </cell>
          <cell r="E293">
            <v>1.1218256552119039</v>
          </cell>
          <cell r="F293">
            <v>873743</v>
          </cell>
          <cell r="G293">
            <v>0.98553424809526557</v>
          </cell>
          <cell r="H293">
            <v>0.99275270784579428</v>
          </cell>
        </row>
        <row r="294">
          <cell r="C294">
            <v>10818</v>
          </cell>
          <cell r="D294">
            <v>1.3111069488668248</v>
          </cell>
          <cell r="E294">
            <v>1.1023900426155935</v>
          </cell>
          <cell r="F294">
            <v>878753</v>
          </cell>
          <cell r="G294">
            <v>1.2967087183459736</v>
          </cell>
          <cell r="H294">
            <v>0.97945435833098027</v>
          </cell>
        </row>
        <row r="295">
          <cell r="C295">
            <v>10820</v>
          </cell>
          <cell r="D295">
            <v>0.97051138484509636</v>
          </cell>
          <cell r="E295">
            <v>1.0829323423137511</v>
          </cell>
          <cell r="F295">
            <v>874331</v>
          </cell>
          <cell r="G295">
            <v>0.65910205547738965</v>
          </cell>
          <cell r="H295">
            <v>0.96628912675778778</v>
          </cell>
        </row>
        <row r="296">
          <cell r="C296">
            <v>10839</v>
          </cell>
          <cell r="D296">
            <v>0.78103207810320541</v>
          </cell>
          <cell r="E296">
            <v>1.0634716595021174</v>
          </cell>
          <cell r="F296">
            <v>870859</v>
          </cell>
          <cell r="G296">
            <v>1.0814330583999388</v>
          </cell>
          <cell r="H296">
            <v>0.95324947309698371</v>
          </cell>
        </row>
        <row r="297">
          <cell r="C297">
            <v>10866</v>
          </cell>
          <cell r="D297">
            <v>1.1637650125686516</v>
          </cell>
          <cell r="E297">
            <v>1.0440192923654978</v>
          </cell>
          <cell r="F297">
            <v>870353</v>
          </cell>
          <cell r="G297">
            <v>1.152437656679095</v>
          </cell>
          <cell r="H297">
            <v>0.94025804207586217</v>
          </cell>
        </row>
      </sheetData>
      <sheetData sheetId="18"/>
      <sheetData sheetId="19">
        <row r="206">
          <cell r="C206">
            <v>89</v>
          </cell>
          <cell r="D206">
            <v>21.917808219178081</v>
          </cell>
          <cell r="E206">
            <v>-6.6775138220365262</v>
          </cell>
          <cell r="F206">
            <v>9403</v>
          </cell>
          <cell r="G206">
            <v>5.7824277196534934</v>
          </cell>
          <cell r="H206">
            <v>-2.4657026370364035</v>
          </cell>
        </row>
        <row r="207">
          <cell r="C207">
            <v>67</v>
          </cell>
          <cell r="D207">
            <v>-6.944444444444442</v>
          </cell>
          <cell r="E207">
            <v>-6.7978125659377726</v>
          </cell>
          <cell r="F207">
            <v>8738</v>
          </cell>
          <cell r="G207">
            <v>-1.1985526910900046</v>
          </cell>
          <cell r="H207">
            <v>-2.4950762793329475</v>
          </cell>
        </row>
        <row r="208">
          <cell r="C208">
            <v>49</v>
          </cell>
          <cell r="D208">
            <v>-25.757575757575758</v>
          </cell>
          <cell r="E208">
            <v>-6.8656294554134387</v>
          </cell>
          <cell r="F208">
            <v>9265</v>
          </cell>
          <cell r="G208">
            <v>-12.138454243717401</v>
          </cell>
          <cell r="H208">
            <v>-2.5066049857118777</v>
          </cell>
        </row>
        <row r="209">
          <cell r="C209">
            <v>84</v>
          </cell>
          <cell r="D209">
            <v>5.0000000000000044</v>
          </cell>
          <cell r="E209">
            <v>-6.882090425616175</v>
          </cell>
          <cell r="F209">
            <v>8817</v>
          </cell>
          <cell r="G209">
            <v>13.212634822804304</v>
          </cell>
          <cell r="H209">
            <v>-2.5003112039732969</v>
          </cell>
        </row>
        <row r="210">
          <cell r="C210">
            <v>70</v>
          </cell>
          <cell r="D210">
            <v>-12.5</v>
          </cell>
          <cell r="E210">
            <v>-6.8496333524140596</v>
          </cell>
          <cell r="F210">
            <v>8830</v>
          </cell>
          <cell r="G210">
            <v>0.50079672205782799</v>
          </cell>
          <cell r="H210">
            <v>-2.4768862603380026</v>
          </cell>
        </row>
        <row r="211">
          <cell r="C211">
            <v>50</v>
          </cell>
          <cell r="D211">
            <v>-26.470588235294112</v>
          </cell>
          <cell r="E211">
            <v>-6.7698709665067263</v>
          </cell>
          <cell r="F211">
            <v>8120</v>
          </cell>
          <cell r="G211">
            <v>-2.5093048385160244</v>
          </cell>
          <cell r="H211">
            <v>-2.4359303042193785</v>
          </cell>
        </row>
        <row r="212">
          <cell r="C212">
            <v>50</v>
          </cell>
          <cell r="D212">
            <v>-5.6603773584905648</v>
          </cell>
          <cell r="E212">
            <v>-6.6448083851665576</v>
          </cell>
          <cell r="F212">
            <v>7695</v>
          </cell>
          <cell r="G212">
            <v>3.4969737726967098</v>
          </cell>
          <cell r="H212">
            <v>-2.3768367014903631</v>
          </cell>
        </row>
        <row r="213">
          <cell r="C213">
            <v>54</v>
          </cell>
          <cell r="D213">
            <v>38.46153846153846</v>
          </cell>
          <cell r="E213">
            <v>-6.4778188310318257</v>
          </cell>
          <cell r="F213">
            <v>5870</v>
          </cell>
          <cell r="G213">
            <v>-0.67681895093062439</v>
          </cell>
          <cell r="H213">
            <v>-2.2990039134776667</v>
          </cell>
        </row>
        <row r="214">
          <cell r="C214">
            <v>42</v>
          </cell>
          <cell r="D214">
            <v>-25</v>
          </cell>
          <cell r="E214">
            <v>-6.2722071634750609</v>
          </cell>
          <cell r="F214">
            <v>5882</v>
          </cell>
          <cell r="G214">
            <v>-4.4664609387688792</v>
          </cell>
          <cell r="H214">
            <v>-2.2014224980028474</v>
          </cell>
        </row>
        <row r="215">
          <cell r="C215">
            <v>67</v>
          </cell>
          <cell r="D215">
            <v>8.0645161290322509</v>
          </cell>
          <cell r="E215">
            <v>-6.0281574531679221</v>
          </cell>
          <cell r="F215">
            <v>7723</v>
          </cell>
          <cell r="G215">
            <v>6.7302377003869651</v>
          </cell>
          <cell r="H215">
            <v>-2.0829703611539534</v>
          </cell>
        </row>
        <row r="216">
          <cell r="C216">
            <v>73</v>
          </cell>
          <cell r="D216">
            <v>12.307692307692308</v>
          </cell>
          <cell r="E216">
            <v>-5.7471543119512711</v>
          </cell>
          <cell r="F216">
            <v>7969</v>
          </cell>
          <cell r="G216">
            <v>3.2789009849663042</v>
          </cell>
          <cell r="H216">
            <v>-1.9426827033551974</v>
          </cell>
        </row>
        <row r="217">
          <cell r="C217">
            <v>59</v>
          </cell>
          <cell r="D217">
            <v>22.916666666666675</v>
          </cell>
          <cell r="E217">
            <v>-5.4297036937783183</v>
          </cell>
          <cell r="F217">
            <v>6809</v>
          </cell>
          <cell r="G217">
            <v>1.0987379361544258</v>
          </cell>
          <cell r="H217">
            <v>-1.7789826966931857</v>
          </cell>
        </row>
        <row r="218">
          <cell r="C218">
            <v>85</v>
          </cell>
          <cell r="D218">
            <v>-4.4943820224719104</v>
          </cell>
          <cell r="E218">
            <v>-5.0750577438092437</v>
          </cell>
          <cell r="F218">
            <v>8995</v>
          </cell>
          <cell r="G218">
            <v>-4.3390407316813757</v>
          </cell>
          <cell r="H218">
            <v>-1.5899309032761684</v>
          </cell>
        </row>
        <row r="219">
          <cell r="C219">
            <v>55</v>
          </cell>
          <cell r="D219">
            <v>-17.910447761194025</v>
          </cell>
          <cell r="E219">
            <v>-4.6805001092625282</v>
          </cell>
          <cell r="F219">
            <v>9382</v>
          </cell>
          <cell r="G219">
            <v>7.3701075761043677</v>
          </cell>
          <cell r="H219">
            <v>-1.3733880435017813</v>
          </cell>
        </row>
        <row r="220">
          <cell r="C220">
            <v>63</v>
          </cell>
          <cell r="D220">
            <v>28.57142857142858</v>
          </cell>
          <cell r="E220">
            <v>-4.2432741126537836</v>
          </cell>
          <cell r="F220">
            <v>9437</v>
          </cell>
          <cell r="G220">
            <v>1.8564490016189872</v>
          </cell>
          <cell r="H220">
            <v>-1.1274057481724109</v>
          </cell>
        </row>
        <row r="221">
          <cell r="C221">
            <v>55</v>
          </cell>
          <cell r="D221">
            <v>-34.523809523809526</v>
          </cell>
          <cell r="E221">
            <v>-3.7615418228633382</v>
          </cell>
          <cell r="F221">
            <v>8683</v>
          </cell>
          <cell r="G221">
            <v>-1.5197913122377171</v>
          </cell>
          <cell r="H221">
            <v>-0.8494284608946373</v>
          </cell>
        </row>
        <row r="222">
          <cell r="C222">
            <v>50</v>
          </cell>
          <cell r="D222">
            <v>-28.571428571428569</v>
          </cell>
          <cell r="E222">
            <v>-3.2311865099740147</v>
          </cell>
          <cell r="F222">
            <v>8585</v>
          </cell>
          <cell r="G222">
            <v>-2.7746319365798411</v>
          </cell>
          <cell r="H222">
            <v>-0.53669341313963881</v>
          </cell>
        </row>
        <row r="223">
          <cell r="C223">
            <v>63</v>
          </cell>
          <cell r="D223">
            <v>26</v>
          </cell>
          <cell r="E223">
            <v>-2.6502277126589799</v>
          </cell>
          <cell r="F223">
            <v>7433</v>
          </cell>
          <cell r="G223">
            <v>-8.4605911330049253</v>
          </cell>
          <cell r="H223">
            <v>-0.18648438935438114</v>
          </cell>
        </row>
        <row r="224">
          <cell r="C224">
            <v>45</v>
          </cell>
          <cell r="D224">
            <v>-9.9999999999999982</v>
          </cell>
          <cell r="E224">
            <v>-2.0184447086234458</v>
          </cell>
          <cell r="F224">
            <v>7825</v>
          </cell>
          <cell r="G224">
            <v>1.6894087069525776</v>
          </cell>
          <cell r="H224">
            <v>0.20375941361670874</v>
          </cell>
        </row>
        <row r="225">
          <cell r="C225">
            <v>31</v>
          </cell>
          <cell r="D225">
            <v>-42.592592592592595</v>
          </cell>
          <cell r="E225">
            <v>-1.3336271764259116</v>
          </cell>
          <cell r="F225">
            <v>5368</v>
          </cell>
          <cell r="G225">
            <v>-8.5519591141396951</v>
          </cell>
          <cell r="H225">
            <v>0.636024208183117</v>
          </cell>
        </row>
        <row r="226">
          <cell r="C226">
            <v>60</v>
          </cell>
          <cell r="D226">
            <v>42.857142857142861</v>
          </cell>
          <cell r="E226">
            <v>-0.59411906929788827</v>
          </cell>
          <cell r="F226">
            <v>5787</v>
          </cell>
          <cell r="G226">
            <v>-1.6150969058143505</v>
          </cell>
          <cell r="H226">
            <v>1.1123993768441449</v>
          </cell>
        </row>
        <row r="227">
          <cell r="C227">
            <v>53</v>
          </cell>
          <cell r="D227">
            <v>-20.895522388059707</v>
          </cell>
          <cell r="E227">
            <v>0.19887045359743424</v>
          </cell>
          <cell r="F227">
            <v>8029</v>
          </cell>
          <cell r="G227">
            <v>3.9621908584746901</v>
          </cell>
          <cell r="H227">
            <v>1.6343362477017103</v>
          </cell>
        </row>
        <row r="228">
          <cell r="C228">
            <v>37</v>
          </cell>
          <cell r="D228">
            <v>-49.315068493150683</v>
          </cell>
          <cell r="E228">
            <v>1.0471496818417581</v>
          </cell>
          <cell r="F228">
            <v>7332</v>
          </cell>
          <cell r="G228">
            <v>-7.9934747145187561</v>
          </cell>
          <cell r="H228">
            <v>2.2030967393936574</v>
          </cell>
        </row>
        <row r="229">
          <cell r="C229">
            <v>45</v>
          </cell>
          <cell r="D229">
            <v>-23.728813559322038</v>
          </cell>
          <cell r="E229">
            <v>1.9510620166250034</v>
          </cell>
          <cell r="F229">
            <v>7095</v>
          </cell>
          <cell r="G229">
            <v>4.2003231017770704</v>
          </cell>
          <cell r="H229">
            <v>2.8201044271280229</v>
          </cell>
        </row>
        <row r="230">
          <cell r="C230">
            <v>49</v>
          </cell>
          <cell r="D230">
            <v>-42.352941176470594</v>
          </cell>
          <cell r="E230">
            <v>2.9074534828749385</v>
          </cell>
          <cell r="F230">
            <v>8658</v>
          </cell>
          <cell r="G230">
            <v>-3.7465258476931607</v>
          </cell>
          <cell r="H230">
            <v>3.4860747908729888</v>
          </cell>
        </row>
        <row r="231">
          <cell r="C231">
            <v>56</v>
          </cell>
          <cell r="D231">
            <v>1.8181818181818077</v>
          </cell>
          <cell r="E231">
            <v>3.9113867808265574</v>
          </cell>
          <cell r="F231">
            <v>8523</v>
          </cell>
          <cell r="G231">
            <v>-9.155830313366021</v>
          </cell>
          <cell r="H231">
            <v>4.2018191591158098</v>
          </cell>
        </row>
        <row r="232">
          <cell r="C232">
            <v>51</v>
          </cell>
          <cell r="D232">
            <v>-19.047619047619047</v>
          </cell>
          <cell r="E232">
            <v>4.9547815277523988</v>
          </cell>
          <cell r="F232">
            <v>6779</v>
          </cell>
          <cell r="G232">
            <v>-28.16573063473562</v>
          </cell>
          <cell r="H232">
            <v>4.9676465964105061</v>
          </cell>
        </row>
        <row r="233">
          <cell r="C233">
            <v>30</v>
          </cell>
          <cell r="D233">
            <v>-45.45454545454546</v>
          </cell>
          <cell r="E233">
            <v>6.0294119794692618</v>
          </cell>
          <cell r="F233">
            <v>2314</v>
          </cell>
          <cell r="G233">
            <v>-73.350224576759189</v>
          </cell>
          <cell r="H233">
            <v>5.7829385527643966</v>
          </cell>
        </row>
        <row r="234">
          <cell r="C234">
            <v>28</v>
          </cell>
          <cell r="D234">
            <v>-43.999999999999993</v>
          </cell>
          <cell r="E234">
            <v>7.125385558420656</v>
          </cell>
          <cell r="F234">
            <v>3792</v>
          </cell>
          <cell r="G234">
            <v>-55.829935934769949</v>
          </cell>
          <cell r="H234">
            <v>6.6447755492104168</v>
          </cell>
        </row>
        <row r="235">
          <cell r="C235">
            <v>61</v>
          </cell>
          <cell r="D235">
            <v>-3.1746031746031744</v>
          </cell>
          <cell r="E235">
            <v>8.2292344122282852</v>
          </cell>
          <cell r="F235">
            <v>6737</v>
          </cell>
          <cell r="G235">
            <v>-9.3636485941073548</v>
          </cell>
          <cell r="H235">
            <v>7.5447427482308402</v>
          </cell>
        </row>
        <row r="236">
          <cell r="C236">
            <v>68</v>
          </cell>
          <cell r="D236">
            <v>51.111111111111107</v>
          </cell>
          <cell r="E236">
            <v>9.3239403145167401</v>
          </cell>
          <cell r="F236">
            <v>7641</v>
          </cell>
          <cell r="G236">
            <v>-2.3514376996805142</v>
          </cell>
          <cell r="H236">
            <v>8.470086790677108</v>
          </cell>
        </row>
        <row r="237">
          <cell r="C237">
            <v>45</v>
          </cell>
          <cell r="D237">
            <v>45.161290322580648</v>
          </cell>
          <cell r="E237">
            <v>10.39169310574486</v>
          </cell>
          <cell r="F237">
            <v>5752</v>
          </cell>
          <cell r="G237">
            <v>7.1535022354694444</v>
          </cell>
          <cell r="H237">
            <v>9.4068801235574444</v>
          </cell>
        </row>
        <row r="238">
          <cell r="C238">
            <v>46</v>
          </cell>
          <cell r="D238">
            <v>-23.333333333333329</v>
          </cell>
          <cell r="E238">
            <v>11.417584513232358</v>
          </cell>
          <cell r="F238">
            <v>6599</v>
          </cell>
          <cell r="G238">
            <v>14.031449801278729</v>
          </cell>
          <cell r="H238">
            <v>10.340443699123799</v>
          </cell>
        </row>
        <row r="239">
          <cell r="C239">
            <v>42</v>
          </cell>
          <cell r="D239">
            <v>-20.75471698113207</v>
          </cell>
          <cell r="E239">
            <v>12.389120819661228</v>
          </cell>
          <cell r="F239">
            <v>7396</v>
          </cell>
          <cell r="G239">
            <v>-7.8839207871465922</v>
          </cell>
          <cell r="H239">
            <v>11.25594198505256</v>
          </cell>
        </row>
        <row r="240">
          <cell r="C240">
            <v>59</v>
          </cell>
          <cell r="D240">
            <v>59.459459459459453</v>
          </cell>
          <cell r="E240">
            <v>13.291395049529674</v>
          </cell>
          <cell r="F240">
            <v>7339</v>
          </cell>
          <cell r="G240">
            <v>9.54719039825358E-2</v>
          </cell>
          <cell r="H240">
            <v>12.13879576888832</v>
          </cell>
        </row>
        <row r="241">
          <cell r="C241">
            <v>57</v>
          </cell>
          <cell r="D241">
            <v>26.666666666666661</v>
          </cell>
          <cell r="E241">
            <v>14.107198571933067</v>
          </cell>
          <cell r="F241">
            <v>7670</v>
          </cell>
          <cell r="G241">
            <v>8.1042988019732309</v>
          </cell>
          <cell r="H241">
            <v>12.97309668103871</v>
          </cell>
        </row>
        <row r="242">
          <cell r="C242">
            <v>67</v>
          </cell>
          <cell r="D242">
            <v>36.734693877551017</v>
          </cell>
          <cell r="E242">
            <v>14.822528871550796</v>
          </cell>
          <cell r="F242">
            <v>7815</v>
          </cell>
          <cell r="G242">
            <v>-9.7366597366597354</v>
          </cell>
          <cell r="H242">
            <v>13.742100009976298</v>
          </cell>
        </row>
        <row r="243">
          <cell r="C243">
            <v>85</v>
          </cell>
          <cell r="D243">
            <v>51.785714285714278</v>
          </cell>
          <cell r="E243">
            <v>15.424255618346608</v>
          </cell>
          <cell r="F243">
            <v>8787</v>
          </cell>
          <cell r="G243">
            <v>3.0975008799718484</v>
          </cell>
          <cell r="H243">
            <v>14.428722933209826</v>
          </cell>
        </row>
        <row r="244">
          <cell r="C244">
            <v>76</v>
          </cell>
          <cell r="D244">
            <v>49.019607843137258</v>
          </cell>
          <cell r="E244">
            <v>15.900770160409666</v>
          </cell>
          <cell r="F244">
            <v>11005</v>
          </cell>
          <cell r="G244">
            <v>62.339578108865609</v>
          </cell>
          <cell r="H244">
            <v>15.014252158821188</v>
          </cell>
        </row>
        <row r="245">
          <cell r="C245">
            <v>90</v>
          </cell>
          <cell r="D245">
            <v>200</v>
          </cell>
          <cell r="E245">
            <v>16.242988947125479</v>
          </cell>
          <cell r="F245">
            <v>9226</v>
          </cell>
          <cell r="G245">
            <v>298.70354364736386</v>
          </cell>
          <cell r="H245">
            <v>15.479187504471916</v>
          </cell>
        </row>
        <row r="246">
          <cell r="C246">
            <v>76</v>
          </cell>
          <cell r="D246">
            <v>171.42857142857144</v>
          </cell>
          <cell r="E246">
            <v>16.444128347163083</v>
          </cell>
          <cell r="F246">
            <v>9574</v>
          </cell>
          <cell r="G246">
            <v>152.4789029535865</v>
          </cell>
          <cell r="H246">
            <v>15.807315268792298</v>
          </cell>
        </row>
        <row r="247">
          <cell r="C247">
            <v>75</v>
          </cell>
          <cell r="D247">
            <v>22.95081967213115</v>
          </cell>
          <cell r="E247">
            <v>16.510165632736854</v>
          </cell>
          <cell r="F247">
            <v>9556</v>
          </cell>
          <cell r="G247">
            <v>41.843550541784168</v>
          </cell>
          <cell r="H247">
            <v>16.002090108478097</v>
          </cell>
        </row>
        <row r="248">
          <cell r="C248">
            <v>50</v>
          </cell>
          <cell r="D248">
            <v>-26.470588235294112</v>
          </cell>
          <cell r="E248">
            <v>16.457840884608483</v>
          </cell>
          <cell r="F248">
            <v>8388</v>
          </cell>
          <cell r="G248">
            <v>9.7762073027090715</v>
          </cell>
          <cell r="H248">
            <v>16.076457762703193</v>
          </cell>
        </row>
        <row r="249">
          <cell r="C249">
            <v>45</v>
          </cell>
          <cell r="D249">
            <v>0</v>
          </cell>
          <cell r="E249">
            <v>16.304341451181294</v>
          </cell>
          <cell r="F249">
            <v>6310</v>
          </cell>
          <cell r="G249">
            <v>9.7009735744089109</v>
          </cell>
          <cell r="H249">
            <v>16.045158516504891</v>
          </cell>
        </row>
        <row r="250">
          <cell r="C250">
            <v>53</v>
          </cell>
          <cell r="D250">
            <v>15.217391304347828</v>
          </cell>
          <cell r="E250">
            <v>16.063873539947501</v>
          </cell>
          <cell r="F250">
            <v>6622</v>
          </cell>
          <cell r="G250">
            <v>0.34853765722078212</v>
          </cell>
          <cell r="H250">
            <v>15.922495137527438</v>
          </cell>
        </row>
        <row r="251">
          <cell r="C251">
            <v>51</v>
          </cell>
          <cell r="D251">
            <v>21.42857142857142</v>
          </cell>
          <cell r="E251">
            <v>15.749511112465212</v>
          </cell>
          <cell r="F251">
            <v>7350</v>
          </cell>
          <cell r="G251">
            <v>-0.62195781503515679</v>
          </cell>
          <cell r="H251">
            <v>15.722329825016322</v>
          </cell>
        </row>
        <row r="252">
          <cell r="C252">
            <v>74</v>
          </cell>
          <cell r="D252">
            <v>25.423728813559322</v>
          </cell>
          <cell r="E252">
            <v>15.374269346803949</v>
          </cell>
          <cell r="F252">
            <v>8181</v>
          </cell>
          <cell r="G252">
            <v>11.472952718354001</v>
          </cell>
          <cell r="H252">
            <v>15.457443253392013</v>
          </cell>
        </row>
        <row r="253">
          <cell r="C253">
            <v>61</v>
          </cell>
          <cell r="D253">
            <v>7.0175438596491224</v>
          </cell>
          <cell r="E253">
            <v>14.951557800221856</v>
          </cell>
          <cell r="F253">
            <v>8396</v>
          </cell>
          <cell r="G253">
            <v>9.465449804432847</v>
          </cell>
          <cell r="H253">
            <v>15.13948107709998</v>
          </cell>
        </row>
        <row r="254">
          <cell r="C254">
            <v>76</v>
          </cell>
          <cell r="D254">
            <v>13.432835820895516</v>
          </cell>
          <cell r="E254">
            <v>14.495483909106714</v>
          </cell>
          <cell r="F254">
            <v>8197</v>
          </cell>
          <cell r="G254">
            <v>4.8880358285348757</v>
          </cell>
          <cell r="H254">
            <v>14.779812249854091</v>
          </cell>
        </row>
        <row r="255">
          <cell r="C255">
            <v>49</v>
          </cell>
          <cell r="D255">
            <v>-42.352941176470594</v>
          </cell>
          <cell r="E255">
            <v>14.019604136655985</v>
          </cell>
          <cell r="F255">
            <v>9239</v>
          </cell>
          <cell r="G255">
            <v>5.1439626721292875</v>
          </cell>
          <cell r="H255">
            <v>14.389411695418724</v>
          </cell>
        </row>
        <row r="256">
          <cell r="C256">
            <v>83</v>
          </cell>
          <cell r="D256">
            <v>9.210526315789469</v>
          </cell>
          <cell r="E256">
            <v>13.53740115106101</v>
          </cell>
          <cell r="F256">
            <v>11086</v>
          </cell>
          <cell r="G256">
            <v>0.73602907769196868</v>
          </cell>
          <cell r="H256">
            <v>13.978567408640114</v>
          </cell>
        </row>
        <row r="257">
          <cell r="C257">
            <v>72</v>
          </cell>
          <cell r="D257">
            <v>-19.999999999999996</v>
          </cell>
          <cell r="E257">
            <v>13.058442860421936</v>
          </cell>
          <cell r="F257">
            <v>8478</v>
          </cell>
          <cell r="G257">
            <v>-8.1075222198135677</v>
          </cell>
          <cell r="H257">
            <v>13.556925339293429</v>
          </cell>
        </row>
        <row r="258">
          <cell r="C258">
            <v>72</v>
          </cell>
          <cell r="D258">
            <v>-5.2631578947368478</v>
          </cell>
          <cell r="E258">
            <v>12.591996695419796</v>
          </cell>
          <cell r="F258">
            <v>9132</v>
          </cell>
          <cell r="G258">
            <v>-4.6166701483183576</v>
          </cell>
          <cell r="H258">
            <v>13.133211816436415</v>
          </cell>
        </row>
        <row r="259">
          <cell r="C259">
            <v>80</v>
          </cell>
          <cell r="D259">
            <v>6.6666666666666652</v>
          </cell>
          <cell r="E259">
            <v>12.14503436153699</v>
          </cell>
          <cell r="F259">
            <v>8917</v>
          </cell>
          <cell r="G259">
            <v>-6.6868982838007573</v>
          </cell>
          <cell r="H259">
            <v>12.714648693601882</v>
          </cell>
        </row>
        <row r="260">
          <cell r="C260">
            <v>49</v>
          </cell>
          <cell r="D260">
            <v>-2.0000000000000018</v>
          </cell>
          <cell r="E260">
            <v>11.72328762296493</v>
          </cell>
          <cell r="F260">
            <v>7183</v>
          </cell>
          <cell r="G260">
            <v>-14.365760610395807</v>
          </cell>
          <cell r="H260">
            <v>12.307225193630645</v>
          </cell>
        </row>
        <row r="261">
          <cell r="C261">
            <v>54</v>
          </cell>
          <cell r="D261">
            <v>19.999999999999996</v>
          </cell>
          <cell r="E261">
            <v>11.332107801693999</v>
          </cell>
          <cell r="F261">
            <v>5910</v>
          </cell>
          <cell r="G261">
            <v>-6.3391442155309008</v>
          </cell>
          <cell r="H261">
            <v>11.915583209712306</v>
          </cell>
        </row>
        <row r="262">
          <cell r="C262">
            <v>52</v>
          </cell>
          <cell r="D262">
            <v>-1.8867924528301883</v>
          </cell>
          <cell r="E262">
            <v>10.975893213629648</v>
          </cell>
          <cell r="F262">
            <v>6841</v>
          </cell>
          <cell r="G262">
            <v>3.30715795832075</v>
          </cell>
          <cell r="H262">
            <v>11.542512344355636</v>
          </cell>
        </row>
        <row r="263">
          <cell r="C263">
            <v>50</v>
          </cell>
          <cell r="D263">
            <v>-1.9607843137254943</v>
          </cell>
          <cell r="E263">
            <v>10.659644111635549</v>
          </cell>
          <cell r="F263">
            <v>7149</v>
          </cell>
          <cell r="G263">
            <v>-2.7346938775510199</v>
          </cell>
          <cell r="H263">
            <v>11.189534510664876</v>
          </cell>
        </row>
        <row r="264">
          <cell r="C264">
            <v>65</v>
          </cell>
          <cell r="D264">
            <v>-12.16216216216216</v>
          </cell>
          <cell r="E264">
            <v>10.3874675065152</v>
          </cell>
          <cell r="F264">
            <v>8717</v>
          </cell>
          <cell r="G264">
            <v>6.5517662877398797</v>
          </cell>
          <cell r="H264">
            <v>10.857599722134125</v>
          </cell>
        </row>
        <row r="265">
          <cell r="C265">
            <v>56</v>
          </cell>
          <cell r="D265">
            <v>-8.1967213114754074</v>
          </cell>
          <cell r="E265">
            <v>10.162593990431452</v>
          </cell>
          <cell r="F265">
            <v>8267</v>
          </cell>
          <cell r="G265">
            <v>-1.5364459266317243</v>
          </cell>
          <cell r="H265">
            <v>10.546691031952745</v>
          </cell>
        </row>
        <row r="266">
          <cell r="C266">
            <v>74</v>
          </cell>
          <cell r="D266">
            <v>-2.6315789473684181</v>
          </cell>
          <cell r="E266">
            <v>9.9866882090423825</v>
          </cell>
          <cell r="F266">
            <v>9475</v>
          </cell>
          <cell r="G266">
            <v>15.591069903623268</v>
          </cell>
          <cell r="H266">
            <v>10.256492477099377</v>
          </cell>
        </row>
        <row r="267">
          <cell r="C267">
            <v>68</v>
          </cell>
          <cell r="D267">
            <v>38.775510204081634</v>
          </cell>
          <cell r="E267">
            <v>9.8601398555545519</v>
          </cell>
          <cell r="F267">
            <v>10157</v>
          </cell>
          <cell r="G267">
            <v>9.9361402749215344</v>
          </cell>
          <cell r="H267">
            <v>9.9858489878194234</v>
          </cell>
        </row>
        <row r="268">
          <cell r="C268">
            <v>79</v>
          </cell>
          <cell r="D268">
            <v>-4.8192771084337398</v>
          </cell>
          <cell r="E268">
            <v>9.7824623546219893</v>
          </cell>
          <cell r="F268">
            <v>12079</v>
          </cell>
          <cell r="G268">
            <v>8.9572433700162435</v>
          </cell>
          <cell r="H268">
            <v>9.7339759511240231</v>
          </cell>
        </row>
        <row r="269">
          <cell r="C269">
            <v>56</v>
          </cell>
          <cell r="D269">
            <v>-22.222222222222221</v>
          </cell>
          <cell r="E269">
            <v>9.7551771427284848</v>
          </cell>
          <cell r="F269">
            <v>8624</v>
          </cell>
          <cell r="G269">
            <v>1.72210426987498</v>
          </cell>
          <cell r="H269">
            <v>9.5000853020303602</v>
          </cell>
        </row>
        <row r="270">
          <cell r="C270">
            <v>77</v>
          </cell>
          <cell r="D270">
            <v>6.944444444444442</v>
          </cell>
          <cell r="E270">
            <v>9.7787916466728948</v>
          </cell>
          <cell r="F270">
            <v>10408</v>
          </cell>
          <cell r="G270">
            <v>13.972842750766535</v>
          </cell>
          <cell r="H270">
            <v>9.2833350357930442</v>
          </cell>
        </row>
        <row r="271">
          <cell r="C271">
            <v>79</v>
          </cell>
          <cell r="D271">
            <v>-1.2499999999999956</v>
          </cell>
          <cell r="E271">
            <v>9.8515926405203977</v>
          </cell>
          <cell r="F271">
            <v>10207</v>
          </cell>
          <cell r="G271">
            <v>14.466748906582927</v>
          </cell>
          <cell r="H271">
            <v>9.0823430100950073</v>
          </cell>
        </row>
        <row r="272">
          <cell r="C272">
            <v>49</v>
          </cell>
          <cell r="D272">
            <v>0</v>
          </cell>
          <cell r="E272">
            <v>9.9716700686693525</v>
          </cell>
          <cell r="F272">
            <v>8297</v>
          </cell>
          <cell r="G272">
            <v>15.508840317416128</v>
          </cell>
          <cell r="H272">
            <v>8.8960527428771652</v>
          </cell>
        </row>
        <row r="273">
          <cell r="C273">
            <v>31</v>
          </cell>
          <cell r="D273">
            <v>-42.592592592592595</v>
          </cell>
          <cell r="E273">
            <v>10.136342931584746</v>
          </cell>
          <cell r="F273">
            <v>6614</v>
          </cell>
          <cell r="G273">
            <v>11.912013536379028</v>
          </cell>
          <cell r="H273">
            <v>8.7237816691565797</v>
          </cell>
        </row>
        <row r="274">
          <cell r="C274">
            <v>68</v>
          </cell>
          <cell r="D274">
            <v>30.76923076923077</v>
          </cell>
          <cell r="E274">
            <v>10.342237752643467</v>
          </cell>
          <cell r="F274">
            <v>6735</v>
          </cell>
          <cell r="G274">
            <v>-1.5494810700189987</v>
          </cell>
          <cell r="H274">
            <v>8.5653064453096555</v>
          </cell>
        </row>
        <row r="275">
          <cell r="C275">
            <v>63</v>
          </cell>
          <cell r="D275">
            <v>26</v>
          </cell>
          <cell r="E275">
            <v>10.582319323588775</v>
          </cell>
          <cell r="F275">
            <v>8294</v>
          </cell>
          <cell r="G275">
            <v>16.016226045600778</v>
          </cell>
          <cell r="H275">
            <v>8.4206251327035755</v>
          </cell>
        </row>
        <row r="276">
          <cell r="C276">
            <v>55</v>
          </cell>
          <cell r="D276">
            <v>-15.384615384615385</v>
          </cell>
          <cell r="E276">
            <v>10.850970977345645</v>
          </cell>
          <cell r="F276">
            <v>9274</v>
          </cell>
          <cell r="G276">
            <v>6.3898130090627614</v>
          </cell>
          <cell r="H276">
            <v>8.2890333769058486</v>
          </cell>
        </row>
        <row r="277">
          <cell r="C277">
            <v>70</v>
          </cell>
          <cell r="D277">
            <v>25</v>
          </cell>
          <cell r="E277">
            <v>11.14364671910824</v>
          </cell>
          <cell r="F277">
            <v>8018</v>
          </cell>
          <cell r="G277">
            <v>-3.0119753235756663</v>
          </cell>
          <cell r="H277">
            <v>8.1703542957696005</v>
          </cell>
        </row>
        <row r="278">
          <cell r="C278">
            <v>72</v>
          </cell>
          <cell r="D278">
            <v>-2.7027027027026973</v>
          </cell>
          <cell r="E278">
            <v>11.453978638351145</v>
          </cell>
          <cell r="F278">
            <v>10716</v>
          </cell>
          <cell r="G278">
            <v>13.09762532981531</v>
          </cell>
          <cell r="H278">
            <v>8.0642791168446344</v>
          </cell>
        </row>
        <row r="279">
          <cell r="C279">
            <v>68</v>
          </cell>
          <cell r="D279">
            <v>0</v>
          </cell>
          <cell r="E279">
            <v>11.776561071304561</v>
          </cell>
          <cell r="F279">
            <v>10962</v>
          </cell>
          <cell r="G279">
            <v>7.9255685733976566</v>
          </cell>
          <cell r="H279">
            <v>7.9697225170127428</v>
          </cell>
        </row>
        <row r="280">
          <cell r="C280">
            <v>77</v>
          </cell>
          <cell r="D280">
            <v>-2.5316455696202556</v>
          </cell>
          <cell r="E280">
            <v>12.105005251327777</v>
          </cell>
          <cell r="F280">
            <v>10683</v>
          </cell>
          <cell r="G280">
            <v>-11.557248116565944</v>
          </cell>
          <cell r="H280">
            <v>7.8859487110871695</v>
          </cell>
        </row>
        <row r="281">
          <cell r="C281">
            <v>93</v>
          </cell>
          <cell r="D281">
            <v>66.071428571428584</v>
          </cell>
          <cell r="E281">
            <v>12.43210459503902</v>
          </cell>
          <cell r="F281">
            <v>11756</v>
          </cell>
          <cell r="G281">
            <v>36.317254174397043</v>
          </cell>
          <cell r="H281">
            <v>7.8122188476350765</v>
          </cell>
        </row>
        <row r="282">
          <cell r="C282">
            <v>70</v>
          </cell>
          <cell r="D282">
            <v>-9.0909090909090935</v>
          </cell>
          <cell r="E282">
            <v>12.74963608497173</v>
          </cell>
          <cell r="F282">
            <v>9660</v>
          </cell>
          <cell r="G282">
            <v>-7.1867794004611856</v>
          </cell>
          <cell r="H282">
            <v>7.746443853221705</v>
          </cell>
        </row>
        <row r="283">
          <cell r="C283">
            <v>94</v>
          </cell>
          <cell r="D283">
            <v>18.98734177215189</v>
          </cell>
          <cell r="E283">
            <v>13.053101656713263</v>
          </cell>
          <cell r="F283">
            <v>9534</v>
          </cell>
          <cell r="G283">
            <v>-6.5935142549230941</v>
          </cell>
          <cell r="H283">
            <v>7.6885141707544324</v>
          </cell>
        </row>
        <row r="284">
          <cell r="C284">
            <v>84</v>
          </cell>
          <cell r="D284">
            <v>71.428571428571416</v>
          </cell>
          <cell r="E284">
            <v>13.336486541324872</v>
          </cell>
          <cell r="F284">
            <v>9785</v>
          </cell>
          <cell r="G284">
            <v>17.934193081836813</v>
          </cell>
          <cell r="H284">
            <v>7.6372832137480184</v>
          </cell>
        </row>
        <row r="285">
          <cell r="C285">
            <v>49</v>
          </cell>
          <cell r="D285">
            <v>58.064516129032249</v>
          </cell>
          <cell r="E285">
            <v>13.594188069875825</v>
          </cell>
          <cell r="F285">
            <v>6886</v>
          </cell>
          <cell r="G285">
            <v>4.1124886604172906</v>
          </cell>
          <cell r="H285">
            <v>7.5906125881876632</v>
          </cell>
        </row>
        <row r="286">
          <cell r="C286">
            <v>80</v>
          </cell>
          <cell r="D286">
            <v>17.647058823529417</v>
          </cell>
          <cell r="E286">
            <v>13.824637745997007</v>
          </cell>
          <cell r="F286">
            <v>8069</v>
          </cell>
          <cell r="G286">
            <v>19.806978470675585</v>
          </cell>
          <cell r="H286">
            <v>7.5470789632438509</v>
          </cell>
        </row>
        <row r="287">
          <cell r="C287">
            <v>77</v>
          </cell>
          <cell r="D287">
            <v>22.222222222222232</v>
          </cell>
          <cell r="E287">
            <v>14.029355290545636</v>
          </cell>
          <cell r="F287">
            <v>10706</v>
          </cell>
          <cell r="G287">
            <v>29.081263564022187</v>
          </cell>
          <cell r="H287">
            <v>7.5050174717031943</v>
          </cell>
        </row>
        <row r="288">
          <cell r="C288">
            <v>78</v>
          </cell>
          <cell r="D288">
            <v>41.81818181818182</v>
          </cell>
          <cell r="E288">
            <v>14.210125870287094</v>
          </cell>
          <cell r="F288">
            <v>9970</v>
          </cell>
          <cell r="G288">
            <v>7.5048522751779201</v>
          </cell>
          <cell r="H288">
            <v>7.4636146282625448</v>
          </cell>
        </row>
        <row r="289">
          <cell r="C289">
            <v>55</v>
          </cell>
          <cell r="D289">
            <v>-21.428571428571431</v>
          </cell>
          <cell r="E289">
            <v>14.369303601079244</v>
          </cell>
          <cell r="F289">
            <v>9439</v>
          </cell>
          <cell r="G289">
            <v>17.722624095784489</v>
          </cell>
          <cell r="H289">
            <v>7.4235552980418342</v>
          </cell>
        </row>
        <row r="290">
          <cell r="C290">
            <v>103</v>
          </cell>
          <cell r="D290">
            <v>43.055555555555557</v>
          </cell>
          <cell r="E290">
            <v>14.511159824887439</v>
          </cell>
          <cell r="F290">
            <v>10677</v>
          </cell>
          <cell r="G290">
            <v>-0.36394176931691113</v>
          </cell>
          <cell r="H290">
            <v>7.3855272098864742</v>
          </cell>
        </row>
        <row r="291">
          <cell r="C291">
            <v>59</v>
          </cell>
          <cell r="D291">
            <v>-13.235294117647056</v>
          </cell>
          <cell r="E291">
            <v>14.637479920133309</v>
          </cell>
          <cell r="F291">
            <v>8746</v>
          </cell>
          <cell r="G291">
            <v>-20.215289180806415</v>
          </cell>
          <cell r="H291">
            <v>7.3509333057528297</v>
          </cell>
        </row>
        <row r="292">
          <cell r="C292">
            <v>96</v>
          </cell>
          <cell r="D292">
            <v>24.675324675324674</v>
          </cell>
          <cell r="E292">
            <v>14.752031514942001</v>
          </cell>
          <cell r="F292">
            <v>10596</v>
          </cell>
          <cell r="G292">
            <v>-0.8143779837124443</v>
          </cell>
          <cell r="H292">
            <v>7.3206383700292665</v>
          </cell>
        </row>
        <row r="293">
          <cell r="C293">
            <v>110</v>
          </cell>
          <cell r="D293">
            <v>18.279569892473123</v>
          </cell>
          <cell r="E293">
            <v>14.856646628130481</v>
          </cell>
          <cell r="F293">
            <v>11794</v>
          </cell>
          <cell r="G293">
            <v>0.32323919700578685</v>
          </cell>
          <cell r="H293">
            <v>7.2935928660981384</v>
          </cell>
        </row>
        <row r="294">
          <cell r="C294">
            <v>84</v>
          </cell>
          <cell r="D294">
            <v>19.999999999999996</v>
          </cell>
          <cell r="E294">
            <v>14.953846396096299</v>
          </cell>
          <cell r="F294">
            <v>13229</v>
          </cell>
          <cell r="G294">
            <v>36.946169772256731</v>
          </cell>
          <cell r="H294">
            <v>7.2681823256505673</v>
          </cell>
        </row>
        <row r="295">
          <cell r="C295">
            <v>87</v>
          </cell>
          <cell r="D295">
            <v>-7.4468085106383031</v>
          </cell>
          <cell r="E295">
            <v>15.046389658241479</v>
          </cell>
          <cell r="F295">
            <v>10964</v>
          </cell>
          <cell r="G295">
            <v>14.998951122299143</v>
          </cell>
          <cell r="H295">
            <v>7.2423082280395459</v>
          </cell>
        </row>
        <row r="296">
          <cell r="C296">
            <v>78</v>
          </cell>
          <cell r="D296">
            <v>-7.1428571428571397</v>
          </cell>
          <cell r="E296">
            <v>15.137385681301646</v>
          </cell>
          <cell r="F296">
            <v>10902</v>
          </cell>
          <cell r="H296">
            <v>7.2159330239685264</v>
          </cell>
        </row>
      </sheetData>
      <sheetData sheetId="20">
        <row r="206">
          <cell r="C206">
            <v>45</v>
          </cell>
          <cell r="D206">
            <v>-13.461538461538458</v>
          </cell>
          <cell r="E206">
            <v>13.16208994257445</v>
          </cell>
          <cell r="F206">
            <v>3710</v>
          </cell>
          <cell r="G206">
            <v>6.9780853517877661</v>
          </cell>
          <cell r="H206">
            <v>0.61939936455537903</v>
          </cell>
        </row>
        <row r="207">
          <cell r="C207">
            <v>33</v>
          </cell>
          <cell r="D207">
            <v>10.000000000000009</v>
          </cell>
          <cell r="E207">
            <v>13.446754233697947</v>
          </cell>
          <cell r="F207">
            <v>2291</v>
          </cell>
          <cell r="G207">
            <v>1.9581664441477464</v>
          </cell>
          <cell r="H207">
            <v>0.73356799878236567</v>
          </cell>
        </row>
        <row r="208">
          <cell r="C208">
            <v>26</v>
          </cell>
          <cell r="D208">
            <v>8.333333333333325</v>
          </cell>
          <cell r="E208">
            <v>13.79905083771539</v>
          </cell>
          <cell r="F208">
            <v>1756</v>
          </cell>
          <cell r="G208">
            <v>-11.803114013058769</v>
          </cell>
          <cell r="H208">
            <v>0.85542506881455749</v>
          </cell>
        </row>
        <row r="209">
          <cell r="C209">
            <v>21</v>
          </cell>
          <cell r="D209">
            <v>39.999999999999993</v>
          </cell>
          <cell r="E209">
            <v>14.220629305171551</v>
          </cell>
          <cell r="F209">
            <v>1486</v>
          </cell>
          <cell r="G209">
            <v>12.832194381169316</v>
          </cell>
          <cell r="H209">
            <v>0.98598440804815635</v>
          </cell>
        </row>
        <row r="210">
          <cell r="C210">
            <v>17</v>
          </cell>
          <cell r="D210">
            <v>-31.999999999999996</v>
          </cell>
          <cell r="E210">
            <v>14.71275962289562</v>
          </cell>
          <cell r="F210">
            <v>1524</v>
          </cell>
          <cell r="G210">
            <v>0.92715231788078611</v>
          </cell>
          <cell r="H210">
            <v>1.1253807846653452</v>
          </cell>
        </row>
        <row r="211">
          <cell r="C211">
            <v>14</v>
          </cell>
          <cell r="D211">
            <v>16.666666666666675</v>
          </cell>
          <cell r="E211">
            <v>15.278502011792819</v>
          </cell>
          <cell r="F211">
            <v>1370</v>
          </cell>
          <cell r="G211">
            <v>-4.2627533193570937</v>
          </cell>
          <cell r="H211">
            <v>1.2745716203186628</v>
          </cell>
        </row>
        <row r="212">
          <cell r="C212">
            <v>6</v>
          </cell>
          <cell r="D212">
            <v>-70</v>
          </cell>
          <cell r="E212">
            <v>15.917672751127892</v>
          </cell>
          <cell r="F212">
            <v>1485</v>
          </cell>
          <cell r="G212">
            <v>8.3150984682713425</v>
          </cell>
          <cell r="H212">
            <v>1.434500570794899</v>
          </cell>
        </row>
        <row r="213">
          <cell r="C213">
            <v>21</v>
          </cell>
          <cell r="D213">
            <v>110.00000000000001</v>
          </cell>
          <cell r="E213">
            <v>16.630184520488839</v>
          </cell>
          <cell r="F213">
            <v>1357</v>
          </cell>
          <cell r="G213">
            <v>10.504885993485335</v>
          </cell>
          <cell r="H213">
            <v>1.6057267554266998</v>
          </cell>
        </row>
        <row r="214">
          <cell r="C214">
            <v>5</v>
          </cell>
          <cell r="D214">
            <v>-70.588235294117638</v>
          </cell>
          <cell r="E214">
            <v>17.409983494411502</v>
          </cell>
          <cell r="F214">
            <v>1104</v>
          </cell>
          <cell r="G214">
            <v>-0.54054054054053502</v>
          </cell>
          <cell r="H214">
            <v>1.7892871128451471</v>
          </cell>
        </row>
        <row r="215">
          <cell r="C215">
            <v>14</v>
          </cell>
          <cell r="D215">
            <v>-17.647058823529417</v>
          </cell>
          <cell r="E215">
            <v>18.257499862395576</v>
          </cell>
          <cell r="F215">
            <v>1665</v>
          </cell>
          <cell r="G215">
            <v>10.484406104844069</v>
          </cell>
          <cell r="H215">
            <v>1.9868365788506324</v>
          </cell>
        </row>
        <row r="216">
          <cell r="C216">
            <v>22</v>
          </cell>
          <cell r="D216">
            <v>83.333333333333329</v>
          </cell>
          <cell r="E216">
            <v>19.167052826524888</v>
          </cell>
          <cell r="F216">
            <v>1992</v>
          </cell>
          <cell r="G216">
            <v>10.055248618784528</v>
          </cell>
          <cell r="H216">
            <v>2.1998682956565068</v>
          </cell>
        </row>
        <row r="217">
          <cell r="C217">
            <v>36</v>
          </cell>
          <cell r="D217">
            <v>63.636363636363647</v>
          </cell>
          <cell r="E217">
            <v>20.130468216752302</v>
          </cell>
          <cell r="F217">
            <v>2647</v>
          </cell>
          <cell r="G217">
            <v>1.9252984212552837</v>
          </cell>
          <cell r="H217">
            <v>2.4304655144709826</v>
          </cell>
        </row>
        <row r="218">
          <cell r="C218">
            <v>39</v>
          </cell>
          <cell r="D218">
            <v>-13.33333333333333</v>
          </cell>
          <cell r="E218">
            <v>21.144027854732546</v>
          </cell>
          <cell r="F218">
            <v>4157</v>
          </cell>
          <cell r="G218">
            <v>12.048517520215629</v>
          </cell>
          <cell r="H218">
            <v>2.6812569990247113</v>
          </cell>
        </row>
        <row r="219">
          <cell r="C219">
            <v>24</v>
          </cell>
          <cell r="D219">
            <v>-27.27272727272727</v>
          </cell>
          <cell r="E219">
            <v>22.207034804857816</v>
          </cell>
          <cell r="F219">
            <v>2311</v>
          </cell>
          <cell r="G219">
            <v>0.87298123090353563</v>
          </cell>
          <cell r="H219">
            <v>2.9548364320002043</v>
          </cell>
        </row>
        <row r="220">
          <cell r="C220">
            <v>18</v>
          </cell>
          <cell r="D220">
            <v>-30.76923076923077</v>
          </cell>
          <cell r="E220">
            <v>23.316397870326696</v>
          </cell>
          <cell r="F220">
            <v>1855</v>
          </cell>
          <cell r="G220">
            <v>5.6378132118451108</v>
          </cell>
          <cell r="H220">
            <v>3.2544480002828338</v>
          </cell>
        </row>
        <row r="221">
          <cell r="C221">
            <v>19</v>
          </cell>
          <cell r="D221">
            <v>-9.5238095238095237</v>
          </cell>
          <cell r="E221">
            <v>24.465589759749047</v>
          </cell>
          <cell r="F221">
            <v>1610</v>
          </cell>
          <cell r="G221">
            <v>8.3445491251682427</v>
          </cell>
          <cell r="H221">
            <v>3.583191317480118</v>
          </cell>
        </row>
        <row r="222">
          <cell r="C222">
            <v>19</v>
          </cell>
          <cell r="D222">
            <v>11.764705882352944</v>
          </cell>
          <cell r="E222">
            <v>25.644327235301429</v>
          </cell>
          <cell r="F222">
            <v>1631</v>
          </cell>
          <cell r="G222">
            <v>7.0209973753280863</v>
          </cell>
          <cell r="H222">
            <v>3.9443315086725996</v>
          </cell>
        </row>
        <row r="223">
          <cell r="C223">
            <v>13</v>
          </cell>
          <cell r="D223">
            <v>-7.1428571428571397</v>
          </cell>
          <cell r="E223">
            <v>26.839966684210154</v>
          </cell>
          <cell r="F223">
            <v>1255</v>
          </cell>
          <cell r="G223">
            <v>-8.394160583941602</v>
          </cell>
          <cell r="H223">
            <v>4.3414643487885787</v>
          </cell>
        </row>
        <row r="224">
          <cell r="C224">
            <v>18</v>
          </cell>
          <cell r="D224">
            <v>200</v>
          </cell>
          <cell r="E224">
            <v>28.038900631107577</v>
          </cell>
          <cell r="F224">
            <v>1625</v>
          </cell>
          <cell r="G224">
            <v>9.4276094276094291</v>
          </cell>
          <cell r="H224">
            <v>4.7783992701082054</v>
          </cell>
        </row>
        <row r="225">
          <cell r="C225">
            <v>10</v>
          </cell>
          <cell r="D225">
            <v>-52.380952380952387</v>
          </cell>
          <cell r="E225">
            <v>29.22516168230473</v>
          </cell>
          <cell r="F225">
            <v>1167</v>
          </cell>
          <cell r="G225">
            <v>-14.001473839351508</v>
          </cell>
          <cell r="H225">
            <v>5.2580612865135237</v>
          </cell>
        </row>
        <row r="226">
          <cell r="C226">
            <v>25</v>
          </cell>
          <cell r="D226">
            <v>400</v>
          </cell>
          <cell r="E226">
            <v>30.394724187124375</v>
          </cell>
          <cell r="F226">
            <v>1255</v>
          </cell>
          <cell r="G226">
            <v>13.677536231884059</v>
          </cell>
          <cell r="H226">
            <v>5.7836982737030702</v>
          </cell>
        </row>
        <row r="227">
          <cell r="C227">
            <v>15</v>
          </cell>
          <cell r="D227">
            <v>7.1428571428571397</v>
          </cell>
          <cell r="E227">
            <v>31.537895403634877</v>
          </cell>
          <cell r="F227">
            <v>1743</v>
          </cell>
          <cell r="G227">
            <v>4.6846846846846812</v>
          </cell>
          <cell r="H227">
            <v>6.3572206396583093</v>
          </cell>
        </row>
        <row r="228">
          <cell r="C228">
            <v>24</v>
          </cell>
          <cell r="D228">
            <v>9.0909090909090828</v>
          </cell>
          <cell r="E228">
            <v>32.670649622947167</v>
          </cell>
          <cell r="F228">
            <v>1982</v>
          </cell>
          <cell r="G228">
            <v>-0.5020080321285092</v>
          </cell>
          <cell r="H228">
            <v>6.9810869755522438</v>
          </cell>
        </row>
        <row r="229">
          <cell r="C229">
            <v>22</v>
          </cell>
          <cell r="D229">
            <v>-38.888888888888886</v>
          </cell>
          <cell r="E229">
            <v>33.807267036292949</v>
          </cell>
          <cell r="F229">
            <v>2719</v>
          </cell>
          <cell r="G229">
            <v>2.7200604457876754</v>
          </cell>
          <cell r="H229">
            <v>7.6576397242276704</v>
          </cell>
        </row>
        <row r="230">
          <cell r="C230">
            <v>48</v>
          </cell>
          <cell r="D230">
            <v>23.076923076923084</v>
          </cell>
          <cell r="E230">
            <v>34.960390352922538</v>
          </cell>
          <cell r="F230">
            <v>3556</v>
          </cell>
          <cell r="G230">
            <v>-14.457541496271354</v>
          </cell>
          <cell r="H230">
            <v>8.3887016691518532</v>
          </cell>
        </row>
        <row r="231">
          <cell r="C231">
            <v>29</v>
          </cell>
          <cell r="D231">
            <v>20.833333333333325</v>
          </cell>
          <cell r="E231">
            <v>36.137613937924783</v>
          </cell>
          <cell r="F231">
            <v>2418</v>
          </cell>
          <cell r="G231">
            <v>4.6300302899177748</v>
          </cell>
          <cell r="H231">
            <v>9.1757527063421644</v>
          </cell>
        </row>
        <row r="232">
          <cell r="C232">
            <v>24</v>
          </cell>
          <cell r="D232">
            <v>33.333333333333329</v>
          </cell>
          <cell r="E232">
            <v>37.345706915605469</v>
          </cell>
          <cell r="F232">
            <v>1470</v>
          </cell>
          <cell r="G232">
            <v>-20.75471698113207</v>
          </cell>
          <cell r="H232">
            <v>10.01868618715171</v>
          </cell>
        </row>
        <row r="233">
          <cell r="C233">
            <v>4</v>
          </cell>
          <cell r="D233">
            <v>-78.94736842105263</v>
          </cell>
          <cell r="E233">
            <v>38.590375613006159</v>
          </cell>
          <cell r="F233">
            <v>404</v>
          </cell>
          <cell r="G233">
            <v>-74.906832298136635</v>
          </cell>
          <cell r="H233">
            <v>10.917079787765784</v>
          </cell>
        </row>
        <row r="234">
          <cell r="C234">
            <v>2</v>
          </cell>
          <cell r="D234">
            <v>-89.473684210526315</v>
          </cell>
          <cell r="E234">
            <v>39.877047720114113</v>
          </cell>
          <cell r="F234">
            <v>482</v>
          </cell>
          <cell r="G234">
            <v>-70.447578172900066</v>
          </cell>
          <cell r="H234">
            <v>11.868374142482999</v>
          </cell>
        </row>
        <row r="235">
          <cell r="C235">
            <v>17</v>
          </cell>
          <cell r="D235">
            <v>30.76923076923077</v>
          </cell>
          <cell r="E235">
            <v>41.202988583580883</v>
          </cell>
          <cell r="F235">
            <v>1115</v>
          </cell>
          <cell r="G235">
            <v>-11.155378486055778</v>
          </cell>
          <cell r="H235">
            <v>12.864049891707111</v>
          </cell>
        </row>
        <row r="236">
          <cell r="C236">
            <v>10</v>
          </cell>
          <cell r="D236">
            <v>-44.444444444444443</v>
          </cell>
          <cell r="E236">
            <v>42.556480860340606</v>
          </cell>
          <cell r="F236">
            <v>1435</v>
          </cell>
          <cell r="G236">
            <v>-11.69230769230769</v>
          </cell>
          <cell r="H236">
            <v>13.889871290264422</v>
          </cell>
        </row>
        <row r="237">
          <cell r="C237">
            <v>17</v>
          </cell>
          <cell r="D237">
            <v>70</v>
          </cell>
          <cell r="E237">
            <v>43.925082640812548</v>
          </cell>
          <cell r="F237">
            <v>1123</v>
          </cell>
          <cell r="G237">
            <v>-3.7703513281919454</v>
          </cell>
          <cell r="H237">
            <v>14.929934577121664</v>
          </cell>
        </row>
        <row r="238">
          <cell r="C238">
            <v>11</v>
          </cell>
          <cell r="D238">
            <v>-56.000000000000007</v>
          </cell>
          <cell r="E238">
            <v>45.290310284492023</v>
          </cell>
          <cell r="F238">
            <v>1624</v>
          </cell>
          <cell r="G238">
            <v>29.402390438247018</v>
          </cell>
          <cell r="H238">
            <v>15.966559451038446</v>
          </cell>
        </row>
        <row r="239">
          <cell r="C239">
            <v>9</v>
          </cell>
          <cell r="D239">
            <v>-40</v>
          </cell>
          <cell r="E239">
            <v>46.635490909024291</v>
          </cell>
          <cell r="F239">
            <v>1589</v>
          </cell>
          <cell r="G239">
            <v>-8.8353413654618471</v>
          </cell>
          <cell r="H239">
            <v>16.980766979808731</v>
          </cell>
        </row>
        <row r="240">
          <cell r="C240">
            <v>16</v>
          </cell>
          <cell r="D240">
            <v>-33.333333333333336</v>
          </cell>
          <cell r="E240">
            <v>47.936917582729308</v>
          </cell>
          <cell r="F240">
            <v>2062</v>
          </cell>
          <cell r="G240">
            <v>4.0363269424823489</v>
          </cell>
          <cell r="H240">
            <v>17.954511275045039</v>
          </cell>
        </row>
        <row r="241">
          <cell r="C241">
            <v>22</v>
          </cell>
          <cell r="D241">
            <v>0</v>
          </cell>
          <cell r="E241">
            <v>49.164867020391661</v>
          </cell>
          <cell r="F241">
            <v>3022</v>
          </cell>
          <cell r="G241">
            <v>11.143802868701735</v>
          </cell>
          <cell r="H241">
            <v>18.867953663058131</v>
          </cell>
        </row>
        <row r="242">
          <cell r="C242">
            <v>41</v>
          </cell>
          <cell r="D242">
            <v>-14.583333333333337</v>
          </cell>
          <cell r="E242">
            <v>50.283972169371211</v>
          </cell>
          <cell r="F242">
            <v>3015</v>
          </cell>
          <cell r="G242">
            <v>-15.213723284589431</v>
          </cell>
          <cell r="H242">
            <v>19.700288929580118</v>
          </cell>
        </row>
        <row r="243">
          <cell r="C243">
            <v>33</v>
          </cell>
          <cell r="D243">
            <v>13.793103448275868</v>
          </cell>
          <cell r="E243">
            <v>51.255451750151394</v>
          </cell>
          <cell r="F243">
            <v>2503</v>
          </cell>
          <cell r="G243">
            <v>3.515301902398682</v>
          </cell>
          <cell r="H243">
            <v>20.430175460982387</v>
          </cell>
        </row>
        <row r="244">
          <cell r="C244">
            <v>23</v>
          </cell>
          <cell r="D244">
            <v>-4.1666666666666625</v>
          </cell>
          <cell r="E244">
            <v>52.036019809222402</v>
          </cell>
          <cell r="F244">
            <v>2132</v>
          </cell>
          <cell r="G244">
            <v>45.034013605442169</v>
          </cell>
          <cell r="H244">
            <v>21.033847059454786</v>
          </cell>
        </row>
        <row r="245">
          <cell r="C245">
            <v>15</v>
          </cell>
          <cell r="D245">
            <v>275</v>
          </cell>
          <cell r="E245">
            <v>52.579788841109036</v>
          </cell>
          <cell r="F245">
            <v>1860</v>
          </cell>
          <cell r="G245">
            <v>360.39603960396039</v>
          </cell>
          <cell r="H245">
            <v>21.486362883190044</v>
          </cell>
        </row>
        <row r="246">
          <cell r="C246">
            <v>24</v>
          </cell>
          <cell r="D246">
            <v>1100</v>
          </cell>
          <cell r="E246">
            <v>52.836968375997493</v>
          </cell>
          <cell r="F246">
            <v>1722</v>
          </cell>
          <cell r="G246">
            <v>257.26141078838174</v>
          </cell>
          <cell r="H246">
            <v>21.764448768613253</v>
          </cell>
        </row>
        <row r="247">
          <cell r="C247">
            <v>19</v>
          </cell>
          <cell r="D247">
            <v>11.764705882352944</v>
          </cell>
          <cell r="E247">
            <v>52.773213792071118</v>
          </cell>
          <cell r="F247">
            <v>1571</v>
          </cell>
          <cell r="G247">
            <v>40.896860986547082</v>
          </cell>
          <cell r="H247">
            <v>21.868365946366225</v>
          </cell>
        </row>
        <row r="248">
          <cell r="C248">
            <v>8</v>
          </cell>
          <cell r="D248">
            <v>-19.999999999999996</v>
          </cell>
          <cell r="E248">
            <v>52.426900122487147</v>
          </cell>
          <cell r="F248">
            <v>1504</v>
          </cell>
          <cell r="G248">
            <v>4.8083623693379707</v>
          </cell>
          <cell r="H248">
            <v>21.814729602786588</v>
          </cell>
        </row>
        <row r="249">
          <cell r="C249">
            <v>11</v>
          </cell>
          <cell r="D249">
            <v>-35.294117647058819</v>
          </cell>
          <cell r="E249">
            <v>51.833554587353539</v>
          </cell>
          <cell r="F249">
            <v>1275</v>
          </cell>
          <cell r="G249">
            <v>13.535173642030273</v>
          </cell>
          <cell r="H249">
            <v>21.621476347478659</v>
          </cell>
        </row>
        <row r="250">
          <cell r="C250">
            <v>16</v>
          </cell>
          <cell r="D250">
            <v>45.45454545454546</v>
          </cell>
          <cell r="E250">
            <v>51.023674760936409</v>
          </cell>
          <cell r="F250">
            <v>1279</v>
          </cell>
          <cell r="G250">
            <v>-21.243842364532018</v>
          </cell>
          <cell r="H250">
            <v>21.305361792322199</v>
          </cell>
        </row>
        <row r="251">
          <cell r="C251">
            <v>11</v>
          </cell>
          <cell r="D251">
            <v>22.222222222222232</v>
          </cell>
          <cell r="E251">
            <v>50.021707684707806</v>
          </cell>
          <cell r="F251">
            <v>1763</v>
          </cell>
          <cell r="G251">
            <v>10.950283196979239</v>
          </cell>
          <cell r="H251">
            <v>20.882580000397983</v>
          </cell>
        </row>
        <row r="252">
          <cell r="C252">
            <v>21</v>
          </cell>
          <cell r="D252">
            <v>31.25</v>
          </cell>
          <cell r="E252">
            <v>48.851713655049075</v>
          </cell>
          <cell r="F252">
            <v>2133</v>
          </cell>
          <cell r="G252">
            <v>3.4432589718719653</v>
          </cell>
          <cell r="H252">
            <v>20.366370228942564</v>
          </cell>
        </row>
        <row r="253">
          <cell r="C253">
            <v>38</v>
          </cell>
          <cell r="D253">
            <v>72.727272727272734</v>
          </cell>
          <cell r="E253">
            <v>47.535822448517777</v>
          </cell>
          <cell r="F253">
            <v>3051</v>
          </cell>
          <cell r="G253">
            <v>0.95962938451357171</v>
          </cell>
          <cell r="H253">
            <v>19.769281992358927</v>
          </cell>
        </row>
        <row r="254">
          <cell r="C254">
            <v>43</v>
          </cell>
          <cell r="D254">
            <v>4.8780487804878092</v>
          </cell>
          <cell r="E254">
            <v>46.094941500445429</v>
          </cell>
          <cell r="F254">
            <v>3716</v>
          </cell>
          <cell r="G254">
            <v>23.250414593698167</v>
          </cell>
          <cell r="H254">
            <v>19.102689588990533</v>
          </cell>
        </row>
        <row r="255">
          <cell r="C255">
            <v>34</v>
          </cell>
          <cell r="D255">
            <v>3.0303030303030276</v>
          </cell>
          <cell r="E255">
            <v>44.551727652432909</v>
          </cell>
          <cell r="F255">
            <v>2432</v>
          </cell>
          <cell r="G255">
            <v>-2.8365960846983618</v>
          </cell>
          <cell r="H255">
            <v>18.376661091305301</v>
          </cell>
        </row>
        <row r="256">
          <cell r="C256">
            <v>39</v>
          </cell>
          <cell r="D256">
            <v>69.565217391304344</v>
          </cell>
          <cell r="E256">
            <v>42.925975461864432</v>
          </cell>
          <cell r="F256">
            <v>2560</v>
          </cell>
          <cell r="G256">
            <v>20.075046904315208</v>
          </cell>
          <cell r="H256">
            <v>17.601552608229817</v>
          </cell>
        </row>
        <row r="257">
          <cell r="C257">
            <v>13</v>
          </cell>
          <cell r="D257">
            <v>-13.33333333333333</v>
          </cell>
          <cell r="E257">
            <v>41.234596053858787</v>
          </cell>
          <cell r="F257">
            <v>1663</v>
          </cell>
          <cell r="G257">
            <v>-10.59139784946237</v>
          </cell>
          <cell r="H257">
            <v>16.786247105831215</v>
          </cell>
        </row>
        <row r="258">
          <cell r="C258">
            <v>26</v>
          </cell>
          <cell r="D258">
            <v>8.333333333333325</v>
          </cell>
          <cell r="E258">
            <v>39.496350500890983</v>
          </cell>
          <cell r="F258">
            <v>1729</v>
          </cell>
          <cell r="G258">
            <v>0.40650406504065817</v>
          </cell>
          <cell r="H258">
            <v>15.939799320613865</v>
          </cell>
        </row>
        <row r="259">
          <cell r="C259">
            <v>17</v>
          </cell>
          <cell r="D259">
            <v>-10.526315789473683</v>
          </cell>
          <cell r="E259">
            <v>37.726210435895254</v>
          </cell>
          <cell r="F259">
            <v>1701</v>
          </cell>
          <cell r="G259">
            <v>8.2749840865690594</v>
          </cell>
          <cell r="H259">
            <v>15.069362763738019</v>
          </cell>
        </row>
        <row r="260">
          <cell r="C260">
            <v>12</v>
          </cell>
          <cell r="D260">
            <v>50</v>
          </cell>
          <cell r="E260">
            <v>35.936983393391429</v>
          </cell>
          <cell r="F260">
            <v>1624</v>
          </cell>
          <cell r="G260">
            <v>7.9787234042553168</v>
          </cell>
          <cell r="H260">
            <v>14.181012245304515</v>
          </cell>
        </row>
        <row r="261">
          <cell r="C261">
            <v>19</v>
          </cell>
          <cell r="D261">
            <v>72.727272727272734</v>
          </cell>
          <cell r="E261">
            <v>34.13812603802257</v>
          </cell>
          <cell r="F261">
            <v>1559</v>
          </cell>
          <cell r="G261">
            <v>22.274509803921561</v>
          </cell>
          <cell r="H261">
            <v>13.280350743561613</v>
          </cell>
        </row>
        <row r="262">
          <cell r="C262">
            <v>20</v>
          </cell>
          <cell r="D262">
            <v>25</v>
          </cell>
          <cell r="E262">
            <v>32.340071632807195</v>
          </cell>
          <cell r="F262">
            <v>1430</v>
          </cell>
          <cell r="G262">
            <v>11.806098514464436</v>
          </cell>
          <cell r="H262">
            <v>12.372550522254716</v>
          </cell>
        </row>
        <row r="263">
          <cell r="C263">
            <v>20</v>
          </cell>
          <cell r="D263">
            <v>81.818181818181813</v>
          </cell>
          <cell r="E263">
            <v>30.55593324261725</v>
          </cell>
          <cell r="F263">
            <v>1922</v>
          </cell>
          <cell r="G263">
            <v>9.0187180941576841</v>
          </cell>
          <cell r="H263">
            <v>11.463408439508427</v>
          </cell>
        </row>
        <row r="264">
          <cell r="C264">
            <v>24</v>
          </cell>
          <cell r="D264">
            <v>14.285714285714279</v>
          </cell>
          <cell r="E264">
            <v>28.798314205127962</v>
          </cell>
          <cell r="F264">
            <v>2654</v>
          </cell>
          <cell r="G264">
            <v>24.425691514299118</v>
          </cell>
          <cell r="H264">
            <v>10.55868201650236</v>
          </cell>
        </row>
        <row r="265">
          <cell r="C265">
            <v>39</v>
          </cell>
          <cell r="D265">
            <v>2.6315789473684292</v>
          </cell>
          <cell r="E265">
            <v>27.083377736387856</v>
          </cell>
          <cell r="F265">
            <v>3248</v>
          </cell>
          <cell r="G265">
            <v>6.4568993772533556</v>
          </cell>
          <cell r="H265">
            <v>9.6639590042532575</v>
          </cell>
        </row>
        <row r="266">
          <cell r="C266">
            <v>35</v>
          </cell>
          <cell r="D266">
            <v>-18.604651162790699</v>
          </cell>
          <cell r="E266">
            <v>25.426279233006611</v>
          </cell>
          <cell r="F266">
            <v>3935</v>
          </cell>
          <cell r="G266">
            <v>5.8934337997847086</v>
          </cell>
          <cell r="H266">
            <v>8.7857901405485457</v>
          </cell>
        </row>
        <row r="267">
          <cell r="C267">
            <v>26</v>
          </cell>
          <cell r="D267">
            <v>-23.529411764705888</v>
          </cell>
          <cell r="E267">
            <v>23.840476050011336</v>
          </cell>
          <cell r="F267">
            <v>2705</v>
          </cell>
          <cell r="G267">
            <v>11.225328947368428</v>
          </cell>
          <cell r="H267">
            <v>7.9305034507015488</v>
          </cell>
        </row>
        <row r="268">
          <cell r="C268">
            <v>35</v>
          </cell>
          <cell r="D268">
            <v>-10.256410256410254</v>
          </cell>
          <cell r="E268">
            <v>22.33636783892943</v>
          </cell>
          <cell r="F268">
            <v>2339</v>
          </cell>
          <cell r="G268">
            <v>-8.6328124999999982</v>
          </cell>
          <cell r="H268">
            <v>7.1042261019463746</v>
          </cell>
        </row>
        <row r="269">
          <cell r="C269">
            <v>13</v>
          </cell>
          <cell r="D269">
            <v>0</v>
          </cell>
          <cell r="E269">
            <v>20.921064675745605</v>
          </cell>
          <cell r="F269">
            <v>1542</v>
          </cell>
          <cell r="G269">
            <v>-7.2760072158749249</v>
          </cell>
          <cell r="H269">
            <v>6.3133140688432867</v>
          </cell>
        </row>
        <row r="270">
          <cell r="C270">
            <v>15</v>
          </cell>
          <cell r="D270">
            <v>-42.307692307692314</v>
          </cell>
          <cell r="E270">
            <v>19.599413249076843</v>
          </cell>
          <cell r="F270">
            <v>1703</v>
          </cell>
          <cell r="G270">
            <v>-1.5037593984962405</v>
          </cell>
          <cell r="H270">
            <v>5.5630304760496374</v>
          </cell>
        </row>
        <row r="271">
          <cell r="C271">
            <v>16</v>
          </cell>
          <cell r="D271">
            <v>-5.8823529411764719</v>
          </cell>
          <cell r="E271">
            <v>18.374807395826533</v>
          </cell>
          <cell r="F271">
            <v>1657</v>
          </cell>
          <cell r="G271">
            <v>-2.5867136978248051</v>
          </cell>
          <cell r="H271">
            <v>4.8576947453557846</v>
          </cell>
        </row>
        <row r="272">
          <cell r="C272">
            <v>21</v>
          </cell>
          <cell r="D272">
            <v>75</v>
          </cell>
          <cell r="E272">
            <v>17.246341848345512</v>
          </cell>
          <cell r="F272">
            <v>1548</v>
          </cell>
          <cell r="G272">
            <v>-4.6798029556650249</v>
          </cell>
          <cell r="H272">
            <v>4.2011355492552438</v>
          </cell>
        </row>
        <row r="273">
          <cell r="C273">
            <v>13</v>
          </cell>
          <cell r="D273">
            <v>-31.578947368421051</v>
          </cell>
          <cell r="E273">
            <v>16.211426813961211</v>
          </cell>
          <cell r="F273">
            <v>1349</v>
          </cell>
          <cell r="G273">
            <v>-13.470173187940993</v>
          </cell>
          <cell r="H273">
            <v>3.5966645874329748</v>
          </cell>
        </row>
        <row r="274">
          <cell r="C274">
            <v>11</v>
          </cell>
          <cell r="D274">
            <v>-44.999999999999993</v>
          </cell>
          <cell r="E274">
            <v>15.271483170706039</v>
          </cell>
          <cell r="F274">
            <v>1245</v>
          </cell>
          <cell r="G274">
            <v>-12.937062937062937</v>
          </cell>
          <cell r="H274">
            <v>3.0469768277333182</v>
          </cell>
        </row>
        <row r="275">
          <cell r="C275">
            <v>20</v>
          </cell>
          <cell r="D275">
            <v>0</v>
          </cell>
          <cell r="E275">
            <v>14.424613020627518</v>
          </cell>
          <cell r="F275">
            <v>1884</v>
          </cell>
          <cell r="G275">
            <v>-1.9771071800208095</v>
          </cell>
          <cell r="H275">
            <v>2.5535820409328807</v>
          </cell>
        </row>
        <row r="276">
          <cell r="C276">
            <v>31</v>
          </cell>
          <cell r="D276">
            <v>29.166666666666675</v>
          </cell>
          <cell r="E276">
            <v>13.66473294610854</v>
          </cell>
          <cell r="F276">
            <v>2201</v>
          </cell>
          <cell r="G276">
            <v>-17.068575734740008</v>
          </cell>
          <cell r="H276">
            <v>2.1168799950468249</v>
          </cell>
        </row>
        <row r="277">
          <cell r="C277">
            <v>32</v>
          </cell>
          <cell r="D277">
            <v>-17.948717948717952</v>
          </cell>
          <cell r="E277">
            <v>12.984757820294449</v>
          </cell>
          <cell r="F277">
            <v>2686</v>
          </cell>
          <cell r="G277">
            <v>-17.302955665024633</v>
          </cell>
          <cell r="H277">
            <v>1.7369558268944136</v>
          </cell>
        </row>
        <row r="278">
          <cell r="C278">
            <v>37</v>
          </cell>
          <cell r="D278">
            <v>5.7142857142857162</v>
          </cell>
          <cell r="E278">
            <v>12.378679039505631</v>
          </cell>
          <cell r="F278">
            <v>3937</v>
          </cell>
          <cell r="G278">
            <v>5.0825921219832537E-2</v>
          </cell>
          <cell r="H278">
            <v>1.4125623499803415</v>
          </cell>
        </row>
        <row r="279">
          <cell r="C279">
            <v>57</v>
          </cell>
          <cell r="D279">
            <v>119.23076923076925</v>
          </cell>
          <cell r="E279">
            <v>11.83833984202295</v>
          </cell>
          <cell r="F279">
            <v>2547</v>
          </cell>
          <cell r="G279">
            <v>-5.8410351201478754</v>
          </cell>
          <cell r="H279">
            <v>1.1411301617334744</v>
          </cell>
        </row>
        <row r="280">
          <cell r="C280">
            <v>17</v>
          </cell>
          <cell r="D280">
            <v>-51.428571428571423</v>
          </cell>
          <cell r="E280">
            <v>11.355120661035242</v>
          </cell>
          <cell r="F280">
            <v>1829</v>
          </cell>
          <cell r="G280">
            <v>-21.804189824711418</v>
          </cell>
          <cell r="H280">
            <v>0.91999529455290308</v>
          </cell>
        </row>
        <row r="281">
          <cell r="C281">
            <v>22</v>
          </cell>
          <cell r="D281">
            <v>69.230769230769226</v>
          </cell>
          <cell r="E281">
            <v>10.927859737327779</v>
          </cell>
          <cell r="F281">
            <v>1847</v>
          </cell>
          <cell r="G281">
            <v>19.779507133592734</v>
          </cell>
          <cell r="H281">
            <v>0.74600890824869859</v>
          </cell>
        </row>
        <row r="282">
          <cell r="C282">
            <v>22</v>
          </cell>
          <cell r="D282">
            <v>46.666666666666657</v>
          </cell>
          <cell r="E282">
            <v>10.551035333068503</v>
          </cell>
          <cell r="F282">
            <v>1361</v>
          </cell>
          <cell r="G282">
            <v>-20.082207868467407</v>
          </cell>
          <cell r="H282">
            <v>0.61444409421987212</v>
          </cell>
        </row>
        <row r="283">
          <cell r="C283">
            <v>11</v>
          </cell>
          <cell r="D283">
            <v>-31.25</v>
          </cell>
          <cell r="E283">
            <v>10.223174523584623</v>
          </cell>
          <cell r="F283">
            <v>1560</v>
          </cell>
          <cell r="G283">
            <v>-5.8539529269764685</v>
          </cell>
          <cell r="H283">
            <v>0.52189571457552819</v>
          </cell>
        </row>
        <row r="284">
          <cell r="C284">
            <v>15</v>
          </cell>
          <cell r="D284">
            <v>-28.571428571428569</v>
          </cell>
          <cell r="E284">
            <v>9.9453124141570672</v>
          </cell>
          <cell r="F284">
            <v>1604</v>
          </cell>
          <cell r="G284">
            <v>3.6175710594315236</v>
          </cell>
          <cell r="H284">
            <v>0.46352136392736243</v>
          </cell>
        </row>
        <row r="285">
          <cell r="C285">
            <v>15</v>
          </cell>
          <cell r="D285">
            <v>15.384615384615374</v>
          </cell>
          <cell r="E285">
            <v>9.7156040285026286</v>
          </cell>
          <cell r="F285">
            <v>1364</v>
          </cell>
          <cell r="G285">
            <v>1.111934766493694</v>
          </cell>
          <cell r="H285">
            <v>0.43403586962029606</v>
          </cell>
        </row>
        <row r="286">
          <cell r="C286">
            <v>16</v>
          </cell>
          <cell r="D286">
            <v>45.45454545454546</v>
          </cell>
          <cell r="E286">
            <v>9.5295296166585448</v>
          </cell>
          <cell r="F286">
            <v>1399</v>
          </cell>
          <cell r="G286">
            <v>12.369477911646577</v>
          </cell>
          <cell r="H286">
            <v>0.42837309022810477</v>
          </cell>
        </row>
        <row r="287">
          <cell r="C287">
            <v>24</v>
          </cell>
          <cell r="D287">
            <v>19.999999999999996</v>
          </cell>
          <cell r="E287">
            <v>9.3829631100062301</v>
          </cell>
          <cell r="F287">
            <v>2158</v>
          </cell>
          <cell r="G287">
            <v>14.543524416135888</v>
          </cell>
          <cell r="H287">
            <v>0.44151396063684722</v>
          </cell>
        </row>
        <row r="288">
          <cell r="C288">
            <v>13</v>
          </cell>
          <cell r="D288">
            <v>-58.064516129032249</v>
          </cell>
          <cell r="E288">
            <v>9.2742732326936199</v>
          </cell>
          <cell r="F288">
            <v>2282</v>
          </cell>
          <cell r="G288">
            <v>3.680145388459799</v>
          </cell>
          <cell r="H288">
            <v>0.4692686591229584</v>
          </cell>
        </row>
        <row r="289">
          <cell r="C289">
            <v>31</v>
          </cell>
          <cell r="D289">
            <v>-3.125</v>
          </cell>
          <cell r="E289">
            <v>9.2025660030971252</v>
          </cell>
          <cell r="F289">
            <v>3243</v>
          </cell>
          <cell r="G289">
            <v>20.737155621742364</v>
          </cell>
          <cell r="H289">
            <v>0.50842667024450527</v>
          </cell>
        </row>
        <row r="290">
          <cell r="C290">
            <v>50</v>
          </cell>
          <cell r="D290">
            <v>35.13513513513513</v>
          </cell>
          <cell r="E290">
            <v>9.1622711347763701</v>
          </cell>
          <cell r="F290">
            <v>3907</v>
          </cell>
          <cell r="G290">
            <v>-0.7620015240030531</v>
          </cell>
          <cell r="H290">
            <v>0.55600045611020321</v>
          </cell>
        </row>
        <row r="291">
          <cell r="C291">
            <v>40</v>
          </cell>
          <cell r="D291">
            <v>-29.824561403508774</v>
          </cell>
          <cell r="E291">
            <v>9.1469622603185385</v>
          </cell>
          <cell r="F291">
            <v>2558</v>
          </cell>
          <cell r="G291">
            <v>0.43188064389478864</v>
          </cell>
          <cell r="H291">
            <v>0.61040725167262155</v>
          </cell>
        </row>
        <row r="292">
          <cell r="C292">
            <v>27</v>
          </cell>
          <cell r="D292">
            <v>58.823529411764696</v>
          </cell>
          <cell r="E292">
            <v>9.1520166834219534</v>
          </cell>
          <cell r="F292">
            <v>1984</v>
          </cell>
          <cell r="G292">
            <v>8.4745762711864394</v>
          </cell>
          <cell r="H292">
            <v>0.66997276396904404</v>
          </cell>
        </row>
        <row r="293">
          <cell r="C293">
            <v>24</v>
          </cell>
          <cell r="D293">
            <v>9.0909090909090828</v>
          </cell>
          <cell r="E293">
            <v>9.1701053519749465</v>
          </cell>
          <cell r="F293">
            <v>1653</v>
          </cell>
          <cell r="G293">
            <v>-10.503519220357338</v>
          </cell>
          <cell r="H293">
            <v>0.73301030235565856</v>
          </cell>
        </row>
        <row r="294">
          <cell r="C294">
            <v>22</v>
          </cell>
          <cell r="D294">
            <v>0</v>
          </cell>
          <cell r="E294">
            <v>9.1973486244719869</v>
          </cell>
          <cell r="F294">
            <v>1706</v>
          </cell>
          <cell r="G294">
            <v>25.349008082292436</v>
          </cell>
          <cell r="H294">
            <v>0.79837516254332108</v>
          </cell>
        </row>
        <row r="295">
          <cell r="C295">
            <v>18</v>
          </cell>
          <cell r="D295">
            <v>63.636363636363647</v>
          </cell>
          <cell r="E295">
            <v>9.2298613596671935</v>
          </cell>
          <cell r="F295">
            <v>1582</v>
          </cell>
          <cell r="G295">
            <v>1.4102564102564052</v>
          </cell>
          <cell r="H295">
            <v>0.86414232569269933</v>
          </cell>
        </row>
        <row r="296">
          <cell r="C296">
            <v>18</v>
          </cell>
          <cell r="D296">
            <v>19.999999999999996</v>
          </cell>
          <cell r="E296">
            <v>9.2631197115490984</v>
          </cell>
          <cell r="F296">
            <v>1661</v>
          </cell>
          <cell r="G296">
            <v>3.5536159600997541</v>
          </cell>
          <cell r="H296">
            <v>0.93009167802833259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>
        <row r="206">
          <cell r="C206">
            <v>95.161000000000001</v>
          </cell>
          <cell r="D206">
            <v>0.4</v>
          </cell>
          <cell r="E206">
            <v>1.0402589407082359</v>
          </cell>
          <cell r="F206">
            <v>95.153000000000006</v>
          </cell>
          <cell r="G206">
            <v>0.6</v>
          </cell>
          <cell r="H206">
            <v>1.0740736835735143</v>
          </cell>
        </row>
        <row r="207">
          <cell r="C207">
            <v>95.134</v>
          </cell>
          <cell r="D207">
            <v>1</v>
          </cell>
          <cell r="E207">
            <v>1.0519287519358622</v>
          </cell>
          <cell r="F207">
            <v>95.281000000000006</v>
          </cell>
          <cell r="G207">
            <v>1.1000000000000001</v>
          </cell>
          <cell r="H207">
            <v>1.0807373681254968</v>
          </cell>
        </row>
        <row r="208">
          <cell r="C208">
            <v>95.153999999999996</v>
          </cell>
          <cell r="D208">
            <v>1.2</v>
          </cell>
          <cell r="E208">
            <v>1.0599944883700048</v>
          </cell>
          <cell r="F208">
            <v>95.393000000000001</v>
          </cell>
          <cell r="G208">
            <v>1.2</v>
          </cell>
          <cell r="H208">
            <v>1.084090908471331</v>
          </cell>
        </row>
        <row r="209">
          <cell r="C209">
            <v>95.784000000000006</v>
          </cell>
          <cell r="D209">
            <v>1.2</v>
          </cell>
          <cell r="E209">
            <v>1.0645998391352616</v>
          </cell>
          <cell r="F209">
            <v>96.180999999999997</v>
          </cell>
          <cell r="G209">
            <v>1.1000000000000001</v>
          </cell>
          <cell r="H209">
            <v>1.0842944072953851</v>
          </cell>
        </row>
        <row r="210">
          <cell r="C210">
            <v>96.736000000000004</v>
          </cell>
          <cell r="D210">
            <v>2.1</v>
          </cell>
          <cell r="E210">
            <v>1.0658982159612049</v>
          </cell>
          <cell r="F210">
            <v>97.048000000000002</v>
          </cell>
          <cell r="G210">
            <v>2.1</v>
          </cell>
          <cell r="H210">
            <v>1.0815160165244944</v>
          </cell>
        </row>
        <row r="211">
          <cell r="C211">
            <v>97.102999999999994</v>
          </cell>
          <cell r="D211">
            <v>2.5</v>
          </cell>
          <cell r="E211">
            <v>1.0640524333663566</v>
          </cell>
          <cell r="F211">
            <v>97.302000000000007</v>
          </cell>
          <cell r="G211">
            <v>2.2999999999999998</v>
          </cell>
          <cell r="H211">
            <v>1.0759249787516547</v>
          </cell>
        </row>
        <row r="212">
          <cell r="C212">
            <v>96.634</v>
          </cell>
          <cell r="D212">
            <v>2.5</v>
          </cell>
          <cell r="E212">
            <v>1.0592971184931299</v>
          </cell>
          <cell r="F212">
            <v>96.603999999999999</v>
          </cell>
          <cell r="G212">
            <v>2.2000000000000002</v>
          </cell>
          <cell r="H212">
            <v>1.06776126462427</v>
          </cell>
        </row>
        <row r="213">
          <cell r="C213">
            <v>96.968000000000004</v>
          </cell>
          <cell r="D213">
            <v>2.4</v>
          </cell>
          <cell r="E213">
            <v>1.0519666170649542</v>
          </cell>
          <cell r="F213">
            <v>96.742000000000004</v>
          </cell>
          <cell r="G213">
            <v>2.2000000000000002</v>
          </cell>
          <cell r="H213">
            <v>1.0573498499995531</v>
          </cell>
        </row>
        <row r="214">
          <cell r="C214">
            <v>96.741</v>
          </cell>
          <cell r="D214">
            <v>2.2000000000000002</v>
          </cell>
          <cell r="E214">
            <v>1.0424953236164747</v>
          </cell>
          <cell r="F214">
            <v>96.977999999999994</v>
          </cell>
          <cell r="G214">
            <v>2.2999999999999998</v>
          </cell>
          <cell r="H214">
            <v>1.0450943384246731</v>
          </cell>
        </row>
        <row r="215">
          <cell r="C215">
            <v>97.724000000000004</v>
          </cell>
          <cell r="D215">
            <v>2.4</v>
          </cell>
          <cell r="E215">
            <v>1.0314112461117069</v>
          </cell>
          <cell r="F215">
            <v>97.875</v>
          </cell>
          <cell r="G215">
            <v>2.2999999999999998</v>
          </cell>
          <cell r="H215">
            <v>1.0314776841516606</v>
          </cell>
        </row>
        <row r="216">
          <cell r="C216">
            <v>97.823999999999998</v>
          </cell>
          <cell r="D216">
            <v>1.6</v>
          </cell>
          <cell r="E216">
            <v>1.0193227747838598</v>
          </cell>
          <cell r="F216">
            <v>97.768000000000001</v>
          </cell>
          <cell r="G216">
            <v>1.7</v>
          </cell>
          <cell r="H216">
            <v>1.0170699876590445</v>
          </cell>
        </row>
        <row r="217">
          <cell r="C217">
            <v>97.275999999999996</v>
          </cell>
          <cell r="D217">
            <v>1</v>
          </cell>
          <cell r="E217">
            <v>1.0069333407518293</v>
          </cell>
          <cell r="F217">
            <v>97.328999999999994</v>
          </cell>
          <cell r="G217">
            <v>1.2</v>
          </cell>
          <cell r="H217">
            <v>1.0025294412528429</v>
          </cell>
        </row>
        <row r="218">
          <cell r="C218">
            <v>96.024000000000001</v>
          </cell>
          <cell r="D218">
            <v>0.9</v>
          </cell>
          <cell r="E218">
            <v>0.99498669994181743</v>
          </cell>
          <cell r="F218">
            <v>96.084999999999994</v>
          </cell>
          <cell r="G218">
            <v>1</v>
          </cell>
          <cell r="H218">
            <v>0.98856166293437553</v>
          </cell>
        </row>
        <row r="219">
          <cell r="C219">
            <v>96.143000000000001</v>
          </cell>
          <cell r="D219">
            <v>1.1000000000000001</v>
          </cell>
          <cell r="E219">
            <v>0.98422612679802968</v>
          </cell>
          <cell r="F219">
            <v>96.32</v>
          </cell>
          <cell r="G219">
            <v>1.1000000000000001</v>
          </cell>
          <cell r="H219">
            <v>0.97588598393820791</v>
          </cell>
        </row>
        <row r="220">
          <cell r="C220">
            <v>96.364000000000004</v>
          </cell>
          <cell r="D220">
            <v>1.3</v>
          </cell>
          <cell r="E220">
            <v>0.9753882994660642</v>
          </cell>
          <cell r="F220">
            <v>96.668999999999997</v>
          </cell>
          <cell r="G220">
            <v>1.3</v>
          </cell>
          <cell r="H220">
            <v>0.96522252982786871</v>
          </cell>
        </row>
        <row r="221">
          <cell r="C221">
            <v>97.26</v>
          </cell>
          <cell r="D221">
            <v>1.5</v>
          </cell>
          <cell r="E221">
            <v>0.96921793594382477</v>
          </cell>
          <cell r="F221">
            <v>97.644000000000005</v>
          </cell>
          <cell r="G221">
            <v>1.5</v>
          </cell>
          <cell r="H221">
            <v>0.9573000451957796</v>
          </cell>
        </row>
        <row r="222">
          <cell r="C222">
            <v>97.679000000000002</v>
          </cell>
          <cell r="D222">
            <v>1</v>
          </cell>
          <cell r="E222">
            <v>0.9664822967084189</v>
          </cell>
          <cell r="F222">
            <v>97.834000000000003</v>
          </cell>
          <cell r="G222">
            <v>0.8</v>
          </cell>
          <cell r="H222">
            <v>0.9528705230697907</v>
          </cell>
        </row>
        <row r="223">
          <cell r="C223">
            <v>97.488</v>
          </cell>
          <cell r="D223">
            <v>0.4</v>
          </cell>
          <cell r="E223">
            <v>0.96798550210251344</v>
          </cell>
          <cell r="F223">
            <v>97.718999999999994</v>
          </cell>
          <cell r="G223">
            <v>0.4</v>
          </cell>
          <cell r="H223">
            <v>0.95272364397461351</v>
          </cell>
        </row>
        <row r="224">
          <cell r="C224">
            <v>97.018000000000001</v>
          </cell>
          <cell r="D224">
            <v>0.4</v>
          </cell>
          <cell r="E224">
            <v>0.97453400008705926</v>
          </cell>
          <cell r="F224">
            <v>97.113</v>
          </cell>
          <cell r="G224">
            <v>0.5</v>
          </cell>
          <cell r="H224">
            <v>0.95763847242641287</v>
          </cell>
        </row>
        <row r="225">
          <cell r="C225">
            <v>97.231999999999999</v>
          </cell>
          <cell r="D225">
            <v>0.3</v>
          </cell>
          <cell r="E225">
            <v>0.98689479518536094</v>
          </cell>
          <cell r="F225">
            <v>97.058999999999997</v>
          </cell>
          <cell r="G225">
            <v>0.3</v>
          </cell>
          <cell r="H225">
            <v>0.9683556893549663</v>
          </cell>
        </row>
        <row r="226">
          <cell r="C226">
            <v>96.819000000000003</v>
          </cell>
          <cell r="D226">
            <v>0.1</v>
          </cell>
          <cell r="E226">
            <v>1.0057949937262725</v>
          </cell>
          <cell r="F226">
            <v>97.058999999999997</v>
          </cell>
          <cell r="G226">
            <v>0.1</v>
          </cell>
          <cell r="H226">
            <v>0.98558419524057705</v>
          </cell>
        </row>
        <row r="227">
          <cell r="C227">
            <v>97.751999999999995</v>
          </cell>
          <cell r="D227">
            <v>0</v>
          </cell>
          <cell r="E227">
            <v>1.0319140010112047</v>
          </cell>
          <cell r="F227">
            <v>98.001000000000005</v>
          </cell>
          <cell r="G227">
            <v>0.1</v>
          </cell>
          <cell r="H227">
            <v>1.0099864769740101</v>
          </cell>
        </row>
        <row r="228">
          <cell r="C228">
            <v>98.222999999999999</v>
          </cell>
          <cell r="D228">
            <v>0.4</v>
          </cell>
          <cell r="E228">
            <v>1.0658683199114485</v>
          </cell>
          <cell r="F228">
            <v>98.167000000000002</v>
          </cell>
          <cell r="G228">
            <v>0.4</v>
          </cell>
          <cell r="H228">
            <v>1.0421635225435832</v>
          </cell>
        </row>
        <row r="229">
          <cell r="C229">
            <v>98.194000000000003</v>
          </cell>
          <cell r="D229">
            <v>0.9</v>
          </cell>
          <cell r="E229">
            <v>1.1082027926037803</v>
          </cell>
          <cell r="F229">
            <v>98.096000000000004</v>
          </cell>
          <cell r="G229">
            <v>0.8</v>
          </cell>
          <cell r="H229">
            <v>1.082653126432269</v>
          </cell>
        </row>
        <row r="230">
          <cell r="C230">
            <v>97.087000000000003</v>
          </cell>
          <cell r="D230">
            <v>1.1000000000000001</v>
          </cell>
          <cell r="E230">
            <v>1.1594160204094268</v>
          </cell>
          <cell r="F230">
            <v>97.138999999999996</v>
          </cell>
          <cell r="G230">
            <v>1.1000000000000001</v>
          </cell>
          <cell r="H230">
            <v>1.1319484884339741</v>
          </cell>
        </row>
        <row r="231">
          <cell r="C231">
            <v>96.882000000000005</v>
          </cell>
          <cell r="D231">
            <v>0.8</v>
          </cell>
          <cell r="E231">
            <v>1.2199921461223506</v>
          </cell>
          <cell r="F231">
            <v>97.024000000000001</v>
          </cell>
          <cell r="G231">
            <v>0.7</v>
          </cell>
          <cell r="H231">
            <v>1.1905231796532696</v>
          </cell>
        </row>
        <row r="232">
          <cell r="C232">
            <v>96.34</v>
          </cell>
          <cell r="D232">
            <v>0</v>
          </cell>
          <cell r="E232">
            <v>1.2904111864239858</v>
          </cell>
          <cell r="F232">
            <v>96.652000000000001</v>
          </cell>
          <cell r="G232">
            <v>0</v>
          </cell>
          <cell r="H232">
            <v>1.2588485525496962</v>
          </cell>
        </row>
        <row r="233">
          <cell r="C233">
            <v>96.582999999999998</v>
          </cell>
          <cell r="D233">
            <v>-0.7</v>
          </cell>
          <cell r="E233">
            <v>1.3711239918745077</v>
          </cell>
          <cell r="F233">
            <v>96.944000000000003</v>
          </cell>
          <cell r="G233">
            <v>-0.7</v>
          </cell>
          <cell r="H233">
            <v>1.3373618954730968</v>
          </cell>
        </row>
        <row r="234">
          <cell r="C234">
            <v>96.628</v>
          </cell>
          <cell r="D234">
            <v>-1.1000000000000001</v>
          </cell>
          <cell r="E234">
            <v>1.4624918011461461</v>
          </cell>
          <cell r="F234">
            <v>96.938000000000002</v>
          </cell>
          <cell r="G234">
            <v>-0.9</v>
          </cell>
          <cell r="H234">
            <v>1.4264130767349428</v>
          </cell>
        </row>
        <row r="235">
          <cell r="C235">
            <v>97.003</v>
          </cell>
          <cell r="D235">
            <v>-0.5</v>
          </cell>
          <cell r="E235">
            <v>1.5647320248561392</v>
          </cell>
          <cell r="F235">
            <v>97.385000000000005</v>
          </cell>
          <cell r="G235">
            <v>-0.3</v>
          </cell>
          <cell r="H235">
            <v>1.5262104811817421</v>
          </cell>
        </row>
        <row r="236">
          <cell r="C236">
            <v>96.623999999999995</v>
          </cell>
          <cell r="D236">
            <v>-0.4</v>
          </cell>
          <cell r="E236">
            <v>1.6778841228022012</v>
          </cell>
          <cell r="F236">
            <v>96.510999999999996</v>
          </cell>
          <cell r="G236">
            <v>-0.6</v>
          </cell>
          <cell r="H236">
            <v>1.6368009371963406</v>
          </cell>
        </row>
        <row r="237">
          <cell r="C237">
            <v>96.679000000000002</v>
          </cell>
          <cell r="D237">
            <v>-0.6</v>
          </cell>
          <cell r="E237">
            <v>1.8018441706136543</v>
          </cell>
          <cell r="F237">
            <v>96.555000000000007</v>
          </cell>
          <cell r="G237">
            <v>-0.5</v>
          </cell>
          <cell r="H237">
            <v>1.7581044529892802</v>
          </cell>
        </row>
        <row r="238">
          <cell r="C238">
            <v>96.400999999999996</v>
          </cell>
          <cell r="D238">
            <v>-0.4</v>
          </cell>
          <cell r="E238">
            <v>1.9363639464112925</v>
          </cell>
          <cell r="F238">
            <v>96.7</v>
          </cell>
          <cell r="G238">
            <v>-0.4</v>
          </cell>
          <cell r="H238">
            <v>1.8898857033726866</v>
          </cell>
        </row>
        <row r="239">
          <cell r="C239">
            <v>96.971999999999994</v>
          </cell>
          <cell r="D239">
            <v>-0.8</v>
          </cell>
          <cell r="E239">
            <v>2.0810284335818396</v>
          </cell>
          <cell r="F239">
            <v>97.207999999999998</v>
          </cell>
          <cell r="G239">
            <v>-0.8</v>
          </cell>
          <cell r="H239">
            <v>2.03175255034945</v>
          </cell>
        </row>
        <row r="240">
          <cell r="C240">
            <v>97.314999999999998</v>
          </cell>
          <cell r="D240">
            <v>-0.9</v>
          </cell>
          <cell r="E240">
            <v>2.2352603680157408</v>
          </cell>
          <cell r="F240">
            <v>97.367000000000004</v>
          </cell>
          <cell r="G240">
            <v>-0.8</v>
          </cell>
          <cell r="H240">
            <v>2.1831538360819489</v>
          </cell>
        </row>
        <row r="241">
          <cell r="C241">
            <v>97.656999999999996</v>
          </cell>
          <cell r="D241">
            <v>-0.5</v>
          </cell>
          <cell r="E241">
            <v>2.3982824141844423</v>
          </cell>
          <cell r="F241">
            <v>97.573999999999998</v>
          </cell>
          <cell r="G241">
            <v>-0.5</v>
          </cell>
          <cell r="H241">
            <v>2.3433417532498981</v>
          </cell>
        </row>
        <row r="242">
          <cell r="C242">
            <v>97.566999999999993</v>
          </cell>
          <cell r="D242">
            <v>0.5</v>
          </cell>
          <cell r="E242">
            <v>2.569099510144945</v>
          </cell>
          <cell r="F242">
            <v>97.582999999999998</v>
          </cell>
          <cell r="G242">
            <v>0.5</v>
          </cell>
          <cell r="H242">
            <v>2.5113613310721736</v>
          </cell>
        </row>
        <row r="243">
          <cell r="C243">
            <v>96.828999999999994</v>
          </cell>
          <cell r="D243">
            <v>-0.1</v>
          </cell>
          <cell r="E243">
            <v>2.7465153243421532</v>
          </cell>
          <cell r="F243">
            <v>97.007999999999996</v>
          </cell>
          <cell r="G243">
            <v>0</v>
          </cell>
          <cell r="H243">
            <v>2.6860601444792311</v>
          </cell>
        </row>
        <row r="244">
          <cell r="C244">
            <v>97.768000000000001</v>
          </cell>
          <cell r="D244">
            <v>1.5</v>
          </cell>
          <cell r="E244">
            <v>2.9291898377549885</v>
          </cell>
          <cell r="F244">
            <v>97.948999999999998</v>
          </cell>
          <cell r="G244">
            <v>1.3</v>
          </cell>
          <cell r="H244">
            <v>2.8661460905313123</v>
          </cell>
        </row>
        <row r="245">
          <cell r="C245">
            <v>98.784999999999997</v>
          </cell>
          <cell r="D245">
            <v>2.2999999999999998</v>
          </cell>
          <cell r="E245">
            <v>3.1155853566870713</v>
          </cell>
          <cell r="F245">
            <v>99.105000000000004</v>
          </cell>
          <cell r="G245">
            <v>2.2000000000000002</v>
          </cell>
          <cell r="H245">
            <v>3.0501405343341816</v>
          </cell>
        </row>
        <row r="246">
          <cell r="C246">
            <v>99.27</v>
          </cell>
          <cell r="D246">
            <v>2.7</v>
          </cell>
          <cell r="E246">
            <v>3.3040649381477336</v>
          </cell>
          <cell r="F246">
            <v>99.572000000000003</v>
          </cell>
          <cell r="G246">
            <v>2.7</v>
          </cell>
          <cell r="H246">
            <v>3.236456080848428</v>
          </cell>
        </row>
        <row r="247">
          <cell r="C247">
            <v>100.02200000000001</v>
          </cell>
          <cell r="D247">
            <v>3.1</v>
          </cell>
          <cell r="E247">
            <v>3.4929350012743159</v>
          </cell>
          <cell r="F247">
            <v>100.04600000000001</v>
          </cell>
          <cell r="G247">
            <v>2.7</v>
          </cell>
          <cell r="H247">
            <v>3.4234462974975339</v>
          </cell>
        </row>
        <row r="248">
          <cell r="C248">
            <v>99.503</v>
          </cell>
          <cell r="D248">
            <v>3</v>
          </cell>
          <cell r="E248">
            <v>3.68046001625012</v>
          </cell>
          <cell r="F248">
            <v>99.292000000000002</v>
          </cell>
          <cell r="G248">
            <v>2.9</v>
          </cell>
          <cell r="H248">
            <v>3.6094274978104788</v>
          </cell>
        </row>
        <row r="249">
          <cell r="C249">
            <v>100.11</v>
          </cell>
          <cell r="D249">
            <v>3.5</v>
          </cell>
          <cell r="E249">
            <v>3.8648771661055825</v>
          </cell>
          <cell r="F249">
            <v>99.742999999999995</v>
          </cell>
          <cell r="G249">
            <v>3.3</v>
          </cell>
          <cell r="H249">
            <v>3.7926657559900274</v>
          </cell>
        </row>
        <row r="250">
          <cell r="C250">
            <v>100.747</v>
          </cell>
          <cell r="D250">
            <v>4.5</v>
          </cell>
          <cell r="E250">
            <v>4.044376379703345</v>
          </cell>
          <cell r="F250">
            <v>100.575</v>
          </cell>
          <cell r="G250">
            <v>4</v>
          </cell>
          <cell r="H250">
            <v>3.9713778804404853</v>
          </cell>
        </row>
        <row r="251">
          <cell r="C251">
            <v>102.28700000000001</v>
          </cell>
          <cell r="D251">
            <v>5.5</v>
          </cell>
          <cell r="E251">
            <v>4.2171222472139567</v>
          </cell>
          <cell r="F251">
            <v>102.425</v>
          </cell>
          <cell r="G251">
            <v>5.4</v>
          </cell>
          <cell r="H251">
            <v>4.1437464666664354</v>
          </cell>
        </row>
        <row r="252">
          <cell r="C252">
            <v>102.85</v>
          </cell>
          <cell r="D252">
            <v>5.7</v>
          </cell>
          <cell r="E252">
            <v>4.3813109993371553</v>
          </cell>
          <cell r="F252">
            <v>102.738</v>
          </cell>
          <cell r="G252">
            <v>5.5</v>
          </cell>
          <cell r="H252">
            <v>4.3079560978196527</v>
          </cell>
        </row>
        <row r="253">
          <cell r="C253">
            <v>104.261</v>
          </cell>
          <cell r="D253">
            <v>6.8</v>
          </cell>
          <cell r="E253">
            <v>4.5352279555055102</v>
          </cell>
          <cell r="F253">
            <v>103.965</v>
          </cell>
          <cell r="G253">
            <v>6.5</v>
          </cell>
          <cell r="H253">
            <v>4.4622785968806156</v>
          </cell>
        </row>
        <row r="254">
          <cell r="C254">
            <v>103.63500000000001</v>
          </cell>
          <cell r="D254">
            <v>6.2</v>
          </cell>
          <cell r="E254">
            <v>4.6772500107766364</v>
          </cell>
          <cell r="F254">
            <v>103.56699999999999</v>
          </cell>
          <cell r="G254">
            <v>6.1</v>
          </cell>
          <cell r="H254">
            <v>4.6050685676563425</v>
          </cell>
        </row>
        <row r="255">
          <cell r="C255">
            <v>104.313</v>
          </cell>
          <cell r="D255">
            <v>7.7</v>
          </cell>
          <cell r="E255">
            <v>4.8059113360445727</v>
          </cell>
          <cell r="F255">
            <v>104.40300000000001</v>
          </cell>
          <cell r="G255">
            <v>7.6</v>
          </cell>
          <cell r="H255">
            <v>4.7348221223846245</v>
          </cell>
        </row>
        <row r="256">
          <cell r="C256">
            <v>107.727</v>
          </cell>
          <cell r="D256">
            <v>10.199999999999999</v>
          </cell>
          <cell r="E256">
            <v>4.9198518487303868</v>
          </cell>
          <cell r="F256">
            <v>107.566</v>
          </cell>
          <cell r="G256">
            <v>9.8000000000000007</v>
          </cell>
          <cell r="H256">
            <v>4.8501391879860547</v>
          </cell>
        </row>
        <row r="257">
          <cell r="C257">
            <v>107.21</v>
          </cell>
          <cell r="D257">
            <v>8.5</v>
          </cell>
          <cell r="E257">
            <v>5.0179124446345886</v>
          </cell>
          <cell r="F257">
            <v>107.375</v>
          </cell>
          <cell r="G257">
            <v>8.3000000000000007</v>
          </cell>
          <cell r="H257">
            <v>4.9498186620671714</v>
          </cell>
        </row>
        <row r="258">
          <cell r="C258">
            <v>107.995</v>
          </cell>
          <cell r="D258">
            <v>8.8000000000000007</v>
          </cell>
          <cell r="E258">
            <v>5.0993006965126373</v>
          </cell>
          <cell r="F258">
            <v>108.262</v>
          </cell>
          <cell r="G258">
            <v>8.6999999999999993</v>
          </cell>
          <cell r="H258">
            <v>5.033003182568681</v>
          </cell>
        </row>
        <row r="259">
          <cell r="C259">
            <v>110.033</v>
          </cell>
          <cell r="D259">
            <v>10</v>
          </cell>
          <cell r="E259">
            <v>5.1634659887557817</v>
          </cell>
          <cell r="F259">
            <v>110.267</v>
          </cell>
          <cell r="G259">
            <v>10.199999999999999</v>
          </cell>
          <cell r="H259">
            <v>5.0990680389130913</v>
          </cell>
        </row>
        <row r="260">
          <cell r="C260">
            <v>109.929</v>
          </cell>
          <cell r="D260">
            <v>10.5</v>
          </cell>
          <cell r="E260">
            <v>5.2101146987624567</v>
          </cell>
          <cell r="F260">
            <v>109.986</v>
          </cell>
          <cell r="G260">
            <v>10.8</v>
          </cell>
          <cell r="H260">
            <v>5.1476431730796754</v>
          </cell>
        </row>
        <row r="261">
          <cell r="C261">
            <v>110.17700000000001</v>
          </cell>
          <cell r="D261">
            <v>10.1</v>
          </cell>
          <cell r="E261">
            <v>5.2392890743485436</v>
          </cell>
          <cell r="F261">
            <v>110.265</v>
          </cell>
          <cell r="G261">
            <v>10.5</v>
          </cell>
          <cell r="H261">
            <v>5.1787127584338917</v>
          </cell>
        </row>
        <row r="262">
          <cell r="C262">
            <v>109.145</v>
          </cell>
          <cell r="D262">
            <v>8.3000000000000007</v>
          </cell>
          <cell r="E262">
            <v>5.251398716475844</v>
          </cell>
          <cell r="F262">
            <v>109.498</v>
          </cell>
          <cell r="G262">
            <v>8.9</v>
          </cell>
          <cell r="H262">
            <v>5.1926534931208472</v>
          </cell>
        </row>
        <row r="263">
          <cell r="C263">
            <v>109.523</v>
          </cell>
          <cell r="D263">
            <v>7.1</v>
          </cell>
          <cell r="E263">
            <v>5.2471907754759961</v>
          </cell>
          <cell r="F263">
            <v>109.866</v>
          </cell>
          <cell r="G263">
            <v>7.3</v>
          </cell>
          <cell r="H263">
            <v>5.1902116091218682</v>
          </cell>
        </row>
        <row r="264">
          <cell r="C264">
            <v>109.75700000000001</v>
          </cell>
          <cell r="D264">
            <v>6.7</v>
          </cell>
          <cell r="E264">
            <v>5.227624110103104</v>
          </cell>
          <cell r="F264">
            <v>109.73399999999999</v>
          </cell>
          <cell r="G264">
            <v>6.8</v>
          </cell>
          <cell r="H264">
            <v>5.1723907930368132</v>
          </cell>
        </row>
        <row r="265">
          <cell r="C265">
            <v>109.755</v>
          </cell>
          <cell r="D265">
            <v>5.3</v>
          </cell>
          <cell r="E265">
            <v>5.1937862464185311</v>
          </cell>
          <cell r="F265">
            <v>109.899</v>
          </cell>
          <cell r="G265">
            <v>5.7</v>
          </cell>
          <cell r="H265">
            <v>5.1403412445482415</v>
          </cell>
        </row>
        <row r="266">
          <cell r="C266">
            <v>109.562</v>
          </cell>
          <cell r="D266">
            <v>5.7</v>
          </cell>
          <cell r="E266">
            <v>5.1468669588093272</v>
          </cell>
          <cell r="F266">
            <v>109.66800000000001</v>
          </cell>
          <cell r="G266">
            <v>5.9</v>
          </cell>
          <cell r="H266">
            <v>5.0953261917558619</v>
          </cell>
        </row>
        <row r="267">
          <cell r="C267">
            <v>110.67400000000001</v>
          </cell>
          <cell r="D267">
            <v>6.1</v>
          </cell>
          <cell r="E267">
            <v>5.0880633976176526</v>
          </cell>
          <cell r="F267">
            <v>110.703</v>
          </cell>
          <cell r="G267">
            <v>6</v>
          </cell>
          <cell r="H267">
            <v>5.0386477279507336</v>
          </cell>
        </row>
        <row r="268">
          <cell r="C268">
            <v>111.17100000000001</v>
          </cell>
          <cell r="D268">
            <v>3.2</v>
          </cell>
          <cell r="E268">
            <v>5.0186111252024164</v>
          </cell>
          <cell r="F268">
            <v>111.111</v>
          </cell>
          <cell r="G268">
            <v>3.3</v>
          </cell>
          <cell r="H268">
            <v>4.9716638265494888</v>
          </cell>
        </row>
        <row r="269">
          <cell r="C269">
            <v>111.857</v>
          </cell>
          <cell r="D269">
            <v>4.3</v>
          </cell>
          <cell r="E269">
            <v>4.939815977297692</v>
          </cell>
          <cell r="F269">
            <v>111.773</v>
          </cell>
          <cell r="G269">
            <v>4.0999999999999996</v>
          </cell>
          <cell r="H269">
            <v>4.8957992215432071</v>
          </cell>
        </row>
        <row r="270">
          <cell r="C270">
            <v>111.82599999999999</v>
          </cell>
          <cell r="D270">
            <v>3.5</v>
          </cell>
          <cell r="E270">
            <v>4.8528574971983032</v>
          </cell>
          <cell r="F270">
            <v>111.71899999999999</v>
          </cell>
          <cell r="G270">
            <v>3.2</v>
          </cell>
          <cell r="H270">
            <v>4.8123625591572345</v>
          </cell>
        </row>
        <row r="271">
          <cell r="C271">
            <v>112.56100000000001</v>
          </cell>
          <cell r="D271">
            <v>2.2999999999999998</v>
          </cell>
          <cell r="E271">
            <v>4.7588707965339836</v>
          </cell>
          <cell r="F271">
            <v>112.354</v>
          </cell>
          <cell r="G271">
            <v>1.9</v>
          </cell>
          <cell r="H271">
            <v>4.7226072217820878</v>
          </cell>
        </row>
        <row r="272">
          <cell r="C272">
            <v>112.825</v>
          </cell>
          <cell r="D272">
            <v>2.6</v>
          </cell>
          <cell r="E272">
            <v>4.6588970384971597</v>
          </cell>
          <cell r="F272">
            <v>112.544</v>
          </cell>
          <cell r="G272">
            <v>2.2999999999999998</v>
          </cell>
          <cell r="H272">
            <v>4.6276746221861194</v>
          </cell>
        </row>
        <row r="273">
          <cell r="C273">
            <v>113.675</v>
          </cell>
          <cell r="D273">
            <v>3.2</v>
          </cell>
          <cell r="E273">
            <v>4.5538066313638339</v>
          </cell>
          <cell r="F273">
            <v>113.149</v>
          </cell>
          <cell r="G273">
            <v>2.6</v>
          </cell>
          <cell r="H273">
            <v>4.5285101587472809</v>
          </cell>
        </row>
        <row r="274">
          <cell r="C274">
            <v>113.648</v>
          </cell>
          <cell r="D274">
            <v>4.0999999999999996</v>
          </cell>
          <cell r="E274">
            <v>4.4443270044490006</v>
          </cell>
          <cell r="F274">
            <v>113.348</v>
          </cell>
          <cell r="G274">
            <v>3.5</v>
          </cell>
          <cell r="H274">
            <v>4.4258975857725389</v>
          </cell>
        </row>
        <row r="275">
          <cell r="C275">
            <v>113.76</v>
          </cell>
          <cell r="D275">
            <v>3.9</v>
          </cell>
          <cell r="E275">
            <v>4.3310915727182548</v>
          </cell>
          <cell r="F275">
            <v>113.676</v>
          </cell>
          <cell r="G275">
            <v>3.5</v>
          </cell>
          <cell r="H275">
            <v>4.3204867332522801</v>
          </cell>
        </row>
        <row r="276">
          <cell r="C276">
            <v>113.503</v>
          </cell>
          <cell r="D276">
            <v>3.4</v>
          </cell>
          <cell r="E276">
            <v>4.2147098395396601</v>
          </cell>
          <cell r="F276">
            <v>113.28</v>
          </cell>
          <cell r="G276">
            <v>3.2</v>
          </cell>
          <cell r="H276">
            <v>4.2128631327334345</v>
          </cell>
        </row>
        <row r="277">
          <cell r="C277">
            <v>113.345</v>
          </cell>
          <cell r="D277">
            <v>3.3</v>
          </cell>
          <cell r="E277">
            <v>4.0957613713665078</v>
          </cell>
          <cell r="F277">
            <v>113.30800000000001</v>
          </cell>
          <cell r="G277">
            <v>3.1</v>
          </cell>
          <cell r="H277">
            <v>4.1035553375175677</v>
          </cell>
        </row>
        <row r="278">
          <cell r="C278">
            <v>113.61799999999999</v>
          </cell>
          <cell r="D278">
            <v>3.7</v>
          </cell>
          <cell r="E278">
            <v>3.9747691575798996</v>
          </cell>
          <cell r="F278">
            <v>113.404</v>
          </cell>
          <cell r="G278">
            <v>3.4</v>
          </cell>
          <cell r="H278">
            <v>3.9930215631886949</v>
          </cell>
        </row>
        <row r="279">
          <cell r="C279">
            <v>113.798</v>
          </cell>
          <cell r="D279">
            <v>2.8</v>
          </cell>
          <cell r="E279">
            <v>3.8522009263545911</v>
          </cell>
          <cell r="F279">
            <v>113.807</v>
          </cell>
          <cell r="G279">
            <v>2.8</v>
          </cell>
          <cell r="H279">
            <v>3.8816503339879471</v>
          </cell>
        </row>
        <row r="280">
          <cell r="C280">
            <v>114.48399999999999</v>
          </cell>
          <cell r="D280">
            <v>3</v>
          </cell>
          <cell r="E280">
            <v>3.72850532467384</v>
          </cell>
          <cell r="F280">
            <v>114.67400000000001</v>
          </cell>
          <cell r="G280">
            <v>3.2</v>
          </cell>
          <cell r="H280">
            <v>3.7697889921034564</v>
          </cell>
        </row>
        <row r="281">
          <cell r="C281">
            <v>115.393</v>
          </cell>
          <cell r="D281">
            <v>3.2</v>
          </cell>
          <cell r="E281">
            <v>3.6040579300121296</v>
          </cell>
          <cell r="F281">
            <v>115.47199999999999</v>
          </cell>
          <cell r="G281">
            <v>3.3</v>
          </cell>
          <cell r="H281">
            <v>3.6577097651168287</v>
          </cell>
        </row>
        <row r="282">
          <cell r="C282">
            <v>115.759</v>
          </cell>
          <cell r="D282">
            <v>3.5</v>
          </cell>
          <cell r="E282">
            <v>3.4791837291963974</v>
          </cell>
          <cell r="F282">
            <v>115.776</v>
          </cell>
          <cell r="G282">
            <v>3.6</v>
          </cell>
          <cell r="H282">
            <v>3.5456453119296629</v>
          </cell>
        </row>
        <row r="283">
          <cell r="C283">
            <v>116.004</v>
          </cell>
          <cell r="D283">
            <v>3.1</v>
          </cell>
          <cell r="E283">
            <v>3.3541796494751082</v>
          </cell>
          <cell r="F283">
            <v>116.212</v>
          </cell>
          <cell r="G283">
            <v>3.4</v>
          </cell>
          <cell r="H283">
            <v>3.4338034504876482</v>
          </cell>
        </row>
        <row r="284">
          <cell r="C284">
            <v>115.604</v>
          </cell>
          <cell r="D284">
            <v>2.5</v>
          </cell>
          <cell r="E284">
            <v>3.2293440636710886</v>
          </cell>
          <cell r="F284">
            <v>115.66</v>
          </cell>
          <cell r="G284">
            <v>2.8</v>
          </cell>
          <cell r="H284">
            <v>3.3223957733675897</v>
          </cell>
        </row>
        <row r="285">
          <cell r="C285">
            <v>115.929</v>
          </cell>
          <cell r="D285">
            <v>2</v>
          </cell>
          <cell r="E285">
            <v>3.1049576932426186</v>
          </cell>
          <cell r="F285">
            <v>115.70699999999999</v>
          </cell>
          <cell r="G285">
            <v>2.2999999999999998</v>
          </cell>
          <cell r="H285">
            <v>3.2116315256844534</v>
          </cell>
        </row>
        <row r="286">
          <cell r="C286">
            <v>114.83</v>
          </cell>
          <cell r="D286">
            <v>1</v>
          </cell>
          <cell r="E286">
            <v>2.9812506107546684</v>
          </cell>
          <cell r="F286">
            <v>115.009</v>
          </cell>
          <cell r="G286">
            <v>1.5</v>
          </cell>
          <cell r="H286">
            <v>3.1016836750689443</v>
          </cell>
        </row>
        <row r="287">
          <cell r="C287">
            <v>115.468</v>
          </cell>
          <cell r="D287">
            <v>1.5</v>
          </cell>
          <cell r="E287">
            <v>2.8583761555990663</v>
          </cell>
          <cell r="F287">
            <v>115.726</v>
          </cell>
          <cell r="G287">
            <v>1.8</v>
          </cell>
          <cell r="H287">
            <v>2.9926618814069288</v>
          </cell>
        </row>
        <row r="288">
          <cell r="C288">
            <v>116.039</v>
          </cell>
          <cell r="D288">
            <v>2.2000000000000002</v>
          </cell>
          <cell r="E288">
            <v>2.7363500803196721</v>
          </cell>
          <cell r="F288">
            <v>116.01</v>
          </cell>
          <cell r="G288">
            <v>2.4</v>
          </cell>
          <cell r="H288">
            <v>2.8845645765512824</v>
          </cell>
        </row>
        <row r="289">
          <cell r="C289">
            <v>116.628</v>
          </cell>
          <cell r="D289">
            <v>2.9</v>
          </cell>
          <cell r="E289">
            <v>2.6150938057828728</v>
          </cell>
          <cell r="F289">
            <v>116.53400000000001</v>
          </cell>
          <cell r="G289">
            <v>2.8</v>
          </cell>
          <cell r="H289">
            <v>2.777307368613116</v>
          </cell>
        </row>
        <row r="290">
          <cell r="C290">
            <v>116.672</v>
          </cell>
          <cell r="D290">
            <v>2.7</v>
          </cell>
          <cell r="E290">
            <v>2.4944915063217001</v>
          </cell>
          <cell r="F290">
            <v>116.733</v>
          </cell>
          <cell r="G290">
            <v>2.9</v>
          </cell>
          <cell r="H290">
            <v>2.6707722153857243</v>
          </cell>
        </row>
        <row r="291">
          <cell r="C291">
            <v>116.94499999999999</v>
          </cell>
          <cell r="D291">
            <v>2.8</v>
          </cell>
          <cell r="E291">
            <v>2.3744471414215615</v>
          </cell>
          <cell r="F291">
            <v>117.191</v>
          </cell>
          <cell r="G291">
            <v>3</v>
          </cell>
          <cell r="H291">
            <v>2.5648426505395814</v>
          </cell>
        </row>
        <row r="292">
          <cell r="C292">
            <v>116.854</v>
          </cell>
          <cell r="D292">
            <v>2.1</v>
          </cell>
          <cell r="E292">
            <v>2.2548789419910364</v>
          </cell>
          <cell r="F292">
            <v>117.26</v>
          </cell>
          <cell r="G292">
            <v>2.2999999999999998</v>
          </cell>
          <cell r="H292">
            <v>2.4594181263413146</v>
          </cell>
        </row>
        <row r="293">
          <cell r="C293">
            <v>117.703</v>
          </cell>
          <cell r="D293">
            <v>2</v>
          </cell>
          <cell r="E293">
            <v>2.1357346912205499</v>
          </cell>
          <cell r="F293">
            <v>117.997</v>
          </cell>
          <cell r="G293">
            <v>2.2000000000000002</v>
          </cell>
          <cell r="H293">
            <v>2.3544283143179312</v>
          </cell>
        </row>
        <row r="294">
          <cell r="C294">
            <v>117.559</v>
          </cell>
          <cell r="D294">
            <v>1.6</v>
          </cell>
          <cell r="E294">
            <v>2.0169514168184444</v>
          </cell>
          <cell r="F294">
            <v>118.077</v>
          </cell>
          <cell r="G294">
            <v>2</v>
          </cell>
          <cell r="H294">
            <v>2.2497918152932197</v>
          </cell>
        </row>
        <row r="295">
          <cell r="C295">
            <v>118.622</v>
          </cell>
          <cell r="D295">
            <v>1.6</v>
          </cell>
          <cell r="E295">
            <v>1.8984567204728384</v>
          </cell>
          <cell r="F295">
            <v>118.867</v>
          </cell>
          <cell r="G295">
            <v>2.2999999999999998</v>
          </cell>
          <cell r="H295">
            <v>2.1454165059024737</v>
          </cell>
        </row>
        <row r="296">
          <cell r="C296">
            <v>118.575</v>
          </cell>
          <cell r="D296">
            <v>2.6</v>
          </cell>
          <cell r="E296">
            <v>1.7801492489123487</v>
          </cell>
          <cell r="F296">
            <v>118.777</v>
          </cell>
          <cell r="G296">
            <v>2.7</v>
          </cell>
          <cell r="H296">
            <v>2.0411929161271472</v>
          </cell>
        </row>
        <row r="297">
          <cell r="C297">
            <v>118.985</v>
          </cell>
          <cell r="D297">
            <v>2.6</v>
          </cell>
          <cell r="E297">
            <v>1.661906922704449</v>
          </cell>
          <cell r="F297">
            <v>118.824</v>
          </cell>
          <cell r="G297">
            <v>2.7</v>
          </cell>
          <cell r="H297">
            <v>1.9370223109135629</v>
          </cell>
        </row>
      </sheetData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39997558519241921"/>
  </sheetPr>
  <dimension ref="A1:H97"/>
  <sheetViews>
    <sheetView topLeftCell="A88" zoomScale="110" zoomScaleNormal="110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8.42578125" style="2" bestFit="1" customWidth="1"/>
    <col min="3" max="3" width="13.7109375" style="2" bestFit="1" customWidth="1"/>
    <col min="4" max="4" width="20.7109375" style="2" bestFit="1" customWidth="1"/>
    <col min="5" max="5" width="18.28515625" style="2" bestFit="1" customWidth="1"/>
    <col min="6" max="6" width="11.7109375" style="2" bestFit="1" customWidth="1"/>
    <col min="7" max="7" width="18.5703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3">
      <c r="A2" s="2">
        <v>2018</v>
      </c>
      <c r="B2" s="9">
        <v>1</v>
      </c>
      <c r="C2" s="3">
        <v>-11</v>
      </c>
      <c r="D2" s="3">
        <v>-1200</v>
      </c>
      <c r="E2" s="3">
        <v>-63.966716495544333</v>
      </c>
      <c r="F2" s="3">
        <v>-997</v>
      </c>
      <c r="G2" s="3">
        <v>39.428918590522478</v>
      </c>
      <c r="H2" s="3">
        <v>-24.94405824729423</v>
      </c>
    </row>
    <row r="3" spans="1:8" x14ac:dyDescent="0.3">
      <c r="A3" s="2">
        <v>2018</v>
      </c>
      <c r="B3" s="9">
        <v>2</v>
      </c>
      <c r="C3" s="3">
        <v>-11</v>
      </c>
      <c r="D3" s="3">
        <v>-1000</v>
      </c>
      <c r="E3" s="3">
        <v>-66.294544073601145</v>
      </c>
      <c r="F3" s="3">
        <v>-1023</v>
      </c>
      <c r="G3" s="3">
        <v>39.82352941176471</v>
      </c>
      <c r="H3" s="3">
        <v>-31.972882547848108</v>
      </c>
    </row>
    <row r="4" spans="1:8" x14ac:dyDescent="0.3">
      <c r="A4" s="2">
        <v>2018</v>
      </c>
      <c r="B4" s="9">
        <v>3</v>
      </c>
      <c r="C4" s="3">
        <v>-20</v>
      </c>
      <c r="D4" s="3">
        <v>13.043478260869565</v>
      </c>
      <c r="E4" s="3">
        <v>-68.285305833621337</v>
      </c>
      <c r="F4" s="3">
        <v>-1635</v>
      </c>
      <c r="G4" s="3">
        <v>40.437158469945359</v>
      </c>
      <c r="H4" s="3">
        <v>-39.442559529925447</v>
      </c>
    </row>
    <row r="5" spans="1:8" x14ac:dyDescent="0.3">
      <c r="A5" s="2">
        <v>2018</v>
      </c>
      <c r="B5" s="9">
        <v>4</v>
      </c>
      <c r="C5" s="3">
        <v>-32</v>
      </c>
      <c r="D5" s="3">
        <v>-88.235294117647058</v>
      </c>
      <c r="E5" s="3">
        <v>-69.986163822384356</v>
      </c>
      <c r="F5" s="3">
        <v>-2377</v>
      </c>
      <c r="G5" s="3">
        <v>40.664003994008986</v>
      </c>
      <c r="H5" s="3">
        <v>-47.329909062241356</v>
      </c>
    </row>
    <row r="6" spans="1:8" x14ac:dyDescent="0.3">
      <c r="A6" s="2">
        <v>2018</v>
      </c>
      <c r="B6" s="9">
        <v>5</v>
      </c>
      <c r="C6" s="3">
        <v>-59</v>
      </c>
      <c r="D6" s="3">
        <v>-15.686274509803921</v>
      </c>
      <c r="E6" s="3">
        <v>-71.438632254440861</v>
      </c>
      <c r="F6" s="3">
        <v>-3976</v>
      </c>
      <c r="G6" s="3">
        <v>28.347449990989364</v>
      </c>
      <c r="H6" s="3">
        <v>-55.606203810872074</v>
      </c>
    </row>
    <row r="7" spans="1:8" x14ac:dyDescent="0.3">
      <c r="A7" s="2">
        <v>2018</v>
      </c>
      <c r="B7" s="9">
        <v>6</v>
      </c>
      <c r="C7" s="3">
        <v>-108</v>
      </c>
      <c r="D7" s="3">
        <v>-14.893617021276595</v>
      </c>
      <c r="E7" s="3">
        <v>-72.68549264505647</v>
      </c>
      <c r="F7" s="3">
        <v>-7787</v>
      </c>
      <c r="G7" s="3">
        <v>14.372113481416319</v>
      </c>
      <c r="H7" s="3">
        <v>-64.236605753487154</v>
      </c>
    </row>
    <row r="8" spans="1:8" x14ac:dyDescent="0.3">
      <c r="A8" s="2">
        <v>2018</v>
      </c>
      <c r="B8" s="9">
        <v>7</v>
      </c>
      <c r="C8" s="3">
        <v>8</v>
      </c>
      <c r="D8" s="3">
        <v>100</v>
      </c>
      <c r="E8" s="3">
        <v>-73.765654817986743</v>
      </c>
      <c r="F8" s="3">
        <v>-57</v>
      </c>
      <c r="G8" s="3">
        <v>95.943060498220646</v>
      </c>
      <c r="H8" s="3">
        <v>-73.180446752908779</v>
      </c>
    </row>
    <row r="9" spans="1:8" x14ac:dyDescent="0.3">
      <c r="A9" s="2">
        <v>2018</v>
      </c>
      <c r="B9" s="9">
        <v>8</v>
      </c>
      <c r="C9" s="3">
        <v>32</v>
      </c>
      <c r="D9" s="3">
        <v>100</v>
      </c>
      <c r="E9" s="3">
        <v>-74.714015272291135</v>
      </c>
      <c r="F9" s="3">
        <v>1068</v>
      </c>
      <c r="G9" s="3">
        <v>153.08056872037915</v>
      </c>
      <c r="H9" s="3">
        <v>-82.391599733123371</v>
      </c>
    </row>
    <row r="10" spans="1:8" x14ac:dyDescent="0.3">
      <c r="A10" s="2">
        <v>2018</v>
      </c>
      <c r="B10" s="9">
        <v>9</v>
      </c>
      <c r="C10" s="3">
        <v>27</v>
      </c>
      <c r="D10" s="3">
        <v>-38.636363636363633</v>
      </c>
      <c r="E10" s="3">
        <v>-75.553403447666753</v>
      </c>
      <c r="F10" s="3">
        <v>1518</v>
      </c>
      <c r="G10" s="3">
        <v>537.81512605042019</v>
      </c>
      <c r="H10" s="3">
        <v>-91.812192930113824</v>
      </c>
    </row>
    <row r="11" spans="1:8" x14ac:dyDescent="0.3">
      <c r="A11" s="2">
        <v>2018</v>
      </c>
      <c r="B11" s="9">
        <v>10</v>
      </c>
      <c r="C11" s="3">
        <v>25</v>
      </c>
      <c r="D11" s="3">
        <v>-28.571428571428569</v>
      </c>
      <c r="E11" s="3">
        <v>-76.294515866083444</v>
      </c>
      <c r="F11" s="3">
        <v>1567</v>
      </c>
      <c r="G11" s="3">
        <v>471.89781021897812</v>
      </c>
      <c r="H11" s="3">
        <v>-101.36800234594263</v>
      </c>
    </row>
    <row r="12" spans="1:8" x14ac:dyDescent="0.3">
      <c r="A12" s="2">
        <v>2018</v>
      </c>
      <c r="B12" s="9">
        <v>11</v>
      </c>
      <c r="C12" s="3">
        <v>28</v>
      </c>
      <c r="D12" s="3">
        <v>21.739130434782609</v>
      </c>
      <c r="E12" s="3">
        <v>-76.945485366190837</v>
      </c>
      <c r="F12" s="3">
        <v>1137</v>
      </c>
      <c r="G12" s="3">
        <v>293.42560553633217</v>
      </c>
      <c r="H12" s="3">
        <v>-110.94107986329865</v>
      </c>
    </row>
    <row r="13" spans="1:8" x14ac:dyDescent="0.3">
      <c r="A13" s="2">
        <v>2018</v>
      </c>
      <c r="B13" s="9">
        <v>12</v>
      </c>
      <c r="C13" s="3">
        <v>-39</v>
      </c>
      <c r="D13" s="3">
        <v>32.758620689655174</v>
      </c>
      <c r="E13" s="3">
        <v>-77.51113068335421</v>
      </c>
      <c r="F13" s="3">
        <v>-3188</v>
      </c>
      <c r="G13" s="3">
        <v>21.225599209290831</v>
      </c>
      <c r="H13" s="3">
        <v>-120.37366723899818</v>
      </c>
    </row>
    <row r="14" spans="1:8" x14ac:dyDescent="0.3">
      <c r="A14" s="2">
        <v>2019</v>
      </c>
      <c r="B14" s="9">
        <v>1</v>
      </c>
      <c r="C14" s="3">
        <v>0</v>
      </c>
      <c r="D14" s="3">
        <v>100</v>
      </c>
      <c r="E14" s="3">
        <v>-77.989417454619314</v>
      </c>
      <c r="F14" s="3">
        <v>-585</v>
      </c>
      <c r="G14" s="3">
        <v>41.323971915747244</v>
      </c>
      <c r="H14" s="3">
        <v>-129.47992521003806</v>
      </c>
    </row>
    <row r="15" spans="1:8" x14ac:dyDescent="0.3">
      <c r="A15" s="2">
        <v>2019</v>
      </c>
      <c r="B15" s="9">
        <v>2</v>
      </c>
      <c r="C15" s="3">
        <v>2</v>
      </c>
      <c r="D15" s="3">
        <v>118.18181818181819</v>
      </c>
      <c r="E15" s="3">
        <v>-78.370653695408791</v>
      </c>
      <c r="F15" s="3">
        <v>-526</v>
      </c>
      <c r="G15" s="3">
        <v>48.582600195503424</v>
      </c>
      <c r="H15" s="3">
        <v>-138.06418123102293</v>
      </c>
    </row>
    <row r="16" spans="1:8" x14ac:dyDescent="0.3">
      <c r="A16" s="2">
        <v>2019</v>
      </c>
      <c r="B16" s="9">
        <v>3</v>
      </c>
      <c r="C16" s="3">
        <v>-3</v>
      </c>
      <c r="D16" s="3">
        <v>85</v>
      </c>
      <c r="E16" s="3">
        <v>-78.632787044933153</v>
      </c>
      <c r="F16" s="3">
        <v>-1732</v>
      </c>
      <c r="G16" s="3">
        <v>-5.9327217125382266</v>
      </c>
      <c r="H16" s="3">
        <v>-145.91890137481258</v>
      </c>
    </row>
    <row r="17" spans="1:8" x14ac:dyDescent="0.3">
      <c r="A17" s="2">
        <v>2019</v>
      </c>
      <c r="B17" s="9">
        <v>4</v>
      </c>
      <c r="C17" s="3">
        <v>20</v>
      </c>
      <c r="D17" s="3">
        <v>162.5</v>
      </c>
      <c r="E17" s="3">
        <v>-78.740115665189222</v>
      </c>
      <c r="F17" s="3">
        <v>-2932</v>
      </c>
      <c r="G17" s="3">
        <v>-23.348758939840135</v>
      </c>
      <c r="H17" s="3">
        <v>-152.82359013222327</v>
      </c>
    </row>
    <row r="18" spans="1:8" x14ac:dyDescent="0.3">
      <c r="A18" s="2">
        <v>2019</v>
      </c>
      <c r="B18" s="9">
        <v>5</v>
      </c>
      <c r="C18" s="3">
        <v>-43</v>
      </c>
      <c r="D18" s="3">
        <v>27.118644067796609</v>
      </c>
      <c r="E18" s="3">
        <v>-78.645574330184587</v>
      </c>
      <c r="F18" s="3">
        <v>-4681</v>
      </c>
      <c r="G18" s="3">
        <v>-17.731388329979879</v>
      </c>
      <c r="H18" s="3">
        <v>-158.54803073159474</v>
      </c>
    </row>
    <row r="19" spans="1:8" x14ac:dyDescent="0.3">
      <c r="A19" s="2">
        <v>2019</v>
      </c>
      <c r="B19" s="9">
        <v>6</v>
      </c>
      <c r="C19" s="3">
        <v>-90</v>
      </c>
      <c r="D19" s="3">
        <v>16.666666666666664</v>
      </c>
      <c r="E19" s="3">
        <v>-78.285345028116751</v>
      </c>
      <c r="F19" s="3">
        <v>-8697</v>
      </c>
      <c r="G19" s="3">
        <v>-11.686143572621036</v>
      </c>
      <c r="H19" s="3">
        <v>-162.85301509354503</v>
      </c>
    </row>
    <row r="20" spans="1:8" x14ac:dyDescent="0.3">
      <c r="A20" s="2">
        <v>2019</v>
      </c>
      <c r="B20" s="9">
        <v>7</v>
      </c>
      <c r="C20" s="3">
        <v>-87</v>
      </c>
      <c r="D20" s="3">
        <v>-1187.5</v>
      </c>
      <c r="E20" s="3">
        <v>-77.588265009794469</v>
      </c>
      <c r="F20" s="3">
        <v>-3443</v>
      </c>
      <c r="G20" s="3">
        <v>-5940.3508771929819</v>
      </c>
      <c r="H20" s="3">
        <v>-165.48955620519206</v>
      </c>
    </row>
    <row r="21" spans="1:8" x14ac:dyDescent="0.3">
      <c r="A21" s="2">
        <v>2019</v>
      </c>
      <c r="B21" s="9">
        <v>8</v>
      </c>
      <c r="C21" s="3">
        <v>-71</v>
      </c>
      <c r="D21" s="3">
        <v>-321.875</v>
      </c>
      <c r="E21" s="3">
        <v>-76.476577636325487</v>
      </c>
      <c r="F21" s="3">
        <v>-3296</v>
      </c>
      <c r="G21" s="3">
        <v>-408.61423220973785</v>
      </c>
      <c r="H21" s="3">
        <v>-166.19816935424262</v>
      </c>
    </row>
    <row r="22" spans="1:8" x14ac:dyDescent="0.3">
      <c r="A22" s="2">
        <v>2019</v>
      </c>
      <c r="B22" s="9">
        <v>9</v>
      </c>
      <c r="C22" s="3">
        <v>-79</v>
      </c>
      <c r="D22" s="3">
        <v>-392.59259259259261</v>
      </c>
      <c r="E22" s="3">
        <v>-74.949603472636326</v>
      </c>
      <c r="F22" s="3">
        <v>-3851</v>
      </c>
      <c r="G22" s="3">
        <v>-353.68906455862981</v>
      </c>
      <c r="H22" s="3">
        <v>-165.12040186458324</v>
      </c>
    </row>
    <row r="23" spans="1:8" x14ac:dyDescent="0.3">
      <c r="A23" s="2">
        <v>2019</v>
      </c>
      <c r="B23" s="9">
        <v>10</v>
      </c>
      <c r="C23" s="3">
        <v>-82</v>
      </c>
      <c r="D23" s="3">
        <v>-428</v>
      </c>
      <c r="E23" s="3">
        <v>-73.023704640762105</v>
      </c>
      <c r="F23" s="3">
        <v>-4805</v>
      </c>
      <c r="G23" s="3">
        <v>-406.63688576898534</v>
      </c>
      <c r="H23" s="3">
        <v>-162.41463550890987</v>
      </c>
    </row>
    <row r="24" spans="1:8" x14ac:dyDescent="0.3">
      <c r="A24" s="2">
        <v>2019</v>
      </c>
      <c r="B24" s="9">
        <v>11</v>
      </c>
      <c r="C24" s="3">
        <v>-54</v>
      </c>
      <c r="D24" s="3">
        <v>-292.85714285714283</v>
      </c>
      <c r="E24" s="3">
        <v>-70.737301803649046</v>
      </c>
      <c r="F24" s="3">
        <v>-3411</v>
      </c>
      <c r="G24" s="3">
        <v>-400</v>
      </c>
      <c r="H24" s="3">
        <v>-158.25234710593884</v>
      </c>
    </row>
    <row r="25" spans="1:8" x14ac:dyDescent="0.3">
      <c r="A25" s="2">
        <v>2019</v>
      </c>
      <c r="B25" s="9">
        <v>12</v>
      </c>
      <c r="C25" s="3">
        <v>-137</v>
      </c>
      <c r="D25" s="3">
        <v>-251.28205128205127</v>
      </c>
      <c r="E25" s="3">
        <v>-68.153466755865551</v>
      </c>
      <c r="F25" s="3">
        <v>-7403</v>
      </c>
      <c r="G25" s="3">
        <v>-132.21455457967377</v>
      </c>
      <c r="H25" s="3">
        <v>-152.82197335287682</v>
      </c>
    </row>
    <row r="26" spans="1:8" x14ac:dyDescent="0.3">
      <c r="A26" s="2">
        <v>2020</v>
      </c>
      <c r="B26" s="9">
        <v>1</v>
      </c>
      <c r="C26" s="3">
        <v>-14</v>
      </c>
      <c r="D26" s="3">
        <v>0</v>
      </c>
      <c r="E26" s="3">
        <v>-65.350696280942074</v>
      </c>
      <c r="F26" s="3">
        <v>-871</v>
      </c>
      <c r="G26" s="3">
        <v>-48.888888888888886</v>
      </c>
      <c r="H26" s="3">
        <v>-146.32873897838149</v>
      </c>
    </row>
    <row r="27" spans="1:8" x14ac:dyDescent="0.3">
      <c r="A27" s="2">
        <v>2020</v>
      </c>
      <c r="B27" s="9">
        <v>2</v>
      </c>
      <c r="C27" s="3">
        <v>5</v>
      </c>
      <c r="D27" s="3">
        <v>150</v>
      </c>
      <c r="E27" s="3">
        <v>-62.420204425223375</v>
      </c>
      <c r="F27" s="3">
        <v>-596</v>
      </c>
      <c r="G27" s="3">
        <v>-13.307984790874524</v>
      </c>
      <c r="H27" s="3">
        <v>-138.97643764036232</v>
      </c>
    </row>
    <row r="28" spans="1:8" x14ac:dyDescent="0.3">
      <c r="A28" s="2">
        <v>2020</v>
      </c>
      <c r="B28" s="9">
        <v>3</v>
      </c>
      <c r="C28" s="3">
        <v>-1</v>
      </c>
      <c r="D28" s="3">
        <v>66.666666666666657</v>
      </c>
      <c r="E28" s="3">
        <v>-59.448666992256925</v>
      </c>
      <c r="F28" s="3">
        <v>-2542</v>
      </c>
      <c r="G28" s="3">
        <v>-46.766743648960741</v>
      </c>
      <c r="H28" s="3">
        <v>-130.96209634047258</v>
      </c>
    </row>
    <row r="29" spans="1:8" x14ac:dyDescent="0.3">
      <c r="A29" s="2">
        <v>2020</v>
      </c>
      <c r="B29" s="9">
        <v>4</v>
      </c>
      <c r="C29" s="3">
        <v>31</v>
      </c>
      <c r="D29" s="3">
        <v>55.000000000000007</v>
      </c>
      <c r="E29" s="3">
        <v>-56.508008382505132</v>
      </c>
      <c r="F29" s="3">
        <v>-484</v>
      </c>
      <c r="G29" s="3">
        <v>83.492496589358794</v>
      </c>
      <c r="H29" s="3">
        <v>-122.47401510447325</v>
      </c>
    </row>
    <row r="30" spans="1:8" x14ac:dyDescent="0.3">
      <c r="A30" s="2">
        <v>2020</v>
      </c>
      <c r="B30" s="9">
        <v>5</v>
      </c>
      <c r="C30" s="3">
        <v>-3</v>
      </c>
      <c r="D30" s="3">
        <v>93.023255813953483</v>
      </c>
      <c r="E30" s="3">
        <v>-53.661394987148512</v>
      </c>
      <c r="F30" s="3">
        <v>-1985</v>
      </c>
      <c r="G30" s="3">
        <v>57.594531083101899</v>
      </c>
      <c r="H30" s="3">
        <v>-113.6946470586328</v>
      </c>
    </row>
    <row r="31" spans="1:8" x14ac:dyDescent="0.3">
      <c r="A31" s="2">
        <v>2020</v>
      </c>
      <c r="B31" s="9">
        <v>6</v>
      </c>
      <c r="C31" s="3">
        <v>-76</v>
      </c>
      <c r="D31" s="3">
        <v>15.555555555555555</v>
      </c>
      <c r="E31" s="3">
        <v>-50.964249585674359</v>
      </c>
      <c r="F31" s="3">
        <v>-7822</v>
      </c>
      <c r="G31" s="3">
        <v>10.060940554214097</v>
      </c>
      <c r="H31" s="3">
        <v>-104.79214209924098</v>
      </c>
    </row>
    <row r="32" spans="1:8" x14ac:dyDescent="0.3">
      <c r="A32" s="2">
        <v>2020</v>
      </c>
      <c r="B32" s="9">
        <v>7</v>
      </c>
      <c r="C32" s="3">
        <v>96</v>
      </c>
      <c r="D32" s="3">
        <v>210.34482758620689</v>
      </c>
      <c r="E32" s="3">
        <v>-48.461808523486567</v>
      </c>
      <c r="F32" s="3">
        <v>2744</v>
      </c>
      <c r="G32" s="3">
        <v>179.6979378449027</v>
      </c>
      <c r="H32" s="3">
        <v>-95.922755040772159</v>
      </c>
    </row>
    <row r="33" spans="1:8" x14ac:dyDescent="0.3">
      <c r="A33" s="2">
        <v>2020</v>
      </c>
      <c r="B33" s="9">
        <v>8</v>
      </c>
      <c r="C33" s="3">
        <v>97</v>
      </c>
      <c r="D33" s="3">
        <v>236.61971830985914</v>
      </c>
      <c r="E33" s="3">
        <v>-46.194688715076438</v>
      </c>
      <c r="F33" s="3">
        <v>1469</v>
      </c>
      <c r="G33" s="3">
        <v>144.56917475728156</v>
      </c>
      <c r="H33" s="3">
        <v>-87.234764789183089</v>
      </c>
    </row>
    <row r="34" spans="1:8" x14ac:dyDescent="0.3">
      <c r="A34" s="2">
        <v>2020</v>
      </c>
      <c r="B34" s="9">
        <v>9</v>
      </c>
      <c r="C34" s="3">
        <v>106</v>
      </c>
      <c r="D34" s="3">
        <v>234.17721518987344</v>
      </c>
      <c r="E34" s="3">
        <v>-44.185534391872096</v>
      </c>
      <c r="F34" s="3">
        <v>1609</v>
      </c>
      <c r="G34" s="3">
        <v>141.78135549207997</v>
      </c>
      <c r="H34" s="3">
        <v>-78.857309924535699</v>
      </c>
    </row>
    <row r="35" spans="1:8" x14ac:dyDescent="0.3">
      <c r="A35" s="2">
        <v>2020</v>
      </c>
      <c r="B35" s="9">
        <v>10</v>
      </c>
      <c r="C35" s="3">
        <v>89</v>
      </c>
      <c r="D35" s="3">
        <v>208.53658536585365</v>
      </c>
      <c r="E35" s="3">
        <v>-42.437349895924939</v>
      </c>
      <c r="F35" s="3">
        <v>-362</v>
      </c>
      <c r="G35" s="3">
        <v>92.46618106139438</v>
      </c>
      <c r="H35" s="3">
        <v>-70.903431531090064</v>
      </c>
    </row>
    <row r="36" spans="1:8" x14ac:dyDescent="0.3">
      <c r="A36" s="2">
        <v>2020</v>
      </c>
      <c r="B36" s="9">
        <v>11</v>
      </c>
      <c r="C36" s="3">
        <v>110</v>
      </c>
      <c r="D36" s="3">
        <v>303.7037037037037</v>
      </c>
      <c r="E36" s="3">
        <v>-40.93380882278764</v>
      </c>
      <c r="F36" s="3">
        <v>1303</v>
      </c>
      <c r="G36" s="3">
        <v>138.19994136616828</v>
      </c>
      <c r="H36" s="3">
        <v>-63.470848563563464</v>
      </c>
    </row>
    <row r="37" spans="1:8" x14ac:dyDescent="0.3">
      <c r="A37" s="2">
        <v>2020</v>
      </c>
      <c r="B37" s="9">
        <v>12</v>
      </c>
      <c r="C37" s="3">
        <v>48</v>
      </c>
      <c r="D37" s="3">
        <v>135.03649635036496</v>
      </c>
      <c r="E37" s="3">
        <v>-39.641156022508575</v>
      </c>
      <c r="F37" s="3">
        <v>-2168</v>
      </c>
      <c r="G37" s="3">
        <v>70.714575172227484</v>
      </c>
      <c r="H37" s="3">
        <v>-56.645934864687582</v>
      </c>
    </row>
    <row r="38" spans="1:8" x14ac:dyDescent="0.3">
      <c r="A38" s="2">
        <v>2021</v>
      </c>
      <c r="B38" s="9">
        <v>1</v>
      </c>
      <c r="C38" s="3">
        <v>-13</v>
      </c>
      <c r="D38" s="3">
        <v>7.1428571428571423</v>
      </c>
      <c r="E38" s="3">
        <v>-38.501703184543999</v>
      </c>
      <c r="F38" s="3">
        <v>-1195</v>
      </c>
      <c r="G38" s="3">
        <v>-37.198622273249136</v>
      </c>
      <c r="H38" s="3">
        <v>-50.501059361226737</v>
      </c>
    </row>
    <row r="39" spans="1:8" x14ac:dyDescent="0.3">
      <c r="A39" s="2">
        <v>2021</v>
      </c>
      <c r="B39" s="9">
        <v>2</v>
      </c>
      <c r="C39" s="3">
        <v>-14</v>
      </c>
      <c r="D39" s="3">
        <v>-380</v>
      </c>
      <c r="E39" s="3">
        <v>-37.445631605824268</v>
      </c>
      <c r="F39" s="3">
        <v>-1292</v>
      </c>
      <c r="G39" s="3">
        <v>-116.77852348993289</v>
      </c>
      <c r="H39" s="3">
        <v>-45.099746500081579</v>
      </c>
    </row>
    <row r="40" spans="1:8" x14ac:dyDescent="0.3">
      <c r="A40" s="2">
        <v>2021</v>
      </c>
      <c r="B40" s="9">
        <v>3</v>
      </c>
      <c r="C40" s="3">
        <v>-14</v>
      </c>
      <c r="D40" s="3">
        <v>-1300</v>
      </c>
      <c r="E40" s="3">
        <v>-36.399952822145899</v>
      </c>
      <c r="F40" s="3">
        <v>-3398</v>
      </c>
      <c r="G40" s="3">
        <v>-33.674272226593231</v>
      </c>
      <c r="H40" s="3">
        <v>-40.504596947799428</v>
      </c>
    </row>
    <row r="41" spans="1:8" x14ac:dyDescent="0.3">
      <c r="A41" s="2">
        <v>2021</v>
      </c>
      <c r="B41" s="9">
        <v>4</v>
      </c>
      <c r="C41" s="3">
        <v>-58</v>
      </c>
      <c r="D41" s="3">
        <v>-287.09677419354841</v>
      </c>
      <c r="E41" s="3">
        <v>-35.315466867110551</v>
      </c>
      <c r="F41" s="3">
        <v>-3662</v>
      </c>
      <c r="G41" s="3">
        <v>-656.61157024793386</v>
      </c>
      <c r="H41" s="3">
        <v>-36.783189063774124</v>
      </c>
    </row>
    <row r="42" spans="1:8" x14ac:dyDescent="0.3">
      <c r="A42" s="2">
        <v>2021</v>
      </c>
      <c r="B42" s="9">
        <v>5</v>
      </c>
      <c r="C42" s="3">
        <v>-23</v>
      </c>
      <c r="D42" s="3">
        <v>-666.66666666666674</v>
      </c>
      <c r="E42" s="3">
        <v>-34.230723777596126</v>
      </c>
      <c r="F42" s="3">
        <v>-2685</v>
      </c>
      <c r="G42" s="3">
        <v>-35.264483627204029</v>
      </c>
      <c r="H42" s="3">
        <v>-34.002626879293864</v>
      </c>
    </row>
    <row r="43" spans="1:8" x14ac:dyDescent="0.3">
      <c r="A43" s="2">
        <v>2021</v>
      </c>
      <c r="B43" s="9">
        <v>6</v>
      </c>
      <c r="C43" s="3">
        <v>-70</v>
      </c>
      <c r="D43" s="3">
        <v>7.8947368421052628</v>
      </c>
      <c r="E43" s="3">
        <v>-33.201758403489301</v>
      </c>
      <c r="F43" s="3">
        <v>-8676</v>
      </c>
      <c r="G43" s="3">
        <v>-10.917923804653542</v>
      </c>
      <c r="H43" s="3">
        <v>-32.27305806322908</v>
      </c>
    </row>
    <row r="44" spans="1:8" x14ac:dyDescent="0.3">
      <c r="A44" s="2">
        <v>2021</v>
      </c>
      <c r="B44" s="9">
        <v>7</v>
      </c>
      <c r="C44" s="3">
        <v>25</v>
      </c>
      <c r="D44" s="3">
        <v>-73.958333333333343</v>
      </c>
      <c r="E44" s="3">
        <v>-32.32852475737738</v>
      </c>
      <c r="F44" s="3">
        <v>942</v>
      </c>
      <c r="G44" s="3">
        <v>-65.670553935860056</v>
      </c>
      <c r="H44" s="3">
        <v>-31.704717913391022</v>
      </c>
    </row>
    <row r="45" spans="1:8" x14ac:dyDescent="0.3">
      <c r="A45" s="2">
        <v>2021</v>
      </c>
      <c r="B45" s="9">
        <v>8</v>
      </c>
      <c r="C45" s="3">
        <v>17</v>
      </c>
      <c r="D45" s="3">
        <v>-82.474226804123703</v>
      </c>
      <c r="E45" s="3">
        <v>-31.708122928566731</v>
      </c>
      <c r="F45" s="3">
        <v>1642</v>
      </c>
      <c r="G45" s="3">
        <v>11.776718856364875</v>
      </c>
      <c r="H45" s="3">
        <v>-32.40635873215632</v>
      </c>
    </row>
    <row r="46" spans="1:8" x14ac:dyDescent="0.3">
      <c r="A46" s="2">
        <v>2021</v>
      </c>
      <c r="B46" s="9">
        <v>9</v>
      </c>
      <c r="C46" s="3">
        <v>163</v>
      </c>
      <c r="D46" s="3">
        <v>53.773584905660378</v>
      </c>
      <c r="E46" s="3">
        <v>-31.440543965292591</v>
      </c>
      <c r="F46" s="3">
        <v>8753</v>
      </c>
      <c r="G46" s="3">
        <v>444.00248601615908</v>
      </c>
      <c r="H46" s="3">
        <v>-34.489091560514268</v>
      </c>
    </row>
    <row r="47" spans="1:8" x14ac:dyDescent="0.3">
      <c r="A47" s="2">
        <v>2021</v>
      </c>
      <c r="B47" s="9">
        <v>10</v>
      </c>
      <c r="C47" s="3">
        <v>235</v>
      </c>
      <c r="D47" s="3">
        <v>164.04494382022472</v>
      </c>
      <c r="E47" s="3">
        <v>-31.629304339670458</v>
      </c>
      <c r="F47" s="3">
        <v>12461</v>
      </c>
      <c r="G47" s="3">
        <v>3542.2651933701659</v>
      </c>
      <c r="H47" s="3">
        <v>-38.060959170177185</v>
      </c>
    </row>
    <row r="48" spans="1:8" x14ac:dyDescent="0.3">
      <c r="A48" s="2">
        <v>2021</v>
      </c>
      <c r="B48" s="9">
        <v>11</v>
      </c>
      <c r="C48" s="3">
        <v>230</v>
      </c>
      <c r="D48" s="3">
        <v>109.09090909090908</v>
      </c>
      <c r="E48" s="3">
        <v>-32.372002875977557</v>
      </c>
      <c r="F48" s="3">
        <v>8738</v>
      </c>
      <c r="G48" s="3">
        <v>570.60629316960853</v>
      </c>
      <c r="H48" s="3">
        <v>-43.196775751081219</v>
      </c>
    </row>
    <row r="49" spans="1:8" x14ac:dyDescent="0.3">
      <c r="A49" s="2">
        <v>2021</v>
      </c>
      <c r="B49" s="9">
        <v>12</v>
      </c>
      <c r="C49" s="3">
        <v>120</v>
      </c>
      <c r="D49" s="3">
        <v>150</v>
      </c>
      <c r="E49" s="3">
        <v>-33.752649909035561</v>
      </c>
      <c r="F49" s="3">
        <v>-337</v>
      </c>
      <c r="G49" s="3">
        <v>84.455719557195579</v>
      </c>
      <c r="H49" s="3">
        <v>-49.72272173256944</v>
      </c>
    </row>
    <row r="50" spans="1:8" x14ac:dyDescent="0.3">
      <c r="A50" s="2">
        <v>2022</v>
      </c>
      <c r="B50" s="9">
        <v>1</v>
      </c>
      <c r="C50" s="3">
        <v>6</v>
      </c>
      <c r="D50" s="3">
        <v>146.15384615384613</v>
      </c>
      <c r="E50" s="3">
        <v>-35.845431960335112</v>
      </c>
      <c r="F50" s="3">
        <v>-808</v>
      </c>
      <c r="G50" s="3">
        <v>32.38493723849372</v>
      </c>
      <c r="H50" s="3">
        <v>-57.422352330865429</v>
      </c>
    </row>
    <row r="51" spans="1:8" x14ac:dyDescent="0.3">
      <c r="A51" s="2">
        <v>2022</v>
      </c>
      <c r="B51" s="9">
        <v>2</v>
      </c>
      <c r="C51" s="3">
        <v>-5</v>
      </c>
      <c r="D51" s="3">
        <v>64.285714285714292</v>
      </c>
      <c r="E51" s="3">
        <v>-38.711774950678731</v>
      </c>
      <c r="F51" s="3">
        <v>-1254</v>
      </c>
      <c r="G51" s="3">
        <v>2.9411764705882351</v>
      </c>
      <c r="H51" s="3">
        <v>-66.069904814880985</v>
      </c>
    </row>
    <row r="52" spans="1:8" x14ac:dyDescent="0.3">
      <c r="A52" s="2">
        <v>2022</v>
      </c>
      <c r="B52" s="9">
        <v>3</v>
      </c>
      <c r="C52" s="3">
        <v>51</v>
      </c>
      <c r="D52" s="3">
        <v>464.28571428571433</v>
      </c>
      <c r="E52" s="3">
        <v>-42.400465962111006</v>
      </c>
      <c r="F52" s="3">
        <v>289</v>
      </c>
      <c r="G52" s="3">
        <v>108.50500294290759</v>
      </c>
      <c r="H52" s="3">
        <v>-75.433379836196707</v>
      </c>
    </row>
    <row r="53" spans="1:8" x14ac:dyDescent="0.3">
      <c r="A53" s="2">
        <v>2022</v>
      </c>
      <c r="B53" s="9">
        <v>4</v>
      </c>
      <c r="C53" s="3">
        <v>21</v>
      </c>
      <c r="D53" s="3">
        <v>136.20689655172413</v>
      </c>
      <c r="E53" s="3">
        <v>-46.953139473257337</v>
      </c>
      <c r="F53" s="3">
        <v>-1803</v>
      </c>
      <c r="G53" s="3">
        <v>50.764609503003818</v>
      </c>
      <c r="H53" s="3">
        <v>-85.275985610192805</v>
      </c>
    </row>
    <row r="54" spans="1:8" x14ac:dyDescent="0.3">
      <c r="A54" s="2">
        <v>2022</v>
      </c>
      <c r="B54" s="9">
        <v>5</v>
      </c>
      <c r="C54" s="3">
        <v>18</v>
      </c>
      <c r="D54" s="3">
        <v>178.26086956521738</v>
      </c>
      <c r="E54" s="3">
        <v>-52.376243422448141</v>
      </c>
      <c r="F54" s="3">
        <v>-2922</v>
      </c>
      <c r="G54" s="3">
        <v>-8.8268156424581008</v>
      </c>
      <c r="H54" s="3">
        <v>-95.348156853445388</v>
      </c>
    </row>
    <row r="55" spans="1:8" x14ac:dyDescent="0.3">
      <c r="A55" s="2">
        <v>2022</v>
      </c>
      <c r="B55" s="9">
        <v>6</v>
      </c>
      <c r="C55" s="3">
        <v>-56</v>
      </c>
      <c r="D55" s="3">
        <v>20</v>
      </c>
      <c r="E55" s="3">
        <v>-58.663506301067649</v>
      </c>
      <c r="F55" s="3">
        <v>-8944</v>
      </c>
      <c r="G55" s="3">
        <v>-3.0889810972798526</v>
      </c>
      <c r="H55" s="3">
        <v>-105.39088101898105</v>
      </c>
    </row>
    <row r="56" spans="1:8" x14ac:dyDescent="0.3">
      <c r="A56" s="2">
        <v>2022</v>
      </c>
      <c r="B56" s="9">
        <v>7</v>
      </c>
      <c r="C56" s="3">
        <v>-27</v>
      </c>
      <c r="D56" s="3">
        <v>-208</v>
      </c>
      <c r="E56" s="3">
        <v>-65.792640134320393</v>
      </c>
      <c r="F56" s="3">
        <v>-4798</v>
      </c>
      <c r="G56" s="3">
        <v>-609.34182590233547</v>
      </c>
      <c r="H56" s="3">
        <v>-115.13913713335337</v>
      </c>
    </row>
    <row r="57" spans="1:8" x14ac:dyDescent="0.3">
      <c r="A57" s="2">
        <v>2022</v>
      </c>
      <c r="B57" s="9">
        <v>8</v>
      </c>
      <c r="C57" s="3">
        <v>-4</v>
      </c>
      <c r="D57" s="3">
        <v>-123.52941176470588</v>
      </c>
      <c r="E57" s="3">
        <v>-73.735894203917766</v>
      </c>
      <c r="F57" s="3">
        <v>-4365</v>
      </c>
      <c r="G57" s="3">
        <v>-365.83434835566379</v>
      </c>
      <c r="H57" s="3">
        <v>-124.32079992451028</v>
      </c>
    </row>
    <row r="58" spans="1:8" x14ac:dyDescent="0.3">
      <c r="A58" s="2">
        <v>2022</v>
      </c>
      <c r="B58" s="9">
        <v>9</v>
      </c>
      <c r="C58" s="3">
        <v>-2</v>
      </c>
      <c r="D58" s="3">
        <v>-101.22699386503066</v>
      </c>
      <c r="E58" s="3">
        <v>-82.475393302672956</v>
      </c>
      <c r="F58" s="3">
        <v>-6238</v>
      </c>
      <c r="G58" s="3">
        <v>-171.26699417342627</v>
      </c>
      <c r="H58" s="3">
        <v>-132.69806375156421</v>
      </c>
    </row>
    <row r="59" spans="1:8" x14ac:dyDescent="0.3">
      <c r="A59" s="2">
        <v>2022</v>
      </c>
      <c r="B59" s="9">
        <v>10</v>
      </c>
      <c r="C59" s="3">
        <v>-5</v>
      </c>
      <c r="D59" s="3">
        <v>-102.12765957446808</v>
      </c>
      <c r="E59" s="3">
        <v>-91.99672010656306</v>
      </c>
      <c r="F59" s="3">
        <v>-6193</v>
      </c>
      <c r="G59" s="3">
        <v>-149.6990610705401</v>
      </c>
      <c r="H59" s="3">
        <v>-140.04989474782414</v>
      </c>
    </row>
    <row r="60" spans="1:8" x14ac:dyDescent="0.3">
      <c r="A60" s="2">
        <v>2022</v>
      </c>
      <c r="B60" s="9">
        <v>11</v>
      </c>
      <c r="C60" s="3">
        <v>14</v>
      </c>
      <c r="D60" s="3">
        <v>-93.913043478260875</v>
      </c>
      <c r="E60" s="3">
        <v>-102.28675948604869</v>
      </c>
      <c r="F60" s="3">
        <v>-7975</v>
      </c>
      <c r="G60" s="3">
        <v>-191.26802471961548</v>
      </c>
      <c r="H60" s="3">
        <v>-146.15793744454507</v>
      </c>
    </row>
    <row r="61" spans="1:8" x14ac:dyDescent="0.3">
      <c r="A61" s="2">
        <v>2022</v>
      </c>
      <c r="B61" s="9">
        <v>12</v>
      </c>
      <c r="C61" s="3">
        <v>-65</v>
      </c>
      <c r="D61" s="3">
        <v>-154.16666666666669</v>
      </c>
      <c r="E61" s="3">
        <v>-113.33309984905353</v>
      </c>
      <c r="F61" s="3">
        <v>-15201</v>
      </c>
      <c r="G61" s="3">
        <v>-4410.6824925816018</v>
      </c>
      <c r="H61" s="3">
        <v>-150.80450645397661</v>
      </c>
    </row>
    <row r="62" spans="1:8" x14ac:dyDescent="0.3">
      <c r="A62" s="2">
        <v>2023</v>
      </c>
      <c r="B62" s="9">
        <v>1</v>
      </c>
      <c r="C62" s="3">
        <v>9</v>
      </c>
      <c r="D62" s="3">
        <v>50</v>
      </c>
      <c r="E62" s="3">
        <v>-125.1227480954451</v>
      </c>
      <c r="F62" s="3">
        <v>-1037</v>
      </c>
      <c r="G62" s="3">
        <v>-28.341584158415838</v>
      </c>
      <c r="H62" s="3">
        <v>-153.77504903331803</v>
      </c>
    </row>
    <row r="63" spans="1:8" x14ac:dyDescent="0.3">
      <c r="A63" s="2">
        <v>2023</v>
      </c>
      <c r="B63" s="9">
        <v>2</v>
      </c>
      <c r="C63" s="3">
        <v>1</v>
      </c>
      <c r="D63" s="3">
        <v>120</v>
      </c>
      <c r="E63" s="3">
        <v>-137.64554678945331</v>
      </c>
      <c r="F63" s="3">
        <v>-1413</v>
      </c>
      <c r="G63" s="3">
        <v>-12.679425837320574</v>
      </c>
      <c r="H63" s="3">
        <v>-155.1508372999163</v>
      </c>
    </row>
    <row r="64" spans="1:8" x14ac:dyDescent="0.3">
      <c r="A64" s="2">
        <v>2023</v>
      </c>
      <c r="B64" s="9">
        <v>3</v>
      </c>
      <c r="C64" s="3">
        <v>-7</v>
      </c>
      <c r="D64" s="3">
        <v>-113.72549019607843</v>
      </c>
      <c r="E64" s="3">
        <v>-150.87917719335695</v>
      </c>
      <c r="F64" s="3">
        <v>-3192</v>
      </c>
      <c r="G64" s="3">
        <v>-1204.4982698961937</v>
      </c>
      <c r="H64" s="3">
        <v>-155.00443271383548</v>
      </c>
    </row>
    <row r="65" spans="1:8" x14ac:dyDescent="0.3">
      <c r="A65" s="2">
        <v>2023</v>
      </c>
      <c r="B65" s="9">
        <v>4</v>
      </c>
      <c r="C65" s="3">
        <v>1</v>
      </c>
      <c r="D65" s="3">
        <v>-95.238095238095227</v>
      </c>
      <c r="E65" s="3">
        <v>-164.78342851757449</v>
      </c>
      <c r="F65" s="3">
        <v>-4742</v>
      </c>
      <c r="G65" s="3">
        <v>-163.00610094287299</v>
      </c>
      <c r="H65" s="3">
        <v>-153.39850288712137</v>
      </c>
    </row>
    <row r="66" spans="1:8" x14ac:dyDescent="0.3">
      <c r="A66" s="2">
        <v>2023</v>
      </c>
      <c r="B66" s="9">
        <v>5</v>
      </c>
      <c r="C66" s="3">
        <v>-31</v>
      </c>
      <c r="D66" s="3">
        <v>-272.22222222222223</v>
      </c>
      <c r="E66" s="3">
        <v>-179.31550985537177</v>
      </c>
      <c r="F66" s="3">
        <v>-7777</v>
      </c>
      <c r="G66" s="3">
        <v>-166.1533196440794</v>
      </c>
      <c r="H66" s="3">
        <v>-150.46859694829075</v>
      </c>
    </row>
    <row r="67" spans="1:8" x14ac:dyDescent="0.3">
      <c r="A67" s="2">
        <v>2023</v>
      </c>
      <c r="B67" s="9">
        <v>6</v>
      </c>
      <c r="C67" s="3">
        <v>-103</v>
      </c>
      <c r="D67" s="3">
        <v>-83.928571428571431</v>
      </c>
      <c r="E67" s="3">
        <v>-194.42780076298138</v>
      </c>
      <c r="F67" s="3">
        <v>-13957</v>
      </c>
      <c r="G67" s="3">
        <v>-56.048747763864036</v>
      </c>
      <c r="H67" s="3">
        <v>-146.35093122016988</v>
      </c>
    </row>
    <row r="68" spans="1:8" x14ac:dyDescent="0.3">
      <c r="A68" s="2">
        <v>2023</v>
      </c>
      <c r="B68" s="9">
        <v>7</v>
      </c>
      <c r="C68" s="3">
        <v>19</v>
      </c>
      <c r="D68" s="3">
        <v>170.37037037037038</v>
      </c>
      <c r="E68" s="3">
        <v>-210.07913265166135</v>
      </c>
      <c r="F68" s="3">
        <v>-3282</v>
      </c>
      <c r="G68" s="3">
        <v>31.596498541058775</v>
      </c>
      <c r="H68" s="3">
        <v>-141.1828112424389</v>
      </c>
    </row>
    <row r="69" spans="1:8" x14ac:dyDescent="0.3">
      <c r="A69" s="2">
        <v>2023</v>
      </c>
      <c r="B69" s="9">
        <v>8</v>
      </c>
      <c r="C69" s="3">
        <v>76</v>
      </c>
      <c r="D69" s="3">
        <v>2000</v>
      </c>
      <c r="E69" s="3">
        <v>-226.22066337507712</v>
      </c>
      <c r="F69" s="3">
        <v>-1906</v>
      </c>
      <c r="G69" s="3">
        <v>56.334478808705612</v>
      </c>
      <c r="H69" s="3">
        <v>-135.09527156981571</v>
      </c>
    </row>
    <row r="70" spans="1:8" x14ac:dyDescent="0.3">
      <c r="A70" s="2">
        <v>2023</v>
      </c>
      <c r="B70" s="9">
        <v>9</v>
      </c>
      <c r="C70" s="3">
        <v>53</v>
      </c>
      <c r="D70" s="3">
        <v>2750</v>
      </c>
      <c r="E70" s="3">
        <v>-242.77713068251759</v>
      </c>
      <c r="F70" s="3">
        <v>-3398</v>
      </c>
      <c r="G70" s="3">
        <v>45.527412632253927</v>
      </c>
      <c r="H70" s="3">
        <v>-128.20734819383881</v>
      </c>
    </row>
    <row r="71" spans="1:8" x14ac:dyDescent="0.3">
      <c r="A71" s="2">
        <v>2023</v>
      </c>
      <c r="B71" s="9">
        <v>10</v>
      </c>
      <c r="C71" s="3">
        <v>57</v>
      </c>
      <c r="D71" s="3">
        <v>1240</v>
      </c>
      <c r="E71" s="3">
        <v>-259.51867366609287</v>
      </c>
      <c r="F71" s="3">
        <v>-3687</v>
      </c>
      <c r="G71" s="3">
        <v>40.465041175520753</v>
      </c>
      <c r="H71" s="3">
        <v>-120.62478337338153</v>
      </c>
    </row>
    <row r="72" spans="1:8" x14ac:dyDescent="0.3">
      <c r="A72" s="2">
        <v>2023</v>
      </c>
      <c r="B72" s="9">
        <v>11</v>
      </c>
      <c r="C72" s="3">
        <v>64</v>
      </c>
      <c r="D72" s="3">
        <v>357.14285714285717</v>
      </c>
      <c r="E72" s="3">
        <v>-276.00759967272677</v>
      </c>
      <c r="F72" s="3">
        <v>-5983</v>
      </c>
      <c r="G72" s="3">
        <v>24.978056426332287</v>
      </c>
      <c r="H72" s="3">
        <v>-112.44125445337097</v>
      </c>
    </row>
    <row r="73" spans="1:8" x14ac:dyDescent="0.3">
      <c r="A73" s="2">
        <v>2023</v>
      </c>
      <c r="B73" s="9">
        <v>12</v>
      </c>
      <c r="C73" s="3">
        <v>11</v>
      </c>
      <c r="D73" s="3">
        <v>116.92307692307693</v>
      </c>
      <c r="E73" s="3">
        <v>-291.70208280811636</v>
      </c>
      <c r="F73" s="3">
        <v>-13726</v>
      </c>
      <c r="G73" s="3">
        <v>9.7033089928294203</v>
      </c>
      <c r="H73" s="3">
        <v>-103.73925198536278</v>
      </c>
    </row>
    <row r="74" spans="1:8" x14ac:dyDescent="0.3">
      <c r="A74" s="2">
        <v>2024</v>
      </c>
      <c r="B74" s="9">
        <v>1</v>
      </c>
      <c r="C74" s="3">
        <v>-29</v>
      </c>
      <c r="D74" s="3">
        <v>-422.22222222222223</v>
      </c>
      <c r="E74" s="3">
        <v>-306.01632839623545</v>
      </c>
      <c r="F74" s="3">
        <v>-1784</v>
      </c>
      <c r="G74" s="3">
        <v>-72.034715525554489</v>
      </c>
      <c r="H74" s="3">
        <v>-94.591723513212656</v>
      </c>
    </row>
    <row r="75" spans="1:8" x14ac:dyDescent="0.3">
      <c r="A75" s="2">
        <v>2024</v>
      </c>
      <c r="B75" s="9">
        <v>2</v>
      </c>
      <c r="C75" s="3">
        <v>-39</v>
      </c>
      <c r="D75" s="3">
        <v>-4000</v>
      </c>
      <c r="E75" s="3">
        <v>-318.33616501385421</v>
      </c>
      <c r="F75" s="3">
        <v>-3645</v>
      </c>
      <c r="G75" s="3">
        <v>-157.96178343949046</v>
      </c>
      <c r="H75" s="3">
        <v>-85.063738625152766</v>
      </c>
    </row>
    <row r="76" spans="1:8" x14ac:dyDescent="0.3">
      <c r="A76" s="2">
        <v>2024</v>
      </c>
      <c r="B76" s="9">
        <v>3</v>
      </c>
      <c r="C76" s="3">
        <v>-91</v>
      </c>
      <c r="D76" s="3">
        <v>-1200</v>
      </c>
      <c r="E76" s="3">
        <v>-328.0554910914808</v>
      </c>
      <c r="F76" s="3">
        <v>-5834</v>
      </c>
      <c r="G76" s="3">
        <v>-82.769423558897245</v>
      </c>
      <c r="H76" s="3">
        <v>-75.218800450527283</v>
      </c>
    </row>
    <row r="77" spans="1:8" x14ac:dyDescent="0.3">
      <c r="A77" s="2">
        <v>2024</v>
      </c>
      <c r="B77" s="9">
        <v>4</v>
      </c>
      <c r="C77" s="3">
        <v>-106</v>
      </c>
      <c r="D77" s="3">
        <v>-10700</v>
      </c>
      <c r="E77" s="3">
        <v>-334.82387615927513</v>
      </c>
      <c r="F77" s="3">
        <v>-7684</v>
      </c>
      <c r="G77" s="3">
        <v>-62.041332770982706</v>
      </c>
      <c r="H77" s="3">
        <v>-65.125474482903584</v>
      </c>
    </row>
    <row r="78" spans="1:8" x14ac:dyDescent="0.3">
      <c r="A78" s="2">
        <v>2024</v>
      </c>
      <c r="B78" s="9">
        <v>5</v>
      </c>
      <c r="C78" s="3">
        <v>-114</v>
      </c>
      <c r="D78" s="3">
        <v>-267.74193548387098</v>
      </c>
      <c r="E78" s="3">
        <v>-338.35144144940466</v>
      </c>
      <c r="F78" s="3">
        <v>-10286</v>
      </c>
      <c r="G78" s="3">
        <v>-32.261797608332259</v>
      </c>
      <c r="H78" s="3">
        <v>-54.852850564676018</v>
      </c>
    </row>
    <row r="79" spans="1:8" x14ac:dyDescent="0.3">
      <c r="A79" s="2">
        <v>2024</v>
      </c>
      <c r="B79" s="9">
        <v>6</v>
      </c>
      <c r="C79" s="3">
        <v>-200</v>
      </c>
      <c r="D79" s="3">
        <v>-94.174757281553397</v>
      </c>
      <c r="E79" s="3">
        <v>-339.06811209152585</v>
      </c>
      <c r="F79" s="3">
        <v>-16283</v>
      </c>
      <c r="G79" s="3">
        <v>-16.665472522748441</v>
      </c>
      <c r="H79" s="3">
        <v>-44.469804361731164</v>
      </c>
    </row>
    <row r="80" spans="1:8" x14ac:dyDescent="0.3">
      <c r="A80" s="2">
        <v>2024</v>
      </c>
      <c r="B80" s="9">
        <v>7</v>
      </c>
      <c r="C80" s="3">
        <v>58</v>
      </c>
      <c r="D80" s="3">
        <v>205.26315789473685</v>
      </c>
      <c r="E80" s="3">
        <v>-337.39890977738077</v>
      </c>
      <c r="F80" s="3">
        <v>-244</v>
      </c>
      <c r="G80" s="3">
        <v>92.565508836075566</v>
      </c>
      <c r="H80" s="3">
        <v>-34.043642716833631</v>
      </c>
    </row>
    <row r="81" spans="1:8" x14ac:dyDescent="0.3">
      <c r="A81" s="2">
        <v>2024</v>
      </c>
      <c r="B81" s="9">
        <v>8</v>
      </c>
      <c r="C81" s="3">
        <v>85</v>
      </c>
      <c r="D81" s="3">
        <v>11.842105263157894</v>
      </c>
      <c r="E81" s="3">
        <v>-333.75184971573867</v>
      </c>
      <c r="F81" s="3">
        <v>1496</v>
      </c>
      <c r="G81" s="3">
        <v>178.48898216159498</v>
      </c>
      <c r="H81" s="3">
        <v>-23.639741616370323</v>
      </c>
    </row>
    <row r="82" spans="1:8" x14ac:dyDescent="0.3">
      <c r="A82" s="2">
        <v>2024</v>
      </c>
      <c r="B82" s="9">
        <v>9</v>
      </c>
      <c r="C82" s="3">
        <v>190</v>
      </c>
      <c r="D82" s="3">
        <v>258.49056603773585</v>
      </c>
      <c r="E82" s="3">
        <v>-328.49726224955816</v>
      </c>
      <c r="F82" s="3">
        <v>7401</v>
      </c>
      <c r="G82" s="3">
        <v>317.80459093584466</v>
      </c>
      <c r="H82" s="3">
        <v>-13.314684744536958</v>
      </c>
    </row>
    <row r="83" spans="1:8" x14ac:dyDescent="0.3">
      <c r="A83" s="2">
        <v>2024</v>
      </c>
      <c r="B83" s="9">
        <v>10</v>
      </c>
      <c r="C83" s="3">
        <v>232</v>
      </c>
      <c r="D83" s="3">
        <v>307.01754385964915</v>
      </c>
      <c r="E83" s="3">
        <v>-321.98147814159103</v>
      </c>
      <c r="F83" s="3">
        <v>7785</v>
      </c>
      <c r="G83" s="3">
        <v>311.14727420667208</v>
      </c>
      <c r="H83" s="3">
        <v>-3.1110190686002381</v>
      </c>
    </row>
    <row r="84" spans="1:8" x14ac:dyDescent="0.3">
      <c r="A84" s="2">
        <v>2024</v>
      </c>
      <c r="B84" s="9">
        <v>11</v>
      </c>
      <c r="C84" s="3">
        <v>227</v>
      </c>
      <c r="D84" s="3">
        <v>254.6875</v>
      </c>
      <c r="E84" s="3">
        <v>-314.51006511095795</v>
      </c>
      <c r="F84" s="3">
        <v>7865</v>
      </c>
      <c r="G84" s="3">
        <v>231.45579140899213</v>
      </c>
      <c r="H84" s="3">
        <v>6.9517028383176127</v>
      </c>
    </row>
    <row r="85" spans="1:8" x14ac:dyDescent="0.3">
      <c r="A85" s="2">
        <v>2024</v>
      </c>
      <c r="B85" s="9">
        <v>12</v>
      </c>
      <c r="C85" s="3">
        <v>135</v>
      </c>
      <c r="D85" s="3">
        <v>1127.2727272727273</v>
      </c>
      <c r="E85" s="3">
        <v>-306.34491038914069</v>
      </c>
      <c r="F85" s="3">
        <v>-1925</v>
      </c>
      <c r="G85" s="3">
        <v>85.975520909223363</v>
      </c>
      <c r="H85" s="3">
        <v>16.875751895682928</v>
      </c>
    </row>
    <row r="86" spans="1:8" x14ac:dyDescent="0.3">
      <c r="A86" s="2">
        <v>2025</v>
      </c>
      <c r="B86" s="9">
        <v>1</v>
      </c>
      <c r="C86" s="3">
        <v>-10</v>
      </c>
      <c r="D86" s="3">
        <v>65.517241379310349</v>
      </c>
      <c r="E86" s="3">
        <v>-297.70837359893272</v>
      </c>
      <c r="F86" s="3">
        <v>-1308</v>
      </c>
      <c r="G86" s="3">
        <v>26.681614349775785</v>
      </c>
      <c r="H86" s="3">
        <v>26.67898958466834</v>
      </c>
    </row>
    <row r="87" spans="1:8" x14ac:dyDescent="0.3">
      <c r="A87" s="2">
        <v>2025</v>
      </c>
      <c r="B87" s="9">
        <v>2</v>
      </c>
      <c r="C87" s="3">
        <v>-75</v>
      </c>
      <c r="D87" s="3">
        <v>-92.307692307692307</v>
      </c>
      <c r="E87" s="3">
        <v>-288.72325758273433</v>
      </c>
      <c r="F87" s="3">
        <v>-2880</v>
      </c>
      <c r="G87" s="3">
        <v>20.987654320987652</v>
      </c>
      <c r="H87" s="3">
        <v>36.384075981516865</v>
      </c>
    </row>
    <row r="88" spans="1:8" x14ac:dyDescent="0.3">
      <c r="A88" s="2">
        <v>2025</v>
      </c>
      <c r="B88" s="9">
        <v>3</v>
      </c>
      <c r="C88" s="3">
        <v>-99</v>
      </c>
      <c r="D88" s="3">
        <v>-8.791208791208792</v>
      </c>
      <c r="E88" s="3">
        <v>-279.4871411819056</v>
      </c>
      <c r="F88" s="3">
        <v>-4918</v>
      </c>
      <c r="G88" s="3">
        <v>15.70106273568735</v>
      </c>
      <c r="H88" s="3">
        <v>46.013671344746868</v>
      </c>
    </row>
    <row r="89" spans="1:8" x14ac:dyDescent="0.3">
      <c r="A89" s="2">
        <v>2025</v>
      </c>
      <c r="B89" s="9">
        <v>4</v>
      </c>
      <c r="C89" s="3">
        <v>-144</v>
      </c>
      <c r="D89" s="3">
        <v>-35.849056603773583</v>
      </c>
      <c r="E89" s="3">
        <v>-270.08396326799578</v>
      </c>
      <c r="F89" s="3">
        <v>-7420</v>
      </c>
      <c r="G89" s="3">
        <v>3.4357105674128059</v>
      </c>
      <c r="H89" s="3">
        <v>55.589366736928056</v>
      </c>
    </row>
    <row r="90" spans="1:8" x14ac:dyDescent="0.3">
      <c r="A90" s="2">
        <v>2025</v>
      </c>
      <c r="B90" s="9">
        <v>5</v>
      </c>
      <c r="C90" s="3">
        <v>-165</v>
      </c>
      <c r="D90" s="3">
        <v>-44.736842105263158</v>
      </c>
      <c r="E90" s="3">
        <v>-260.57886438391597</v>
      </c>
      <c r="F90" s="3">
        <v>-9995</v>
      </c>
      <c r="G90" s="3">
        <v>2.8290880808866419</v>
      </c>
      <c r="H90" s="3">
        <v>65.130648178365632</v>
      </c>
    </row>
    <row r="91" spans="1:8" x14ac:dyDescent="0.3">
      <c r="A91" s="2">
        <v>2025</v>
      </c>
      <c r="B91" s="2">
        <v>6</v>
      </c>
      <c r="C91" s="3">
        <v>-278</v>
      </c>
      <c r="D91" s="3">
        <v>-39</v>
      </c>
      <c r="E91" s="3">
        <v>-251.02071875961443</v>
      </c>
      <c r="F91" s="3">
        <v>-14739</v>
      </c>
      <c r="G91" s="3">
        <v>9.4822821347417552</v>
      </c>
      <c r="H91" s="3">
        <v>74.653379907686357</v>
      </c>
    </row>
    <row r="92" spans="1:8" x14ac:dyDescent="0.3">
      <c r="A92" s="2">
        <v>2025</v>
      </c>
      <c r="B92" s="3">
        <v>7</v>
      </c>
      <c r="C92" s="3">
        <v>78</v>
      </c>
      <c r="D92" s="3">
        <v>34.482758620689658</v>
      </c>
      <c r="E92" s="3">
        <v>-241.44341159571454</v>
      </c>
      <c r="F92" s="3">
        <v>-285</v>
      </c>
      <c r="G92" s="3">
        <v>-16.803278688524589</v>
      </c>
      <c r="H92" s="3">
        <v>84.169099666287991</v>
      </c>
    </row>
    <row r="93" spans="1:8" x14ac:dyDescent="0.3"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H97"/>
  <sheetViews>
    <sheetView zoomScale="130" zoomScaleNormal="130" workbookViewId="0">
      <pane xSplit="1" ySplit="1" topLeftCell="B83" activePane="bottomRight" state="frozen"/>
      <selection pane="topRight" activeCell="B1" sqref="B1"/>
      <selection pane="bottomLeft" activeCell="A2" sqref="A2"/>
      <selection pane="bottomRight" activeCell="C96" sqref="C96"/>
    </sheetView>
  </sheetViews>
  <sheetFormatPr baseColWidth="10" defaultColWidth="11.42578125" defaultRowHeight="13.5" x14ac:dyDescent="0.3"/>
  <cols>
    <col min="1" max="1" width="4.42578125" style="2" bestFit="1" customWidth="1"/>
    <col min="2" max="2" width="5.85546875" style="2" bestFit="1" customWidth="1"/>
    <col min="3" max="3" width="13.42578125" style="2" bestFit="1" customWidth="1"/>
    <col min="4" max="4" width="20.5703125" style="2" bestFit="1" customWidth="1"/>
    <col min="5" max="5" width="13.42578125" style="2" bestFit="1" customWidth="1"/>
    <col min="6" max="6" width="11.140625" style="2" bestFit="1" customWidth="1"/>
    <col min="7" max="7" width="18.28515625" style="2" bestFit="1" customWidth="1"/>
    <col min="8" max="8" width="15.570312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</row>
    <row r="2" spans="1:8" x14ac:dyDescent="0.3">
      <c r="A2" s="2">
        <v>2018</v>
      </c>
      <c r="B2" s="4">
        <v>1</v>
      </c>
      <c r="C2" s="5">
        <v>206880</v>
      </c>
      <c r="D2" s="5">
        <v>2.6648801548310175</v>
      </c>
      <c r="E2" s="5">
        <v>18211901</v>
      </c>
      <c r="F2" s="5">
        <v>3.4541736760298924</v>
      </c>
      <c r="G2" s="5">
        <v>2.1892246231632231</v>
      </c>
      <c r="H2" s="5">
        <v>3.1212014564449855</v>
      </c>
    </row>
    <row r="3" spans="1:8" x14ac:dyDescent="0.3">
      <c r="A3" s="2">
        <v>2018</v>
      </c>
      <c r="B3" s="4">
        <v>2</v>
      </c>
      <c r="C3" s="5">
        <v>206668</v>
      </c>
      <c r="D3" s="5">
        <v>1.9932980965212233</v>
      </c>
      <c r="E3" s="5">
        <v>18314467</v>
      </c>
      <c r="F3" s="5">
        <v>3.3028544850508768</v>
      </c>
      <c r="G3" s="5">
        <v>2.1552224608430079</v>
      </c>
      <c r="H3" s="5">
        <v>3.0638424049036961</v>
      </c>
    </row>
    <row r="4" spans="1:8" x14ac:dyDescent="0.3">
      <c r="A4" s="2">
        <v>2018</v>
      </c>
      <c r="B4" s="4">
        <v>3</v>
      </c>
      <c r="C4" s="5">
        <v>211959</v>
      </c>
      <c r="D4" s="5">
        <v>3.9697644531211607</v>
      </c>
      <c r="E4" s="5">
        <v>18542644</v>
      </c>
      <c r="F4" s="5">
        <v>3.8638741537547538</v>
      </c>
      <c r="G4" s="5">
        <v>2.1170523487631021</v>
      </c>
      <c r="H4" s="5">
        <v>3.0018599821970313</v>
      </c>
    </row>
    <row r="5" spans="1:8" x14ac:dyDescent="0.3">
      <c r="A5" s="2">
        <v>2018</v>
      </c>
      <c r="B5" s="4">
        <v>4</v>
      </c>
      <c r="C5" s="5">
        <v>212535</v>
      </c>
      <c r="D5" s="5">
        <v>2.1576958941772473</v>
      </c>
      <c r="E5" s="5">
        <v>18659703</v>
      </c>
      <c r="F5" s="5">
        <v>2.6160525736911522</v>
      </c>
      <c r="G5" s="5">
        <v>2.0747013537477366</v>
      </c>
      <c r="H5" s="5">
        <v>2.9353801475652399</v>
      </c>
    </row>
    <row r="6" spans="1:8" x14ac:dyDescent="0.3">
      <c r="A6" s="2">
        <v>2018</v>
      </c>
      <c r="B6" s="4">
        <v>5</v>
      </c>
      <c r="C6" s="5">
        <v>212961</v>
      </c>
      <c r="D6" s="5">
        <v>2.7660221301072818</v>
      </c>
      <c r="E6" s="5">
        <v>18832943</v>
      </c>
      <c r="F6" s="5">
        <v>3.126969435106397</v>
      </c>
      <c r="G6" s="5">
        <v>2.0282852031839456</v>
      </c>
      <c r="H6" s="5">
        <v>2.8645887223438184</v>
      </c>
    </row>
    <row r="7" spans="1:8" x14ac:dyDescent="0.3">
      <c r="A7" s="2">
        <v>2018</v>
      </c>
      <c r="B7" s="4">
        <v>6</v>
      </c>
      <c r="C7" s="5">
        <v>218549</v>
      </c>
      <c r="D7" s="5">
        <v>4.4474606080012302</v>
      </c>
      <c r="E7" s="5">
        <v>18967952</v>
      </c>
      <c r="F7" s="5">
        <v>4.2375976975786322</v>
      </c>
      <c r="G7" s="5">
        <v>1.977925387968515</v>
      </c>
      <c r="H7" s="5">
        <v>2.7896493523423005</v>
      </c>
    </row>
    <row r="8" spans="1:8" x14ac:dyDescent="0.3">
      <c r="A8" s="2">
        <v>2018</v>
      </c>
      <c r="B8" s="4">
        <v>7</v>
      </c>
      <c r="C8" s="5">
        <v>222414</v>
      </c>
      <c r="D8" s="5">
        <v>2.2927024453959666</v>
      </c>
      <c r="E8" s="5">
        <v>18812915</v>
      </c>
      <c r="F8" s="5">
        <v>2.9325260646763551</v>
      </c>
      <c r="G8" s="5">
        <v>1.9237946307292679</v>
      </c>
      <c r="H8" s="5">
        <v>2.7107439042530506</v>
      </c>
    </row>
    <row r="9" spans="1:8" x14ac:dyDescent="0.3">
      <c r="A9" s="2">
        <v>2018</v>
      </c>
      <c r="B9" s="4">
        <v>8</v>
      </c>
      <c r="C9" s="5">
        <v>217182</v>
      </c>
      <c r="D9" s="5">
        <v>1.5894547767840495</v>
      </c>
      <c r="E9" s="5">
        <v>18535422</v>
      </c>
      <c r="F9" s="5">
        <v>2.7451481669374722</v>
      </c>
      <c r="G9" s="5">
        <v>1.8662371495954182</v>
      </c>
      <c r="H9" s="5">
        <v>2.6281547967368524</v>
      </c>
    </row>
    <row r="10" spans="1:8" x14ac:dyDescent="0.3">
      <c r="A10" s="2">
        <v>2018</v>
      </c>
      <c r="B10" s="4">
        <v>9</v>
      </c>
      <c r="C10" s="5">
        <v>218974</v>
      </c>
      <c r="D10" s="5">
        <v>2.3668722038604928</v>
      </c>
      <c r="E10" s="5">
        <v>18956018</v>
      </c>
      <c r="F10" s="5">
        <v>3.0210531006829244</v>
      </c>
      <c r="G10" s="5">
        <v>1.8056227812944203</v>
      </c>
      <c r="H10" s="5">
        <v>2.5421798499934076</v>
      </c>
    </row>
    <row r="11" spans="1:8" x14ac:dyDescent="0.3">
      <c r="A11" s="2">
        <v>2018</v>
      </c>
      <c r="B11" s="4">
        <v>10</v>
      </c>
      <c r="C11" s="5">
        <v>214427</v>
      </c>
      <c r="D11" s="5">
        <v>1.9275378852698921</v>
      </c>
      <c r="E11" s="5">
        <v>18792718</v>
      </c>
      <c r="F11" s="5">
        <v>2.797143888950937</v>
      </c>
      <c r="G11" s="5">
        <v>1.742302141555617</v>
      </c>
      <c r="H11" s="5">
        <v>2.4531250087620151</v>
      </c>
    </row>
    <row r="12" spans="1:8" x14ac:dyDescent="0.3">
      <c r="A12" s="2">
        <v>2018</v>
      </c>
      <c r="B12" s="4">
        <v>11</v>
      </c>
      <c r="C12" s="5">
        <v>214575</v>
      </c>
      <c r="D12" s="5">
        <v>1.8821429080152496</v>
      </c>
      <c r="E12" s="5">
        <v>18871968</v>
      </c>
      <c r="F12" s="5">
        <v>2.7615246303271501</v>
      </c>
      <c r="G12" s="5">
        <v>1.6766648217626958</v>
      </c>
      <c r="H12" s="5">
        <v>2.3613294728688277</v>
      </c>
    </row>
    <row r="13" spans="1:8" x14ac:dyDescent="0.3">
      <c r="A13" s="2">
        <v>2018</v>
      </c>
      <c r="B13" s="4">
        <v>12</v>
      </c>
      <c r="C13" s="5">
        <v>212719</v>
      </c>
      <c r="D13" s="5">
        <v>1.5229468137909929</v>
      </c>
      <c r="E13" s="5">
        <v>18914563</v>
      </c>
      <c r="F13" s="5">
        <v>3.1828737893461634</v>
      </c>
      <c r="G13" s="5">
        <v>1.6091132768926577</v>
      </c>
      <c r="H13" s="5">
        <v>2.2671563323400106</v>
      </c>
    </row>
    <row r="14" spans="1:8" x14ac:dyDescent="0.3">
      <c r="A14" s="2">
        <v>2019</v>
      </c>
      <c r="B14" s="4">
        <v>1</v>
      </c>
      <c r="C14" s="5">
        <v>210059</v>
      </c>
      <c r="D14" s="5">
        <v>1.5366395978344993</v>
      </c>
      <c r="E14" s="5">
        <v>18730629</v>
      </c>
      <c r="F14" s="5">
        <v>2.8482913453131475</v>
      </c>
      <c r="G14" s="5">
        <v>1.5400642312340487</v>
      </c>
      <c r="H14" s="5">
        <v>2.1709964685321079</v>
      </c>
    </row>
    <row r="15" spans="1:8" x14ac:dyDescent="0.3">
      <c r="A15" s="2">
        <v>2019</v>
      </c>
      <c r="B15" s="4">
        <v>2</v>
      </c>
      <c r="C15" s="5">
        <v>210839</v>
      </c>
      <c r="D15" s="5">
        <v>2.0182127857239607</v>
      </c>
      <c r="E15" s="5">
        <v>18846671</v>
      </c>
      <c r="F15" s="5">
        <v>2.9059213134621897</v>
      </c>
      <c r="G15" s="5">
        <v>1.4699284252932547</v>
      </c>
      <c r="H15" s="5">
        <v>2.0733043542917335</v>
      </c>
    </row>
    <row r="16" spans="1:8" x14ac:dyDescent="0.3">
      <c r="A16" s="2">
        <v>2019</v>
      </c>
      <c r="B16" s="4">
        <v>3</v>
      </c>
      <c r="C16" s="5">
        <v>214880</v>
      </c>
      <c r="D16" s="5">
        <v>1.3780967073820927</v>
      </c>
      <c r="E16" s="5">
        <v>19096989</v>
      </c>
      <c r="F16" s="5">
        <v>2.9895682622176123</v>
      </c>
      <c r="G16" s="5">
        <v>1.3991163617548978</v>
      </c>
      <c r="H16" s="5">
        <v>1.9745814968319442</v>
      </c>
    </row>
    <row r="17" spans="1:8" x14ac:dyDescent="0.3">
      <c r="A17" s="2">
        <v>2019</v>
      </c>
      <c r="B17" s="4">
        <v>4</v>
      </c>
      <c r="C17" s="5">
        <v>215942</v>
      </c>
      <c r="D17" s="5">
        <v>1.6030300891617832</v>
      </c>
      <c r="E17" s="5">
        <v>19182653</v>
      </c>
      <c r="F17" s="5">
        <v>2.802563363414734</v>
      </c>
      <c r="G17" s="5">
        <v>1.3280766186064077</v>
      </c>
      <c r="H17" s="5">
        <v>1.875387223987961</v>
      </c>
    </row>
    <row r="18" spans="1:8" x14ac:dyDescent="0.3">
      <c r="A18" s="2">
        <v>2019</v>
      </c>
      <c r="B18" s="4">
        <v>5</v>
      </c>
      <c r="C18" s="5">
        <v>216474</v>
      </c>
      <c r="D18" s="5">
        <v>1.6495978136841893</v>
      </c>
      <c r="E18" s="5">
        <v>19327792</v>
      </c>
      <c r="F18" s="5">
        <v>2.6275712723178746</v>
      </c>
      <c r="G18" s="5">
        <v>1.2572563141369935</v>
      </c>
      <c r="H18" s="5">
        <v>1.7763513487870457</v>
      </c>
    </row>
    <row r="19" spans="1:8" x14ac:dyDescent="0.3">
      <c r="A19" s="2">
        <v>2019</v>
      </c>
      <c r="B19" s="4">
        <v>6</v>
      </c>
      <c r="C19" s="5">
        <v>222068</v>
      </c>
      <c r="D19" s="5">
        <v>1.6101652261049093</v>
      </c>
      <c r="E19" s="5">
        <v>19458689</v>
      </c>
      <c r="F19" s="5">
        <v>2.5871902248592704</v>
      </c>
      <c r="G19" s="5">
        <v>1.1871216606268749</v>
      </c>
      <c r="H19" s="5">
        <v>1.6781680714883644</v>
      </c>
    </row>
    <row r="20" spans="1:8" x14ac:dyDescent="0.3">
      <c r="A20" s="2">
        <v>2019</v>
      </c>
      <c r="B20" s="4">
        <v>7</v>
      </c>
      <c r="C20" s="5">
        <v>225873</v>
      </c>
      <c r="D20" s="5">
        <v>1.5552078556205995</v>
      </c>
      <c r="E20" s="5">
        <v>19290343</v>
      </c>
      <c r="F20" s="5">
        <v>2.5377672731737855</v>
      </c>
      <c r="G20" s="5">
        <v>1.11816611629374</v>
      </c>
      <c r="H20" s="5">
        <v>1.5815907048457727</v>
      </c>
    </row>
    <row r="21" spans="1:8" x14ac:dyDescent="0.3">
      <c r="A21" s="2">
        <v>2019</v>
      </c>
      <c r="B21" s="4">
        <v>8</v>
      </c>
      <c r="C21" s="5">
        <v>226374</v>
      </c>
      <c r="D21" s="5">
        <v>4.2323949498577207</v>
      </c>
      <c r="E21" s="5">
        <v>19254763</v>
      </c>
      <c r="F21" s="5">
        <v>3.8808989619982803</v>
      </c>
      <c r="G21" s="5">
        <v>1.0509125173806573</v>
      </c>
      <c r="H21" s="5">
        <v>1.4874356881515542</v>
      </c>
    </row>
    <row r="22" spans="1:8" x14ac:dyDescent="0.3">
      <c r="A22" s="2">
        <v>2019</v>
      </c>
      <c r="B22" s="4">
        <v>9</v>
      </c>
      <c r="C22" s="5">
        <v>218807</v>
      </c>
      <c r="D22" s="5">
        <v>-7.6264762026545529E-2</v>
      </c>
      <c r="E22" s="5">
        <v>19223638</v>
      </c>
      <c r="F22" s="5">
        <v>1.4117943969033986</v>
      </c>
      <c r="G22" s="5">
        <v>0.98591405025148138</v>
      </c>
      <c r="H22" s="5">
        <v>1.3965858618485709</v>
      </c>
    </row>
    <row r="23" spans="1:8" x14ac:dyDescent="0.3">
      <c r="A23" s="2">
        <v>2019</v>
      </c>
      <c r="B23" s="4">
        <v>10</v>
      </c>
      <c r="C23" s="5">
        <v>217861</v>
      </c>
      <c r="D23" s="5">
        <v>1.6014774258838571</v>
      </c>
      <c r="E23" s="5">
        <v>19181445</v>
      </c>
      <c r="F23" s="5">
        <v>2.0684980214144666</v>
      </c>
      <c r="G23" s="5">
        <v>0.92394483755010037</v>
      </c>
      <c r="H23" s="5">
        <v>1.3100902791070352</v>
      </c>
    </row>
    <row r="24" spans="1:8" x14ac:dyDescent="0.3">
      <c r="A24" s="2">
        <v>2019</v>
      </c>
      <c r="B24" s="4">
        <v>11</v>
      </c>
      <c r="C24" s="5">
        <v>219541</v>
      </c>
      <c r="D24" s="5">
        <v>2.3143423045555167</v>
      </c>
      <c r="E24" s="5">
        <v>19415313</v>
      </c>
      <c r="F24" s="5">
        <v>2.8791114948901964</v>
      </c>
      <c r="G24" s="5">
        <v>0.86570523950288314</v>
      </c>
      <c r="H24" s="5">
        <v>1.2289990492454275</v>
      </c>
    </row>
    <row r="25" spans="1:8" x14ac:dyDescent="0.3">
      <c r="A25" s="2">
        <v>2019</v>
      </c>
      <c r="B25" s="4">
        <v>12</v>
      </c>
      <c r="C25" s="5">
        <v>216173</v>
      </c>
      <c r="D25" s="5">
        <v>1.6237383590558485</v>
      </c>
      <c r="E25" s="5">
        <v>19261636</v>
      </c>
      <c r="F25" s="5">
        <v>1.8349511960704668</v>
      </c>
      <c r="G25" s="5">
        <v>0.81194266721038844</v>
      </c>
      <c r="H25" s="5">
        <v>1.1544149487865552</v>
      </c>
    </row>
    <row r="26" spans="1:8" x14ac:dyDescent="0.3">
      <c r="A26" s="2">
        <v>2020</v>
      </c>
      <c r="B26" s="4">
        <v>1</v>
      </c>
      <c r="C26" s="5">
        <v>214338</v>
      </c>
      <c r="D26" s="5">
        <v>2.0370467344888787</v>
      </c>
      <c r="E26" s="5">
        <v>19041595</v>
      </c>
      <c r="F26" s="5">
        <v>1.6602005196942438</v>
      </c>
      <c r="G26" s="5">
        <v>0.76350513156935917</v>
      </c>
      <c r="H26" s="5">
        <v>1.0875553453952842</v>
      </c>
    </row>
    <row r="27" spans="1:8" x14ac:dyDescent="0.3">
      <c r="A27" s="2">
        <v>2020</v>
      </c>
      <c r="B27" s="4">
        <v>2</v>
      </c>
      <c r="C27" s="5">
        <v>216443</v>
      </c>
      <c r="D27" s="5">
        <v>2.6579522763815033</v>
      </c>
      <c r="E27" s="5">
        <v>19279415</v>
      </c>
      <c r="F27" s="5">
        <v>2.2961296453893665</v>
      </c>
      <c r="G27" s="5">
        <v>0.72129701817736069</v>
      </c>
      <c r="H27" s="5">
        <v>1.0296848661980973</v>
      </c>
    </row>
    <row r="28" spans="1:8" x14ac:dyDescent="0.3">
      <c r="A28" s="2">
        <v>2020</v>
      </c>
      <c r="B28" s="4">
        <v>3</v>
      </c>
      <c r="C28" s="5">
        <v>208507</v>
      </c>
      <c r="D28" s="5">
        <v>-2.9658413998510769</v>
      </c>
      <c r="E28" s="5">
        <v>18445436</v>
      </c>
      <c r="F28" s="5">
        <v>-3.4118101026292647</v>
      </c>
      <c r="G28" s="5">
        <v>0.68631115302105006</v>
      </c>
      <c r="H28" s="5">
        <v>0.98210790534747006</v>
      </c>
    </row>
    <row r="29" spans="1:8" x14ac:dyDescent="0.3">
      <c r="A29" s="2">
        <v>2020</v>
      </c>
      <c r="B29" s="4">
        <v>4</v>
      </c>
      <c r="C29" s="5">
        <v>207907</v>
      </c>
      <c r="D29" s="5">
        <v>-3.7209065397189933</v>
      </c>
      <c r="E29" s="5">
        <v>18396362</v>
      </c>
      <c r="F29" s="5">
        <v>-4.0989690007946278</v>
      </c>
      <c r="G29" s="5">
        <v>0.65967485203557064</v>
      </c>
      <c r="H29" s="5">
        <v>0.94621680454998869</v>
      </c>
    </row>
    <row r="30" spans="1:8" x14ac:dyDescent="0.3">
      <c r="A30" s="2">
        <v>2020</v>
      </c>
      <c r="B30" s="4">
        <v>5</v>
      </c>
      <c r="C30" s="5">
        <v>209362</v>
      </c>
      <c r="D30" s="5">
        <v>-3.2853830021157271</v>
      </c>
      <c r="E30" s="5">
        <v>18584176</v>
      </c>
      <c r="F30" s="5">
        <v>-3.8473923974347457</v>
      </c>
      <c r="G30" s="5">
        <v>0.64226180945100531</v>
      </c>
      <c r="H30" s="5">
        <v>0.92309877231724102</v>
      </c>
    </row>
    <row r="31" spans="1:8" x14ac:dyDescent="0.3">
      <c r="A31" s="2">
        <v>2020</v>
      </c>
      <c r="B31" s="4">
        <v>6</v>
      </c>
      <c r="C31" s="5">
        <v>210839</v>
      </c>
      <c r="D31" s="5">
        <v>-5.056559252120973</v>
      </c>
      <c r="E31" s="5">
        <v>18484270</v>
      </c>
      <c r="F31" s="5">
        <v>-5.0076292395649036</v>
      </c>
      <c r="G31" s="5">
        <v>0.63464151245634293</v>
      </c>
      <c r="H31" s="5">
        <v>0.91349065703544374</v>
      </c>
    </row>
    <row r="32" spans="1:8" x14ac:dyDescent="0.3">
      <c r="A32" s="2">
        <v>2020</v>
      </c>
      <c r="B32" s="4">
        <v>7</v>
      </c>
      <c r="C32" s="5">
        <v>219122</v>
      </c>
      <c r="D32" s="5">
        <v>-2.9888477153090398</v>
      </c>
      <c r="E32" s="5">
        <v>18673847</v>
      </c>
      <c r="F32" s="5">
        <v>-3.1958788913188374</v>
      </c>
      <c r="G32" s="5">
        <v>0.63711069512865803</v>
      </c>
      <c r="H32" s="5">
        <v>0.91779802298180313</v>
      </c>
    </row>
    <row r="33" spans="1:8" x14ac:dyDescent="0.3">
      <c r="A33" s="2">
        <v>2020</v>
      </c>
      <c r="B33" s="4">
        <v>8</v>
      </c>
      <c r="C33" s="5">
        <v>216567</v>
      </c>
      <c r="D33" s="5">
        <v>-4.3322112963502857</v>
      </c>
      <c r="E33" s="5">
        <v>18591306</v>
      </c>
      <c r="F33" s="5">
        <v>-3.4456773111151806</v>
      </c>
      <c r="G33" s="5">
        <v>0.64957086926970742</v>
      </c>
      <c r="H33" s="5">
        <v>0.93601524555181725</v>
      </c>
    </row>
    <row r="34" spans="1:8" x14ac:dyDescent="0.3">
      <c r="A34" s="2">
        <v>2020</v>
      </c>
      <c r="B34" s="4">
        <v>9</v>
      </c>
      <c r="C34" s="5">
        <v>216570</v>
      </c>
      <c r="D34" s="5">
        <v>-1.0223621730566235</v>
      </c>
      <c r="E34" s="5">
        <v>18843729</v>
      </c>
      <c r="F34" s="5">
        <v>-1.9762596445064173</v>
      </c>
      <c r="G34" s="5">
        <v>0.67167174401385643</v>
      </c>
      <c r="H34" s="5">
        <v>0.96785102813304669</v>
      </c>
    </row>
    <row r="35" spans="1:8" x14ac:dyDescent="0.3">
      <c r="A35" s="2">
        <v>2020</v>
      </c>
      <c r="B35" s="4">
        <v>10</v>
      </c>
      <c r="C35" s="5">
        <v>217995</v>
      </c>
      <c r="D35" s="5">
        <v>6.1507107743019596E-2</v>
      </c>
      <c r="E35" s="5">
        <v>18986284</v>
      </c>
      <c r="F35" s="5">
        <v>-1.0174468086215582</v>
      </c>
      <c r="G35" s="5">
        <v>0.70271707140063577</v>
      </c>
      <c r="H35" s="5">
        <v>1.012709789907728</v>
      </c>
    </row>
    <row r="36" spans="1:8" x14ac:dyDescent="0.3">
      <c r="A36" s="2">
        <v>2020</v>
      </c>
      <c r="B36" s="4">
        <v>11</v>
      </c>
      <c r="C36" s="5">
        <v>215333</v>
      </c>
      <c r="D36" s="5">
        <v>-1.9167262606984536</v>
      </c>
      <c r="E36" s="5">
        <v>18974452</v>
      </c>
      <c r="F36" s="5">
        <v>-2.2706870602601126</v>
      </c>
      <c r="G36" s="5">
        <v>0.74189296222533507</v>
      </c>
      <c r="H36" s="5">
        <v>1.0697914979280532</v>
      </c>
    </row>
    <row r="37" spans="1:8" x14ac:dyDescent="0.3">
      <c r="A37" s="2">
        <v>2020</v>
      </c>
      <c r="B37" s="4">
        <v>12</v>
      </c>
      <c r="C37" s="5">
        <v>212866</v>
      </c>
      <c r="D37" s="5">
        <v>-1.5297932674293246</v>
      </c>
      <c r="E37" s="5">
        <v>18904852</v>
      </c>
      <c r="F37" s="5">
        <v>-1.8523037191648717</v>
      </c>
      <c r="G37" s="5">
        <v>0.78834099881354547</v>
      </c>
      <c r="H37" s="5">
        <v>1.1381551361490942</v>
      </c>
    </row>
    <row r="38" spans="1:8" x14ac:dyDescent="0.3">
      <c r="A38" s="2">
        <v>2021</v>
      </c>
      <c r="B38" s="4">
        <v>1</v>
      </c>
      <c r="C38" s="5">
        <v>212919</v>
      </c>
      <c r="D38" s="5">
        <v>-0.66203846261512211</v>
      </c>
      <c r="E38" s="5">
        <v>18826631</v>
      </c>
      <c r="F38" s="5">
        <v>-1.128918034439863</v>
      </c>
      <c r="G38" s="5">
        <v>0.84101813715593277</v>
      </c>
      <c r="H38" s="5">
        <v>1.2166277108482713</v>
      </c>
    </row>
    <row r="39" spans="1:8" x14ac:dyDescent="0.3">
      <c r="A39" s="2">
        <v>2021</v>
      </c>
      <c r="B39" s="4">
        <v>2</v>
      </c>
      <c r="C39" s="5">
        <v>212975</v>
      </c>
      <c r="D39" s="5">
        <v>-1.6022694196624498</v>
      </c>
      <c r="E39" s="5">
        <v>18840921</v>
      </c>
      <c r="F39" s="5">
        <v>-2.2744154840797837</v>
      </c>
      <c r="G39" s="5">
        <v>0.8987203516968959</v>
      </c>
      <c r="H39" s="5">
        <v>1.3038285575491628</v>
      </c>
    </row>
    <row r="40" spans="1:8" x14ac:dyDescent="0.3">
      <c r="A40" s="2">
        <v>2021</v>
      </c>
      <c r="B40" s="4">
        <v>3</v>
      </c>
      <c r="C40" s="5">
        <v>213937</v>
      </c>
      <c r="D40" s="5">
        <v>2.6042291146100682</v>
      </c>
      <c r="E40" s="5">
        <v>18793353</v>
      </c>
      <c r="F40" s="5">
        <v>1.8861955878950232</v>
      </c>
      <c r="G40" s="5">
        <v>0.96013923795029399</v>
      </c>
      <c r="H40" s="5">
        <v>1.3982141266541468</v>
      </c>
    </row>
    <row r="41" spans="1:8" x14ac:dyDescent="0.3">
      <c r="A41" s="2">
        <v>2021</v>
      </c>
      <c r="B41" s="4">
        <v>4</v>
      </c>
      <c r="C41" s="5">
        <v>214802</v>
      </c>
      <c r="D41" s="5">
        <v>3.316386653648018</v>
      </c>
      <c r="E41" s="5">
        <v>18989916</v>
      </c>
      <c r="F41" s="5">
        <v>3.2264748867194548</v>
      </c>
      <c r="G41" s="5">
        <v>1.0237927115847529</v>
      </c>
      <c r="H41" s="5">
        <v>1.4979923793960435</v>
      </c>
    </row>
    <row r="42" spans="1:8" x14ac:dyDescent="0.3">
      <c r="A42" s="2">
        <v>2021</v>
      </c>
      <c r="B42" s="4">
        <v>5</v>
      </c>
      <c r="C42" s="5">
        <v>217003</v>
      </c>
      <c r="D42" s="5">
        <v>3.6496594415414529</v>
      </c>
      <c r="E42" s="5">
        <v>19244508</v>
      </c>
      <c r="F42" s="5">
        <v>3.5531949331517376</v>
      </c>
      <c r="G42" s="5">
        <v>1.0883128611770001</v>
      </c>
      <c r="H42" s="5">
        <v>1.6014051646091485</v>
      </c>
    </row>
    <row r="43" spans="1:8" x14ac:dyDescent="0.3">
      <c r="A43" s="2">
        <v>2021</v>
      </c>
      <c r="B43" s="4">
        <v>6</v>
      </c>
      <c r="C43" s="5">
        <v>220736</v>
      </c>
      <c r="D43" s="5">
        <v>4.6941030833953956</v>
      </c>
      <c r="E43" s="5">
        <v>19280520</v>
      </c>
      <c r="F43" s="5">
        <v>4.3077167775627645</v>
      </c>
      <c r="G43" s="5">
        <v>1.1524909832164063</v>
      </c>
      <c r="H43" s="5">
        <v>1.7068143646352107</v>
      </c>
    </row>
    <row r="44" spans="1:8" x14ac:dyDescent="0.3">
      <c r="A44" s="2">
        <v>2021</v>
      </c>
      <c r="B44" s="4">
        <v>7</v>
      </c>
      <c r="C44" s="5">
        <v>228419</v>
      </c>
      <c r="D44" s="5">
        <v>4.2428418871678808</v>
      </c>
      <c r="E44" s="5">
        <v>19546843</v>
      </c>
      <c r="F44" s="5">
        <v>4.6749660099496326</v>
      </c>
      <c r="G44" s="5">
        <v>1.2152962454826453</v>
      </c>
      <c r="H44" s="5">
        <v>1.8127174027721278</v>
      </c>
    </row>
    <row r="45" spans="1:8" x14ac:dyDescent="0.3">
      <c r="A45" s="2">
        <v>2021</v>
      </c>
      <c r="B45" s="4">
        <v>8</v>
      </c>
      <c r="C45" s="5">
        <v>222574</v>
      </c>
      <c r="D45" s="5">
        <v>2.7737374576920715</v>
      </c>
      <c r="E45" s="5">
        <v>19195115</v>
      </c>
      <c r="F45" s="5">
        <v>3.2478030322345308</v>
      </c>
      <c r="G45" s="5">
        <v>1.2759437610401256</v>
      </c>
      <c r="H45" s="5">
        <v>1.9177923205409173</v>
      </c>
    </row>
    <row r="46" spans="1:8" x14ac:dyDescent="0.3">
      <c r="A46" s="2">
        <v>2021</v>
      </c>
      <c r="B46" s="4">
        <v>9</v>
      </c>
      <c r="C46" s="5">
        <v>221632</v>
      </c>
      <c r="D46" s="5">
        <v>2.3373505102276315</v>
      </c>
      <c r="E46" s="5">
        <v>19443350</v>
      </c>
      <c r="F46" s="5">
        <v>3.182071871231007</v>
      </c>
      <c r="G46" s="5">
        <v>1.3338588891783731</v>
      </c>
      <c r="H46" s="5">
        <v>2.0209159267269845</v>
      </c>
    </row>
    <row r="47" spans="1:8" x14ac:dyDescent="0.3">
      <c r="A47" s="2">
        <v>2021</v>
      </c>
      <c r="B47" s="4">
        <v>10</v>
      </c>
      <c r="C47" s="5">
        <v>222748</v>
      </c>
      <c r="D47" s="5">
        <v>2.1803252368173487</v>
      </c>
      <c r="E47" s="5">
        <v>19699513</v>
      </c>
      <c r="F47" s="5">
        <v>3.7565486748223131</v>
      </c>
      <c r="G47" s="5">
        <v>1.3885710026380695</v>
      </c>
      <c r="H47" s="5">
        <v>2.1210573919707127</v>
      </c>
    </row>
    <row r="48" spans="1:8" x14ac:dyDescent="0.3">
      <c r="A48" s="2">
        <v>2021</v>
      </c>
      <c r="B48" s="4">
        <v>11</v>
      </c>
      <c r="C48" s="5">
        <v>221335</v>
      </c>
      <c r="D48" s="5">
        <v>2.7873108162706162</v>
      </c>
      <c r="E48" s="5">
        <v>19726818</v>
      </c>
      <c r="F48" s="5">
        <v>3.9651527221971961</v>
      </c>
      <c r="G48" s="5">
        <v>1.4396791610780253</v>
      </c>
      <c r="H48" s="5">
        <v>2.2172665227419648</v>
      </c>
    </row>
    <row r="49" spans="1:8" x14ac:dyDescent="0.3">
      <c r="A49" s="2">
        <v>2021</v>
      </c>
      <c r="B49" s="4">
        <v>12</v>
      </c>
      <c r="C49" s="5">
        <v>219821</v>
      </c>
      <c r="D49" s="5">
        <v>3.2673137090939885</v>
      </c>
      <c r="E49" s="5">
        <v>19703812</v>
      </c>
      <c r="F49" s="5">
        <v>4.2262166347559971</v>
      </c>
      <c r="G49" s="5">
        <v>1.4868374070899797</v>
      </c>
      <c r="H49" s="5">
        <v>2.3087067012941351</v>
      </c>
    </row>
    <row r="50" spans="1:8" x14ac:dyDescent="0.3">
      <c r="A50" s="2">
        <v>2022</v>
      </c>
      <c r="B50" s="4">
        <v>1</v>
      </c>
      <c r="C50" s="5">
        <v>218442</v>
      </c>
      <c r="D50" s="5">
        <v>2.5939441759542436</v>
      </c>
      <c r="E50" s="5">
        <v>19534921</v>
      </c>
      <c r="F50" s="5">
        <v>3.7621707250755643</v>
      </c>
      <c r="G50" s="5">
        <v>1.5297933687972827</v>
      </c>
      <c r="H50" s="5">
        <v>2.3946626908666913</v>
      </c>
    </row>
    <row r="51" spans="1:8" x14ac:dyDescent="0.3">
      <c r="A51" s="2">
        <v>2022</v>
      </c>
      <c r="B51" s="4">
        <v>2</v>
      </c>
      <c r="C51" s="5">
        <v>219024</v>
      </c>
      <c r="D51" s="5">
        <v>2.8402394647259133</v>
      </c>
      <c r="E51" s="5">
        <v>19661611</v>
      </c>
      <c r="F51" s="5">
        <v>4.3558910947081531</v>
      </c>
      <c r="G51" s="5">
        <v>1.5684183185109231</v>
      </c>
      <c r="H51" s="5">
        <v>2.4745524151111464</v>
      </c>
    </row>
    <row r="52" spans="1:8" x14ac:dyDescent="0.3">
      <c r="A52" s="2">
        <v>2022</v>
      </c>
      <c r="B52" s="4">
        <v>3</v>
      </c>
      <c r="C52" s="5">
        <v>220982</v>
      </c>
      <c r="D52" s="5">
        <v>3.2930255168577727</v>
      </c>
      <c r="E52" s="5">
        <v>19764004</v>
      </c>
      <c r="F52" s="5">
        <v>5.1648633429064006</v>
      </c>
      <c r="G52" s="5">
        <v>1.6026574279034982</v>
      </c>
      <c r="H52" s="5">
        <v>2.5478887635147229</v>
      </c>
    </row>
    <row r="53" spans="1:8" x14ac:dyDescent="0.3">
      <c r="A53" s="2">
        <v>2022</v>
      </c>
      <c r="B53" s="4">
        <v>4</v>
      </c>
      <c r="C53" s="5">
        <v>224282</v>
      </c>
      <c r="D53" s="5">
        <v>4.4133667284289801</v>
      </c>
      <c r="E53" s="5">
        <v>20098119</v>
      </c>
      <c r="F53" s="5">
        <v>5.8357446130883339</v>
      </c>
      <c r="G53" s="5">
        <v>1.6325441895605368</v>
      </c>
      <c r="H53" s="5">
        <v>2.6143152740840598</v>
      </c>
    </row>
    <row r="54" spans="1:8" x14ac:dyDescent="0.3">
      <c r="A54" s="2">
        <v>2022</v>
      </c>
      <c r="B54" s="4">
        <v>5</v>
      </c>
      <c r="C54" s="5">
        <v>223962</v>
      </c>
      <c r="D54" s="5">
        <v>3.206868107814187</v>
      </c>
      <c r="E54" s="5">
        <v>20173603</v>
      </c>
      <c r="F54" s="5">
        <v>4.8278449103505316</v>
      </c>
      <c r="G54" s="5">
        <v>1.658229482740412</v>
      </c>
      <c r="H54" s="5">
        <v>2.6736572191715875</v>
      </c>
    </row>
    <row r="55" spans="1:8" x14ac:dyDescent="0.3">
      <c r="A55" s="2">
        <v>2022</v>
      </c>
      <c r="B55" s="4">
        <v>6</v>
      </c>
      <c r="C55" s="5">
        <v>225796</v>
      </c>
      <c r="D55" s="5">
        <v>2.2923311104668054</v>
      </c>
      <c r="E55" s="5">
        <v>20094348</v>
      </c>
      <c r="F55" s="5">
        <v>4.2209857410484775</v>
      </c>
      <c r="G55" s="5">
        <v>1.6800572993778076</v>
      </c>
      <c r="H55" s="5">
        <v>2.7259635815005008</v>
      </c>
    </row>
    <row r="56" spans="1:8" x14ac:dyDescent="0.3">
      <c r="A56" s="2">
        <v>2022</v>
      </c>
      <c r="B56" s="4">
        <v>7</v>
      </c>
      <c r="C56" s="5">
        <v>232340</v>
      </c>
      <c r="D56" s="5">
        <v>1.7165822457851476</v>
      </c>
      <c r="E56" s="5">
        <v>20275194</v>
      </c>
      <c r="F56" s="5">
        <v>3.7261822791537336</v>
      </c>
      <c r="G56" s="5">
        <v>1.69847917575637</v>
      </c>
      <c r="H56" s="5">
        <v>2.7714329401614366</v>
      </c>
    </row>
    <row r="57" spans="1:8" x14ac:dyDescent="0.3">
      <c r="A57" s="2">
        <v>2022</v>
      </c>
      <c r="B57" s="4">
        <v>8</v>
      </c>
      <c r="C57" s="5">
        <v>225467</v>
      </c>
      <c r="D57" s="5">
        <v>1.2997924285855555</v>
      </c>
      <c r="E57" s="5">
        <v>19865765</v>
      </c>
      <c r="F57" s="5">
        <v>3.4938576820196188</v>
      </c>
      <c r="G57" s="5">
        <v>1.7139891671744047</v>
      </c>
      <c r="H57" s="5">
        <v>2.8103676952283339</v>
      </c>
    </row>
    <row r="58" spans="1:8" x14ac:dyDescent="0.3">
      <c r="A58" s="2">
        <v>2022</v>
      </c>
      <c r="B58" s="4">
        <v>9</v>
      </c>
      <c r="C58" s="5">
        <v>224127</v>
      </c>
      <c r="D58" s="5">
        <v>1.1257399653479716</v>
      </c>
      <c r="E58" s="5">
        <v>20053519</v>
      </c>
      <c r="F58" s="5">
        <v>3.1381886351888877</v>
      </c>
      <c r="G58" s="5">
        <v>1.7270825860878583</v>
      </c>
      <c r="H58" s="5">
        <v>2.8431365488125615</v>
      </c>
    </row>
    <row r="59" spans="1:8" x14ac:dyDescent="0.3">
      <c r="A59" s="2">
        <v>2022</v>
      </c>
      <c r="B59" s="4">
        <v>10</v>
      </c>
      <c r="C59" s="5">
        <v>224474</v>
      </c>
      <c r="D59" s="5">
        <v>0.77486666546950911</v>
      </c>
      <c r="E59" s="5">
        <v>20144325</v>
      </c>
      <c r="F59" s="5">
        <v>2.257984753227138</v>
      </c>
      <c r="G59" s="5">
        <v>1.7382259812902749</v>
      </c>
      <c r="H59" s="5">
        <v>2.8701556676079045</v>
      </c>
    </row>
    <row r="60" spans="1:8" x14ac:dyDescent="0.3">
      <c r="A60" s="2">
        <v>2022</v>
      </c>
      <c r="B60" s="4">
        <v>11</v>
      </c>
      <c r="C60" s="5">
        <v>223918</v>
      </c>
      <c r="D60" s="5">
        <v>1.167009284568632</v>
      </c>
      <c r="E60" s="5">
        <v>20238561</v>
      </c>
      <c r="F60" s="5">
        <v>2.5941487370137351</v>
      </c>
      <c r="G60" s="5">
        <v>1.7478441416709811</v>
      </c>
      <c r="H60" s="5">
        <v>2.8918617080363682</v>
      </c>
    </row>
    <row r="61" spans="1:8" x14ac:dyDescent="0.3">
      <c r="A61" s="2">
        <v>2022</v>
      </c>
      <c r="B61" s="4">
        <v>12</v>
      </c>
      <c r="C61" s="5">
        <v>221978</v>
      </c>
      <c r="D61" s="5">
        <v>0.98125292851911627</v>
      </c>
      <c r="E61" s="5">
        <v>20159317</v>
      </c>
      <c r="F61" s="5">
        <v>2.311760790247086</v>
      </c>
      <c r="G61" s="5">
        <v>1.7562949561668153</v>
      </c>
      <c r="H61" s="5">
        <v>2.9086488146509035</v>
      </c>
    </row>
    <row r="62" spans="1:8" x14ac:dyDescent="0.3">
      <c r="A62" s="2">
        <v>2023</v>
      </c>
      <c r="B62" s="4">
        <v>1</v>
      </c>
      <c r="C62" s="5">
        <v>219828</v>
      </c>
      <c r="D62" s="5">
        <v>0.63449336666026035</v>
      </c>
      <c r="E62" s="5">
        <v>20004924</v>
      </c>
      <c r="F62" s="5">
        <v>2.4059631467155729</v>
      </c>
      <c r="G62" s="5">
        <v>1.7638959779606507</v>
      </c>
      <c r="H62" s="5">
        <v>2.9208904574925851</v>
      </c>
    </row>
    <row r="63" spans="1:8" x14ac:dyDescent="0.3">
      <c r="A63" s="2">
        <v>2023</v>
      </c>
      <c r="B63" s="4">
        <v>2</v>
      </c>
      <c r="C63" s="5">
        <v>221076</v>
      </c>
      <c r="D63" s="5">
        <v>0.93688362919133183</v>
      </c>
      <c r="E63" s="5">
        <v>20148628</v>
      </c>
      <c r="F63" s="5">
        <v>2.4769943826068008</v>
      </c>
      <c r="G63" s="5">
        <v>1.7709109378723291</v>
      </c>
      <c r="H63" s="5">
        <v>2.9289186560452367</v>
      </c>
    </row>
    <row r="64" spans="1:8" x14ac:dyDescent="0.3">
      <c r="A64" s="2">
        <v>2023</v>
      </c>
      <c r="B64" s="4">
        <v>3</v>
      </c>
      <c r="C64" s="5">
        <v>224881</v>
      </c>
      <c r="D64" s="5">
        <v>1.7643971002162973</v>
      </c>
      <c r="E64" s="5">
        <v>20349825</v>
      </c>
      <c r="F64" s="5">
        <v>2.9640805577655138</v>
      </c>
      <c r="G64" s="5">
        <v>1.7775251359847968</v>
      </c>
      <c r="H64" s="5">
        <v>2.9330296709516559</v>
      </c>
    </row>
    <row r="65" spans="1:8" x14ac:dyDescent="0.3">
      <c r="A65" s="2">
        <v>2023</v>
      </c>
      <c r="B65" s="4">
        <v>4</v>
      </c>
      <c r="C65" s="5">
        <v>228124</v>
      </c>
      <c r="D65" s="5">
        <v>1.713021999090425</v>
      </c>
      <c r="E65" s="5">
        <v>20678484</v>
      </c>
      <c r="F65" s="5">
        <v>2.8876582927984451</v>
      </c>
      <c r="G65" s="5">
        <v>1.7838659538178967</v>
      </c>
      <c r="H65" s="5">
        <v>2.9334883792245408</v>
      </c>
    </row>
    <row r="66" spans="1:8" x14ac:dyDescent="0.3">
      <c r="A66" s="2">
        <v>2023</v>
      </c>
      <c r="B66" s="4">
        <v>5</v>
      </c>
      <c r="C66" s="5">
        <v>227888</v>
      </c>
      <c r="D66" s="5">
        <v>1.7529759512774579</v>
      </c>
      <c r="E66" s="5">
        <v>20715284</v>
      </c>
      <c r="F66" s="5">
        <v>2.6850979470548708</v>
      </c>
      <c r="G66" s="5">
        <v>1.7900598612223211</v>
      </c>
      <c r="H66" s="5">
        <v>2.9305618141881729</v>
      </c>
    </row>
    <row r="67" spans="1:8" x14ac:dyDescent="0.3">
      <c r="A67" s="2">
        <v>2023</v>
      </c>
      <c r="B67" s="4">
        <v>6</v>
      </c>
      <c r="C67" s="5">
        <v>230192</v>
      </c>
      <c r="D67" s="5">
        <v>1.9468901131995286</v>
      </c>
      <c r="E67" s="5">
        <v>20597244</v>
      </c>
      <c r="F67" s="5">
        <v>2.5026738862091946</v>
      </c>
      <c r="G67" s="5">
        <v>1.796228408329684</v>
      </c>
      <c r="H67" s="5">
        <v>2.924513826521943</v>
      </c>
    </row>
    <row r="68" spans="1:8" x14ac:dyDescent="0.3">
      <c r="A68" s="2">
        <v>2023</v>
      </c>
      <c r="B68" s="4">
        <v>7</v>
      </c>
      <c r="C68" s="5">
        <v>235537</v>
      </c>
      <c r="D68" s="5">
        <v>1.3760006886459397</v>
      </c>
      <c r="E68" s="5">
        <v>20683889</v>
      </c>
      <c r="F68" s="5">
        <v>2.0157390355919569</v>
      </c>
      <c r="G68" s="5">
        <v>1.8024905700000753</v>
      </c>
      <c r="H68" s="5">
        <v>2.9155912208033579</v>
      </c>
    </row>
    <row r="69" spans="1:8" x14ac:dyDescent="0.3">
      <c r="A69" s="2">
        <v>2023</v>
      </c>
      <c r="B69" s="4">
        <v>8</v>
      </c>
      <c r="C69" s="5">
        <v>229387</v>
      </c>
      <c r="D69" s="5">
        <v>1.7386136330372004</v>
      </c>
      <c r="E69" s="5">
        <v>20430272</v>
      </c>
      <c r="F69" s="5">
        <v>2.84160715683488</v>
      </c>
      <c r="G69" s="5">
        <v>1.8089757837119786</v>
      </c>
      <c r="H69" s="5">
        <v>2.9040115071696242</v>
      </c>
    </row>
    <row r="70" spans="1:8" x14ac:dyDescent="0.3">
      <c r="A70" s="2">
        <v>2023</v>
      </c>
      <c r="B70" s="4">
        <v>9</v>
      </c>
      <c r="C70" s="5">
        <v>229553</v>
      </c>
      <c r="D70" s="5">
        <v>2.4209488370432908</v>
      </c>
      <c r="E70" s="5">
        <v>20800895</v>
      </c>
      <c r="F70" s="5">
        <v>3.7269069832581492</v>
      </c>
      <c r="G70" s="5">
        <v>1.8157838695910062</v>
      </c>
      <c r="H70" s="5">
        <v>2.889929706022865</v>
      </c>
    </row>
    <row r="71" spans="1:8" x14ac:dyDescent="0.3">
      <c r="A71" s="2">
        <v>2023</v>
      </c>
      <c r="B71" s="4">
        <v>10</v>
      </c>
      <c r="C71" s="5">
        <v>226585</v>
      </c>
      <c r="D71" s="5">
        <v>0.94042071687590045</v>
      </c>
      <c r="E71" s="5">
        <v>20659878</v>
      </c>
      <c r="F71" s="5">
        <v>2.5592964767992887</v>
      </c>
      <c r="G71" s="5">
        <v>1.8230097615023064</v>
      </c>
      <c r="H71" s="5">
        <v>2.8734965041297635</v>
      </c>
    </row>
    <row r="72" spans="1:8" x14ac:dyDescent="0.3">
      <c r="A72" s="2">
        <v>2023</v>
      </c>
      <c r="B72" s="4">
        <v>11</v>
      </c>
      <c r="C72" s="5">
        <v>226332</v>
      </c>
      <c r="D72" s="5">
        <v>1.0780732232335</v>
      </c>
      <c r="E72" s="5">
        <v>20762035</v>
      </c>
      <c r="F72" s="5">
        <v>2.5865178853377913</v>
      </c>
      <c r="G72" s="5">
        <v>1.8307904186559893</v>
      </c>
      <c r="H72" s="5">
        <v>2.8549207116790329</v>
      </c>
    </row>
    <row r="73" spans="1:8" x14ac:dyDescent="0.3">
      <c r="A73" s="2">
        <v>2023</v>
      </c>
      <c r="B73" s="4">
        <v>12</v>
      </c>
      <c r="C73" s="5">
        <v>225945</v>
      </c>
      <c r="D73" s="5">
        <v>1.7871140383281192</v>
      </c>
      <c r="E73" s="5">
        <v>20733042</v>
      </c>
      <c r="F73" s="5">
        <v>2.8459545529245789</v>
      </c>
      <c r="G73" s="5">
        <v>1.8392015093562886</v>
      </c>
      <c r="H73" s="5">
        <v>2.8343893194130443</v>
      </c>
    </row>
    <row r="74" spans="1:8" x14ac:dyDescent="0.3">
      <c r="A74" s="2">
        <v>2024</v>
      </c>
      <c r="B74" s="4">
        <v>1</v>
      </c>
      <c r="C74" s="5">
        <v>223066</v>
      </c>
      <c r="D74" s="5">
        <v>1.472969776370614</v>
      </c>
      <c r="E74" s="5">
        <v>20523431</v>
      </c>
      <c r="F74" s="5">
        <v>2.5918968749893745</v>
      </c>
      <c r="G74" s="5">
        <v>1.8482664298799778</v>
      </c>
      <c r="H74" s="5">
        <v>2.8120706789890058</v>
      </c>
    </row>
    <row r="75" spans="1:8" x14ac:dyDescent="0.3">
      <c r="A75" s="2">
        <v>2024</v>
      </c>
      <c r="B75" s="4">
        <v>2</v>
      </c>
      <c r="C75" s="5">
        <v>224264</v>
      </c>
      <c r="D75" s="5">
        <v>1.4420380321699344</v>
      </c>
      <c r="E75" s="5">
        <v>20678360</v>
      </c>
      <c r="F75" s="5">
        <v>2.6291219431913593</v>
      </c>
      <c r="G75" s="5">
        <v>1.8580049593183425</v>
      </c>
      <c r="H75" s="5">
        <v>2.7881339452053417</v>
      </c>
    </row>
    <row r="76" spans="1:8" x14ac:dyDescent="0.3">
      <c r="A76" s="2">
        <v>2024</v>
      </c>
      <c r="B76" s="4">
        <v>3</v>
      </c>
      <c r="C76" s="5">
        <v>228825</v>
      </c>
      <c r="D76" s="5">
        <v>1.7538164629292918</v>
      </c>
      <c r="E76" s="5">
        <v>20959164</v>
      </c>
      <c r="F76" s="5">
        <v>2.9943205899805037</v>
      </c>
      <c r="G76" s="5">
        <v>1.8684108144950635</v>
      </c>
      <c r="H76" s="5">
        <v>2.7627329830129765</v>
      </c>
    </row>
    <row r="77" spans="1:8" x14ac:dyDescent="0.3">
      <c r="A77" s="2">
        <v>2024</v>
      </c>
      <c r="B77" s="4">
        <v>4</v>
      </c>
      <c r="C77" s="5">
        <v>229558</v>
      </c>
      <c r="D77" s="5">
        <v>0.62860549525696197</v>
      </c>
      <c r="E77" s="5">
        <v>21082893</v>
      </c>
      <c r="F77" s="5">
        <v>1.9556994603666222</v>
      </c>
      <c r="G77" s="5">
        <v>1.8794488256416586</v>
      </c>
      <c r="H77" s="5">
        <v>2.7360106148626953</v>
      </c>
    </row>
    <row r="78" spans="1:8" x14ac:dyDescent="0.3">
      <c r="A78" s="2">
        <v>2024</v>
      </c>
      <c r="B78" s="4">
        <v>5</v>
      </c>
      <c r="C78" s="5">
        <v>231044</v>
      </c>
      <c r="D78" s="5">
        <v>1.3848908235624569</v>
      </c>
      <c r="E78" s="5">
        <v>21219318</v>
      </c>
      <c r="F78" s="5">
        <v>2.4331503251415754</v>
      </c>
      <c r="G78" s="5">
        <v>1.8910758650485651</v>
      </c>
      <c r="H78" s="5">
        <v>2.708125745677989</v>
      </c>
    </row>
    <row r="79" spans="1:8" x14ac:dyDescent="0.3">
      <c r="A79" s="2">
        <v>2024</v>
      </c>
      <c r="B79" s="4">
        <v>6</v>
      </c>
      <c r="C79" s="5">
        <v>234957</v>
      </c>
      <c r="D79" s="5">
        <v>2.0700111211510386</v>
      </c>
      <c r="E79" s="5">
        <v>21320405</v>
      </c>
      <c r="F79" s="5">
        <v>3.5109600099896943</v>
      </c>
      <c r="G79" s="5">
        <v>1.9031619408860547</v>
      </c>
      <c r="H79" s="5">
        <v>2.6791830921077322</v>
      </c>
    </row>
    <row r="80" spans="1:8" x14ac:dyDescent="0.3">
      <c r="A80" s="2">
        <v>2024</v>
      </c>
      <c r="B80" s="4">
        <v>7</v>
      </c>
      <c r="C80" s="5">
        <v>238524</v>
      </c>
      <c r="D80" s="5">
        <v>1.2681659357128616</v>
      </c>
      <c r="E80" s="5">
        <v>21168308</v>
      </c>
      <c r="F80" s="5">
        <v>2.3420112146221639</v>
      </c>
      <c r="G80" s="5">
        <v>1.9155419095854076</v>
      </c>
      <c r="H80" s="5">
        <v>2.6492682752854839</v>
      </c>
    </row>
    <row r="81" spans="1:8" x14ac:dyDescent="0.3">
      <c r="A81" s="2">
        <v>2024</v>
      </c>
      <c r="B81" s="4">
        <v>8</v>
      </c>
      <c r="C81" s="5">
        <v>239127</v>
      </c>
      <c r="D81" s="5">
        <v>4.246099386626101</v>
      </c>
      <c r="E81" s="5">
        <v>21122514</v>
      </c>
      <c r="F81" s="5">
        <v>3.3883151433323988</v>
      </c>
      <c r="G81" s="5">
        <v>1.9280622143265334</v>
      </c>
      <c r="H81" s="5">
        <v>2.6185246786307679</v>
      </c>
    </row>
    <row r="82" spans="1:8" x14ac:dyDescent="0.3">
      <c r="A82" s="2">
        <v>2024</v>
      </c>
      <c r="B82" s="4">
        <v>9</v>
      </c>
      <c r="C82" s="5">
        <v>232465</v>
      </c>
      <c r="D82" s="5">
        <v>1.2685523604570648</v>
      </c>
      <c r="E82" s="5">
        <v>21143996</v>
      </c>
      <c r="F82" s="5">
        <v>1.6494530643993865</v>
      </c>
      <c r="G82" s="5">
        <v>1.9405243416244899</v>
      </c>
      <c r="H82" s="5">
        <v>2.5870743482672287</v>
      </c>
    </row>
    <row r="83" spans="1:8" x14ac:dyDescent="0.3">
      <c r="A83" s="2">
        <v>2024</v>
      </c>
      <c r="B83" s="4">
        <v>10</v>
      </c>
      <c r="C83" s="5">
        <v>231181</v>
      </c>
      <c r="D83" s="5">
        <v>2.0283778714389689</v>
      </c>
      <c r="E83" s="5">
        <v>21096315</v>
      </c>
      <c r="F83" s="5">
        <v>2.1124858530142232</v>
      </c>
      <c r="G83" s="5">
        <v>1.9528907527979673</v>
      </c>
      <c r="H83" s="5">
        <v>2.5550927879896714</v>
      </c>
    </row>
    <row r="84" spans="1:8" x14ac:dyDescent="0.3">
      <c r="A84" s="2">
        <v>2024</v>
      </c>
      <c r="B84" s="4">
        <v>11</v>
      </c>
      <c r="C84" s="5">
        <v>232888</v>
      </c>
      <c r="D84" s="5">
        <v>2.896629729777489</v>
      </c>
      <c r="E84" s="5">
        <v>21351259</v>
      </c>
      <c r="F84" s="5">
        <v>2.837987702072553</v>
      </c>
      <c r="G84" s="5">
        <v>1.9650772444447411</v>
      </c>
      <c r="H84" s="5">
        <v>2.5226903890037433</v>
      </c>
    </row>
    <row r="85" spans="1:8" x14ac:dyDescent="0.3">
      <c r="A85" s="2">
        <v>2024</v>
      </c>
      <c r="B85" s="4">
        <v>12</v>
      </c>
      <c r="C85" s="5">
        <v>230167</v>
      </c>
      <c r="D85" s="5">
        <v>1.868596339817219</v>
      </c>
      <c r="E85" s="5">
        <v>21201126</v>
      </c>
      <c r="F85" s="5">
        <v>2.2576715949352621</v>
      </c>
      <c r="G85" s="5">
        <v>1.9770048553236033</v>
      </c>
      <c r="H85" s="5">
        <v>2.489946805922385</v>
      </c>
    </row>
    <row r="86" spans="1:8" x14ac:dyDescent="0.3">
      <c r="A86" s="2">
        <v>2025</v>
      </c>
      <c r="B86" s="4">
        <v>1</v>
      </c>
      <c r="C86" s="5">
        <v>227993</v>
      </c>
      <c r="D86" s="5">
        <v>2.2087633256524963</v>
      </c>
      <c r="E86" s="5">
        <v>20990671</v>
      </c>
      <c r="F86" s="5">
        <v>2.2766173940409917</v>
      </c>
      <c r="G86" s="5">
        <v>1.9886593153381609</v>
      </c>
      <c r="H86" s="5">
        <v>2.4569635890052779</v>
      </c>
    </row>
    <row r="87" spans="1:8" x14ac:dyDescent="0.3">
      <c r="A87" s="2">
        <v>2025</v>
      </c>
      <c r="B87" s="4">
        <v>2</v>
      </c>
      <c r="C87" s="5">
        <v>229751</v>
      </c>
      <c r="D87" s="5">
        <v>2.4466699960760563</v>
      </c>
      <c r="E87" s="5">
        <v>21144431</v>
      </c>
      <c r="F87" s="5">
        <v>2.2539069829522251</v>
      </c>
      <c r="G87" s="5">
        <v>2.0000188260228882</v>
      </c>
      <c r="H87" s="5">
        <v>2.4238261582891178</v>
      </c>
    </row>
    <row r="88" spans="1:8" x14ac:dyDescent="0.3">
      <c r="A88" s="2">
        <v>2025</v>
      </c>
      <c r="B88" s="4">
        <v>3</v>
      </c>
      <c r="C88" s="5">
        <v>232324</v>
      </c>
      <c r="D88" s="5">
        <v>1.5291161367857464</v>
      </c>
      <c r="E88" s="5">
        <v>21320297</v>
      </c>
      <c r="F88" s="5">
        <v>1.7230315102262583</v>
      </c>
      <c r="G88" s="5">
        <v>2.0110768739129754</v>
      </c>
      <c r="H88" s="5">
        <v>2.3906074097692831</v>
      </c>
    </row>
    <row r="89" spans="1:8" x14ac:dyDescent="0.3">
      <c r="A89" s="2">
        <v>2025</v>
      </c>
      <c r="B89" s="4">
        <v>4</v>
      </c>
      <c r="C89" s="5">
        <v>235377</v>
      </c>
      <c r="D89" s="5">
        <v>2.5348713614859797</v>
      </c>
      <c r="E89" s="5">
        <v>21554136</v>
      </c>
      <c r="F89" s="5">
        <v>2.2351913468422024</v>
      </c>
      <c r="G89" s="5">
        <v>2.0218579629859779</v>
      </c>
      <c r="H89" s="5">
        <v>2.3573684394984209</v>
      </c>
    </row>
    <row r="90" spans="1:8" x14ac:dyDescent="0.3">
      <c r="A90" s="2">
        <v>2025</v>
      </c>
      <c r="B90" s="4">
        <v>5</v>
      </c>
      <c r="C90" s="5">
        <v>237678</v>
      </c>
      <c r="D90" s="5">
        <v>2.8713145548034058</v>
      </c>
      <c r="E90" s="5">
        <v>21797994</v>
      </c>
      <c r="F90" s="5">
        <v>2.7271187509419592</v>
      </c>
      <c r="G90" s="5">
        <v>2.0323531277238169</v>
      </c>
      <c r="H90" s="5">
        <v>2.3241239840917101</v>
      </c>
    </row>
    <row r="91" spans="1:8" x14ac:dyDescent="0.3">
      <c r="A91" s="2">
        <v>2025</v>
      </c>
      <c r="B91" s="4">
        <v>6</v>
      </c>
      <c r="C91" s="5">
        <v>239359</v>
      </c>
      <c r="D91" s="5">
        <v>1.8735343062773246</v>
      </c>
      <c r="E91" s="5">
        <v>21655943</v>
      </c>
      <c r="F91" s="5">
        <v>1.573788115188246</v>
      </c>
      <c r="G91" s="5">
        <v>2.042589028538865</v>
      </c>
      <c r="H91" s="5">
        <v>2.2908802956440053</v>
      </c>
    </row>
    <row r="92" spans="1:8" x14ac:dyDescent="0.3">
      <c r="A92" s="2">
        <v>2025</v>
      </c>
      <c r="B92" s="4">
        <v>7</v>
      </c>
      <c r="C92" s="5">
        <v>242997</v>
      </c>
      <c r="D92" s="5">
        <v>1.875282990390903</v>
      </c>
      <c r="E92" s="5">
        <v>21649641</v>
      </c>
      <c r="F92" s="5">
        <v>2.2738378523214919</v>
      </c>
      <c r="G92" s="5">
        <v>2.0526505870537082</v>
      </c>
      <c r="H92" s="5">
        <v>2.2576716119978597</v>
      </c>
    </row>
    <row r="93" spans="1:8" x14ac:dyDescent="0.3">
      <c r="A93" s="2">
        <v>2025</v>
      </c>
      <c r="B93" s="4">
        <v>8</v>
      </c>
      <c r="C93" s="5">
        <v>243351</v>
      </c>
      <c r="D93" s="5">
        <v>1.7664253722917023</v>
      </c>
      <c r="E93" s="5">
        <v>21621065</v>
      </c>
      <c r="F93" s="5">
        <v>2.3602824928888655</v>
      </c>
      <c r="G93" s="5">
        <v>2.0626109849796652</v>
      </c>
      <c r="H93" s="5">
        <v>2.2244823729277394</v>
      </c>
    </row>
    <row r="94" spans="1:8" x14ac:dyDescent="0.3">
      <c r="A94" s="2">
        <v>2025</v>
      </c>
      <c r="B94" s="5">
        <v>9</v>
      </c>
      <c r="C94" s="5">
        <v>235934</v>
      </c>
      <c r="D94" s="5">
        <v>1.4922676531951007</v>
      </c>
      <c r="E94" s="5">
        <v>21622569</v>
      </c>
      <c r="F94" s="5">
        <v>2.2633990282631578</v>
      </c>
      <c r="G94" s="5">
        <v>2.072531086833842</v>
      </c>
      <c r="H94" s="5">
        <v>2.1912981408636885</v>
      </c>
    </row>
    <row r="95" spans="1:8" x14ac:dyDescent="0.3">
      <c r="B95" s="5"/>
      <c r="C95" s="5"/>
      <c r="D95" s="5"/>
      <c r="E95" s="5"/>
      <c r="F95" s="5"/>
      <c r="G95" s="5"/>
      <c r="H95" s="5"/>
    </row>
    <row r="96" spans="1:8" x14ac:dyDescent="0.3">
      <c r="B96" s="5"/>
      <c r="C96" s="5"/>
      <c r="D96" s="5"/>
      <c r="E96" s="5"/>
      <c r="F96" s="5"/>
      <c r="G96" s="5"/>
      <c r="H96" s="5"/>
    </row>
    <row r="97" spans="2:8" x14ac:dyDescent="0.3">
      <c r="B97" s="5"/>
      <c r="C97" s="5"/>
      <c r="D97" s="5"/>
      <c r="E97" s="5"/>
      <c r="F97" s="5"/>
      <c r="G97" s="5"/>
      <c r="H97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J97"/>
  <sheetViews>
    <sheetView topLeftCell="A91" zoomScale="130" zoomScaleNormal="130" workbookViewId="0">
      <selection activeCell="A2" sqref="A2:H94"/>
    </sheetView>
  </sheetViews>
  <sheetFormatPr baseColWidth="10" defaultColWidth="11.42578125" defaultRowHeight="13.5" x14ac:dyDescent="0.3"/>
  <cols>
    <col min="1" max="1" width="4.42578125" style="2" bestFit="1" customWidth="1"/>
    <col min="2" max="2" width="12.140625" style="2" bestFit="1" customWidth="1"/>
    <col min="3" max="3" width="15.28515625" style="2" bestFit="1" customWidth="1"/>
    <col min="4" max="4" width="21" style="2" bestFit="1" customWidth="1"/>
    <col min="5" max="5" width="16.85546875" style="2" bestFit="1" customWidth="1"/>
    <col min="6" max="6" width="11.7109375" style="2" bestFit="1" customWidth="1"/>
    <col min="7" max="7" width="18.7109375" style="2" bestFit="1" customWidth="1"/>
    <col min="8" max="8" width="16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2" t="s">
        <v>19</v>
      </c>
    </row>
    <row r="2" spans="1:8" x14ac:dyDescent="0.3">
      <c r="A2" s="2">
        <v>2018</v>
      </c>
      <c r="B2" s="3">
        <v>1</v>
      </c>
      <c r="C2" s="3">
        <v>165308</v>
      </c>
      <c r="D2" s="3">
        <v>3.5991602168395254</v>
      </c>
      <c r="E2" s="3">
        <v>15003118</v>
      </c>
      <c r="F2" s="3">
        <v>4.084430172578446</v>
      </c>
      <c r="G2" s="3">
        <v>2.8647089178554745</v>
      </c>
      <c r="H2" s="3">
        <v>3.6258232065407054</v>
      </c>
    </row>
    <row r="3" spans="1:8" x14ac:dyDescent="0.3">
      <c r="A3" s="2">
        <v>2018</v>
      </c>
      <c r="B3" s="3">
        <v>2</v>
      </c>
      <c r="C3" s="3">
        <v>164981</v>
      </c>
      <c r="D3" s="3">
        <v>2.6914482406617868</v>
      </c>
      <c r="E3" s="3">
        <v>15088611</v>
      </c>
      <c r="F3" s="3">
        <v>3.8415767093766151</v>
      </c>
      <c r="G3" s="3">
        <v>2.8266897399537778</v>
      </c>
      <c r="H3" s="3">
        <v>3.56008975936287</v>
      </c>
    </row>
    <row r="4" spans="1:8" x14ac:dyDescent="0.3">
      <c r="A4" s="2">
        <v>2018</v>
      </c>
      <c r="B4" s="3">
        <v>3</v>
      </c>
      <c r="C4" s="3">
        <v>169909</v>
      </c>
      <c r="D4" s="3">
        <v>5.0000617978222417</v>
      </c>
      <c r="E4" s="3">
        <v>15291615</v>
      </c>
      <c r="F4" s="3">
        <v>4.4274687488219833</v>
      </c>
      <c r="G4" s="3">
        <v>2.7830060010396713</v>
      </c>
      <c r="H4" s="3">
        <v>3.4886093061762922</v>
      </c>
    </row>
    <row r="5" spans="1:8" x14ac:dyDescent="0.3">
      <c r="A5" s="2">
        <v>2018</v>
      </c>
      <c r="B5" s="3">
        <v>4</v>
      </c>
      <c r="C5" s="3">
        <v>170346</v>
      </c>
      <c r="D5" s="3">
        <v>2.8131695687599878</v>
      </c>
      <c r="E5" s="3">
        <v>15397798</v>
      </c>
      <c r="F5" s="3">
        <v>2.9966408928650878</v>
      </c>
      <c r="G5" s="3">
        <v>2.7336707828768123</v>
      </c>
      <c r="H5" s="3">
        <v>3.4115706777557109</v>
      </c>
    </row>
    <row r="6" spans="1:8" x14ac:dyDescent="0.3">
      <c r="A6" s="2">
        <v>2018</v>
      </c>
      <c r="B6" s="3">
        <v>5</v>
      </c>
      <c r="C6" s="3">
        <v>170783</v>
      </c>
      <c r="D6" s="3">
        <v>3.5952588926092988</v>
      </c>
      <c r="E6" s="3">
        <v>15561706</v>
      </c>
      <c r="F6" s="3">
        <v>3.6162156515110899</v>
      </c>
      <c r="G6" s="3">
        <v>2.6788511294369677</v>
      </c>
      <c r="H6" s="3">
        <v>3.3292279034482708</v>
      </c>
    </row>
    <row r="7" spans="1:8" x14ac:dyDescent="0.3">
      <c r="A7" s="2">
        <v>2018</v>
      </c>
      <c r="B7" s="3">
        <v>6</v>
      </c>
      <c r="C7" s="3">
        <v>176239</v>
      </c>
      <c r="D7" s="3">
        <v>5.6373401105290322</v>
      </c>
      <c r="E7" s="3">
        <v>15679758</v>
      </c>
      <c r="F7" s="3">
        <v>4.8690066905853646</v>
      </c>
      <c r="G7" s="3">
        <v>2.618719605440925</v>
      </c>
      <c r="H7" s="3">
        <v>3.2418061980327222</v>
      </c>
    </row>
    <row r="8" spans="1:8" x14ac:dyDescent="0.3">
      <c r="A8" s="2">
        <v>2018</v>
      </c>
      <c r="B8" s="3">
        <v>7</v>
      </c>
      <c r="C8" s="3">
        <v>180109</v>
      </c>
      <c r="D8" s="3">
        <v>2.9641444284374874</v>
      </c>
      <c r="E8" s="3">
        <v>15546912</v>
      </c>
      <c r="F8" s="3">
        <v>3.3734566286152345</v>
      </c>
      <c r="G8" s="3">
        <v>2.5535124150374702</v>
      </c>
      <c r="H8" s="3">
        <v>3.1495507059925423</v>
      </c>
    </row>
    <row r="9" spans="1:8" x14ac:dyDescent="0.3">
      <c r="A9" s="2">
        <v>2018</v>
      </c>
      <c r="B9" s="3">
        <v>8</v>
      </c>
      <c r="C9" s="3">
        <v>175018</v>
      </c>
      <c r="D9" s="3">
        <v>2.0989382802473422</v>
      </c>
      <c r="E9" s="3">
        <v>15284897</v>
      </c>
      <c r="F9" s="3">
        <v>3.1316610530322864</v>
      </c>
      <c r="G9" s="3">
        <v>2.4836753887993535</v>
      </c>
      <c r="H9" s="3">
        <v>3.0528195718454132</v>
      </c>
    </row>
    <row r="10" spans="1:8" x14ac:dyDescent="0.3">
      <c r="A10" s="2">
        <v>2018</v>
      </c>
      <c r="B10" s="3">
        <v>9</v>
      </c>
      <c r="C10" s="3">
        <v>176825</v>
      </c>
      <c r="D10" s="3">
        <v>3.0310622702085288</v>
      </c>
      <c r="E10" s="3">
        <v>15685805</v>
      </c>
      <c r="F10" s="3">
        <v>3.421776336914184</v>
      </c>
      <c r="G10" s="3">
        <v>2.4096828734113664</v>
      </c>
      <c r="H10" s="3">
        <v>2.9519864891314214</v>
      </c>
    </row>
    <row r="11" spans="1:8" x14ac:dyDescent="0.3">
      <c r="A11" s="2">
        <v>2018</v>
      </c>
      <c r="B11" s="3">
        <v>10</v>
      </c>
      <c r="C11" s="3">
        <v>172522</v>
      </c>
      <c r="D11" s="3">
        <v>2.4824317019418674</v>
      </c>
      <c r="E11" s="3">
        <v>15532715</v>
      </c>
      <c r="F11" s="3">
        <v>3.1846531651923415</v>
      </c>
      <c r="G11" s="3">
        <v>2.3319824977035402</v>
      </c>
      <c r="H11" s="3">
        <v>2.8474306264935132</v>
      </c>
    </row>
    <row r="12" spans="1:8" x14ac:dyDescent="0.3">
      <c r="A12" s="2">
        <v>2018</v>
      </c>
      <c r="B12" s="3">
        <v>11</v>
      </c>
      <c r="C12" s="3">
        <v>172706</v>
      </c>
      <c r="D12" s="3">
        <v>2.3989090477884556</v>
      </c>
      <c r="E12" s="3">
        <v>15612073</v>
      </c>
      <c r="F12" s="3">
        <v>3.0886229175528523</v>
      </c>
      <c r="G12" s="3">
        <v>2.2510650418529057</v>
      </c>
      <c r="H12" s="3">
        <v>2.7395637768696206</v>
      </c>
    </row>
    <row r="13" spans="1:8" x14ac:dyDescent="0.3">
      <c r="A13" s="2">
        <v>2018</v>
      </c>
      <c r="B13" s="3">
        <v>12</v>
      </c>
      <c r="C13" s="3">
        <v>170914</v>
      </c>
      <c r="D13" s="3">
        <v>1.9146944300340474</v>
      </c>
      <c r="E13" s="3">
        <v>15647174</v>
      </c>
      <c r="F13" s="3">
        <v>3.5120130021338625</v>
      </c>
      <c r="G13" s="3">
        <v>2.167431733897899</v>
      </c>
      <c r="H13" s="3">
        <v>2.6288211514295288</v>
      </c>
    </row>
    <row r="14" spans="1:8" x14ac:dyDescent="0.3">
      <c r="A14" s="2">
        <v>2019</v>
      </c>
      <c r="B14" s="3">
        <v>1</v>
      </c>
      <c r="C14" s="3">
        <v>168596</v>
      </c>
      <c r="D14" s="3">
        <v>1.9890144457618497</v>
      </c>
      <c r="E14" s="3">
        <v>15489255</v>
      </c>
      <c r="F14" s="3">
        <v>3.2402397954878426</v>
      </c>
      <c r="G14" s="3">
        <v>2.0815940688218126</v>
      </c>
      <c r="H14" s="3">
        <v>2.5156622015611259</v>
      </c>
    </row>
    <row r="15" spans="1:8" x14ac:dyDescent="0.3">
      <c r="A15" s="2">
        <v>2019</v>
      </c>
      <c r="B15" s="3">
        <v>2</v>
      </c>
      <c r="C15" s="3">
        <v>169402</v>
      </c>
      <c r="D15" s="3">
        <v>2.6797025111982675</v>
      </c>
      <c r="E15" s="3">
        <v>15595594</v>
      </c>
      <c r="F15" s="3">
        <v>3.3600375806626559</v>
      </c>
      <c r="G15" s="3">
        <v>1.9940459904062819</v>
      </c>
      <c r="H15" s="3">
        <v>2.4006077114197097</v>
      </c>
    </row>
    <row r="16" spans="1:8" x14ac:dyDescent="0.3">
      <c r="A16" s="2">
        <v>2019</v>
      </c>
      <c r="B16" s="3">
        <v>3</v>
      </c>
      <c r="C16" s="3">
        <v>173264</v>
      </c>
      <c r="D16" s="3">
        <v>1.9745863962474131</v>
      </c>
      <c r="E16" s="3">
        <v>15825438</v>
      </c>
      <c r="F16" s="3">
        <v>3.4909523944985477</v>
      </c>
      <c r="G16" s="3">
        <v>1.9052750132924516</v>
      </c>
      <c r="H16" s="3">
        <v>2.2842287830490449</v>
      </c>
    </row>
    <row r="17" spans="1:8" x14ac:dyDescent="0.3">
      <c r="A17" s="2">
        <v>2019</v>
      </c>
      <c r="B17" s="3">
        <v>4</v>
      </c>
      <c r="C17" s="3">
        <v>174136</v>
      </c>
      <c r="D17" s="3">
        <v>2.2248834724619249</v>
      </c>
      <c r="E17" s="3">
        <v>15905939</v>
      </c>
      <c r="F17" s="3">
        <v>3.3000887529502698</v>
      </c>
      <c r="G17" s="3">
        <v>1.8158162671576321</v>
      </c>
      <c r="H17" s="3">
        <v>2.167163145567149</v>
      </c>
    </row>
    <row r="18" spans="1:8" x14ac:dyDescent="0.3">
      <c r="A18" s="2">
        <v>2019</v>
      </c>
      <c r="B18" s="3">
        <v>5</v>
      </c>
      <c r="C18" s="3">
        <v>174664</v>
      </c>
      <c r="D18" s="3">
        <v>2.2724744266115371</v>
      </c>
      <c r="E18" s="3">
        <v>16042643</v>
      </c>
      <c r="F18" s="3">
        <v>3.0905159113017611</v>
      </c>
      <c r="G18" s="3">
        <v>1.7262096949696168</v>
      </c>
      <c r="H18" s="3">
        <v>2.0501323283428343</v>
      </c>
    </row>
    <row r="19" spans="1:8" x14ac:dyDescent="0.3">
      <c r="A19" s="2">
        <v>2019</v>
      </c>
      <c r="B19" s="3">
        <v>6</v>
      </c>
      <c r="C19" s="3">
        <v>180058</v>
      </c>
      <c r="D19" s="3">
        <v>2.1669437525178914</v>
      </c>
      <c r="E19" s="3">
        <v>16157332</v>
      </c>
      <c r="F19" s="3">
        <v>3.0457995588962561</v>
      </c>
      <c r="G19" s="3">
        <v>1.637023647141012</v>
      </c>
      <c r="H19" s="3">
        <v>1.9339365361343148</v>
      </c>
    </row>
    <row r="20" spans="1:8" x14ac:dyDescent="0.3">
      <c r="A20" s="2">
        <v>2019</v>
      </c>
      <c r="B20" s="3">
        <v>7</v>
      </c>
      <c r="C20" s="3">
        <v>183814</v>
      </c>
      <c r="D20" s="3">
        <v>2.0570876524771187</v>
      </c>
      <c r="E20" s="3">
        <v>16013783</v>
      </c>
      <c r="F20" s="3">
        <v>3.0029821999378425</v>
      </c>
      <c r="G20" s="3">
        <v>1.5488644091352317</v>
      </c>
      <c r="H20" s="3">
        <v>1.8194482225597313</v>
      </c>
    </row>
    <row r="21" spans="1:8" x14ac:dyDescent="0.3">
      <c r="A21" s="2">
        <v>2019</v>
      </c>
      <c r="B21" s="3">
        <v>8</v>
      </c>
      <c r="C21" s="3">
        <v>184324</v>
      </c>
      <c r="D21" s="3">
        <v>5.317167377069798</v>
      </c>
      <c r="E21" s="3">
        <v>15981674</v>
      </c>
      <c r="F21" s="3">
        <v>4.5585979414843214</v>
      </c>
      <c r="G21" s="3">
        <v>1.4623750664230077</v>
      </c>
      <c r="H21" s="3">
        <v>1.7076170539471387</v>
      </c>
    </row>
    <row r="22" spans="1:8" x14ac:dyDescent="0.3">
      <c r="A22" s="2">
        <v>2019</v>
      </c>
      <c r="B22" s="3">
        <v>9</v>
      </c>
      <c r="C22" s="3">
        <v>177053</v>
      </c>
      <c r="D22" s="3">
        <v>0.12894104340450685</v>
      </c>
      <c r="E22" s="3">
        <v>15948330</v>
      </c>
      <c r="F22" s="3">
        <v>1.6736469693458433</v>
      </c>
      <c r="G22" s="3">
        <v>1.3782339977558593</v>
      </c>
      <c r="H22" s="3">
        <v>1.5994748864841317</v>
      </c>
    </row>
    <row r="23" spans="1:8" x14ac:dyDescent="0.3">
      <c r="A23" s="2">
        <v>2019</v>
      </c>
      <c r="B23" s="3">
        <v>10</v>
      </c>
      <c r="C23" s="3">
        <v>176260</v>
      </c>
      <c r="D23" s="3">
        <v>2.166680191511805</v>
      </c>
      <c r="E23" s="3">
        <v>15909396</v>
      </c>
      <c r="F23" s="3">
        <v>2.4250815134379211</v>
      </c>
      <c r="G23" s="3">
        <v>1.2973872757957674</v>
      </c>
      <c r="H23" s="3">
        <v>1.4962515611421621</v>
      </c>
    </row>
    <row r="24" spans="1:8" x14ac:dyDescent="0.3">
      <c r="A24" s="2">
        <v>2019</v>
      </c>
      <c r="B24" s="3">
        <v>11</v>
      </c>
      <c r="C24" s="3">
        <v>177863</v>
      </c>
      <c r="D24" s="3">
        <v>2.9859993283383401</v>
      </c>
      <c r="E24" s="3">
        <v>16130674</v>
      </c>
      <c r="F24" s="3">
        <v>3.3217946136941512</v>
      </c>
      <c r="G24" s="3">
        <v>1.2206942167495498</v>
      </c>
      <c r="H24" s="3">
        <v>1.3991820697317694</v>
      </c>
    </row>
    <row r="25" spans="1:8" x14ac:dyDescent="0.3">
      <c r="A25" s="2">
        <v>2019</v>
      </c>
      <c r="B25" s="3">
        <v>12</v>
      </c>
      <c r="C25" s="3">
        <v>174612</v>
      </c>
      <c r="D25" s="3">
        <v>2.1636612565383739</v>
      </c>
      <c r="E25" s="3">
        <v>15980023</v>
      </c>
      <c r="F25" s="3">
        <v>2.1272147929076501</v>
      </c>
      <c r="G25" s="3">
        <v>1.1490745043876158</v>
      </c>
      <c r="H25" s="3">
        <v>1.3095659061435139</v>
      </c>
    </row>
    <row r="26" spans="1:8" x14ac:dyDescent="0.3">
      <c r="A26" s="2">
        <v>2020</v>
      </c>
      <c r="B26" s="3">
        <v>1</v>
      </c>
      <c r="C26" s="3">
        <v>173092</v>
      </c>
      <c r="D26" s="3">
        <v>2.6667299342807649</v>
      </c>
      <c r="E26" s="3">
        <v>15783369</v>
      </c>
      <c r="F26" s="3">
        <v>1.8988259925993844</v>
      </c>
      <c r="G26" s="3">
        <v>1.0835704131131239</v>
      </c>
      <c r="H26" s="3">
        <v>1.2288360790279529</v>
      </c>
    </row>
    <row r="27" spans="1:8" x14ac:dyDescent="0.3">
      <c r="A27" s="2">
        <v>2020</v>
      </c>
      <c r="B27" s="3">
        <v>2</v>
      </c>
      <c r="C27" s="3">
        <v>175062</v>
      </c>
      <c r="D27" s="3">
        <v>3.3411648032490859</v>
      </c>
      <c r="E27" s="3">
        <v>16003707</v>
      </c>
      <c r="F27" s="3">
        <v>2.6168480661910021</v>
      </c>
      <c r="G27" s="3">
        <v>1.025294674742576</v>
      </c>
      <c r="H27" s="3">
        <v>1.1584823782083356</v>
      </c>
    </row>
    <row r="28" spans="1:8" x14ac:dyDescent="0.3">
      <c r="A28" s="2">
        <v>2020</v>
      </c>
      <c r="B28" s="3">
        <v>3</v>
      </c>
      <c r="C28" s="3">
        <v>167452</v>
      </c>
      <c r="D28" s="3">
        <v>-3.3544186905531403</v>
      </c>
      <c r="E28" s="3">
        <v>15205828</v>
      </c>
      <c r="F28" s="3">
        <v>-3.915278679806522</v>
      </c>
      <c r="G28" s="3">
        <v>0.97546996272588871</v>
      </c>
      <c r="H28" s="3">
        <v>1.1000411205852423</v>
      </c>
    </row>
    <row r="29" spans="1:8" x14ac:dyDescent="0.3">
      <c r="A29" s="2">
        <v>2020</v>
      </c>
      <c r="B29" s="3">
        <v>4</v>
      </c>
      <c r="C29" s="3">
        <v>167032</v>
      </c>
      <c r="D29" s="3">
        <v>-4.0795699912711925</v>
      </c>
      <c r="E29" s="3">
        <v>15176712</v>
      </c>
      <c r="F29" s="3">
        <v>-4.5846208765166319</v>
      </c>
      <c r="G29" s="3">
        <v>0.93547977482745825</v>
      </c>
      <c r="H29" s="3">
        <v>1.0551498984542524</v>
      </c>
    </row>
    <row r="30" spans="1:8" x14ac:dyDescent="0.3">
      <c r="A30" s="2">
        <v>2020</v>
      </c>
      <c r="B30" s="3">
        <v>5</v>
      </c>
      <c r="C30" s="3">
        <v>168302</v>
      </c>
      <c r="D30" s="3">
        <v>-3.6424220217102565</v>
      </c>
      <c r="E30" s="3">
        <v>15342001</v>
      </c>
      <c r="F30" s="3">
        <v>-4.3673726330505485</v>
      </c>
      <c r="G30" s="3">
        <v>0.90640692209964746</v>
      </c>
      <c r="H30" s="3">
        <v>1.0250980180136962</v>
      </c>
    </row>
    <row r="31" spans="1:8" x14ac:dyDescent="0.3">
      <c r="A31" s="2">
        <v>2020</v>
      </c>
      <c r="B31" s="3">
        <v>6</v>
      </c>
      <c r="C31" s="3">
        <v>169521</v>
      </c>
      <c r="D31" s="3">
        <v>-5.8520032433993503</v>
      </c>
      <c r="E31" s="3">
        <v>15224097</v>
      </c>
      <c r="F31" s="3">
        <v>-5.7759226585181285</v>
      </c>
      <c r="G31" s="3">
        <v>0.88898594824995136</v>
      </c>
      <c r="H31" s="3">
        <v>1.0107831347136413</v>
      </c>
    </row>
    <row r="32" spans="1:8" x14ac:dyDescent="0.3">
      <c r="A32" s="2">
        <v>2020</v>
      </c>
      <c r="B32" s="3">
        <v>7</v>
      </c>
      <c r="C32" s="3">
        <v>177463</v>
      </c>
      <c r="D32" s="3">
        <v>-3.4551231135822036</v>
      </c>
      <c r="E32" s="3">
        <v>15401917</v>
      </c>
      <c r="F32" s="3">
        <v>-3.8208710583876426</v>
      </c>
      <c r="G32" s="3">
        <v>0.88363550608698926</v>
      </c>
      <c r="H32" s="3">
        <v>1.01272842687561</v>
      </c>
    </row>
    <row r="33" spans="1:10" x14ac:dyDescent="0.3">
      <c r="A33" s="2">
        <v>2020</v>
      </c>
      <c r="B33" s="3">
        <v>8</v>
      </c>
      <c r="C33" s="3">
        <v>174900</v>
      </c>
      <c r="D33" s="3">
        <v>-5.1127362687441664</v>
      </c>
      <c r="E33" s="3">
        <v>15318882</v>
      </c>
      <c r="F33" s="3">
        <v>-4.1472000993137526</v>
      </c>
      <c r="G33" s="3">
        <v>0.89030612416996058</v>
      </c>
      <c r="H33" s="3">
        <v>1.0309857738077057</v>
      </c>
    </row>
    <row r="34" spans="1:10" x14ac:dyDescent="0.3">
      <c r="A34" s="2">
        <v>2020</v>
      </c>
      <c r="B34" s="3">
        <v>9</v>
      </c>
      <c r="C34" s="3">
        <v>175114</v>
      </c>
      <c r="D34" s="3">
        <v>-1.0951522990291007</v>
      </c>
      <c r="E34" s="3">
        <v>15574599</v>
      </c>
      <c r="F34" s="3">
        <v>-2.3433864235314905</v>
      </c>
      <c r="G34" s="3">
        <v>0.90864702837614342</v>
      </c>
      <c r="H34" s="3">
        <v>1.065271388187111</v>
      </c>
    </row>
    <row r="35" spans="1:10" x14ac:dyDescent="0.3">
      <c r="A35" s="2">
        <v>2020</v>
      </c>
      <c r="B35" s="3">
        <v>10</v>
      </c>
      <c r="C35" s="3">
        <v>176562</v>
      </c>
      <c r="D35" s="3">
        <v>0.17133779643707658</v>
      </c>
      <c r="E35" s="3">
        <v>15705980</v>
      </c>
      <c r="F35" s="3">
        <v>-1.2785903374333052</v>
      </c>
      <c r="G35" s="3">
        <v>0.9378905666388635</v>
      </c>
      <c r="H35" s="3">
        <v>1.1149418864498193</v>
      </c>
    </row>
    <row r="36" spans="1:10" x14ac:dyDescent="0.3">
      <c r="A36" s="2">
        <v>2020</v>
      </c>
      <c r="B36" s="3">
        <v>11</v>
      </c>
      <c r="C36" s="3">
        <v>173930</v>
      </c>
      <c r="D36" s="3">
        <v>-2.2112524808419964</v>
      </c>
      <c r="E36" s="3">
        <v>15693614</v>
      </c>
      <c r="F36" s="3">
        <v>-2.7094962058001992</v>
      </c>
      <c r="G36" s="3">
        <v>0.97712993416037675</v>
      </c>
      <c r="H36" s="3">
        <v>1.1791171726837881</v>
      </c>
    </row>
    <row r="37" spans="1:10" x14ac:dyDescent="0.3">
      <c r="A37" s="2">
        <v>2020</v>
      </c>
      <c r="B37" s="3">
        <v>12</v>
      </c>
      <c r="C37" s="3">
        <v>171479</v>
      </c>
      <c r="D37" s="3">
        <v>-1.7942638535724975</v>
      </c>
      <c r="E37" s="3">
        <v>15621494</v>
      </c>
      <c r="F37" s="3">
        <v>-2.2436075342319617</v>
      </c>
      <c r="G37" s="3">
        <v>1.025405093311675</v>
      </c>
      <c r="H37" s="3">
        <v>1.2567509334614275</v>
      </c>
    </row>
    <row r="38" spans="1:10" x14ac:dyDescent="0.3">
      <c r="A38" s="2">
        <v>2021</v>
      </c>
      <c r="B38" s="3">
        <v>1</v>
      </c>
      <c r="C38" s="3">
        <v>171746</v>
      </c>
      <c r="D38" s="3">
        <v>-0.77762114944653904</v>
      </c>
      <c r="E38" s="3">
        <v>15555300</v>
      </c>
      <c r="F38" s="3">
        <v>-1.4449956786792506</v>
      </c>
      <c r="G38" s="3">
        <v>1.0815345910182637</v>
      </c>
      <c r="H38" s="3">
        <v>1.3465268127594192</v>
      </c>
    </row>
    <row r="39" spans="1:10" x14ac:dyDescent="0.3">
      <c r="A39" s="2">
        <v>2021</v>
      </c>
      <c r="B39" s="3">
        <v>2</v>
      </c>
      <c r="C39" s="3">
        <v>171762</v>
      </c>
      <c r="D39" s="3">
        <v>-1.8850464406895862</v>
      </c>
      <c r="E39" s="3">
        <v>15560359</v>
      </c>
      <c r="F39" s="3">
        <v>-2.7702831600203592</v>
      </c>
      <c r="G39" s="3">
        <v>1.1441411638621146</v>
      </c>
      <c r="H39" s="3">
        <v>1.4468853741052996</v>
      </c>
      <c r="J39" s="4"/>
    </row>
    <row r="40" spans="1:10" x14ac:dyDescent="0.3">
      <c r="A40" s="2">
        <v>2021</v>
      </c>
      <c r="B40" s="3">
        <v>3</v>
      </c>
      <c r="C40" s="3">
        <v>172640</v>
      </c>
      <c r="D40" s="3">
        <v>3.0982012755894184</v>
      </c>
      <c r="E40" s="3">
        <v>15505107</v>
      </c>
      <c r="F40" s="3">
        <v>1.9681861454700078</v>
      </c>
      <c r="G40" s="3">
        <v>1.2117184403876673</v>
      </c>
      <c r="H40" s="3">
        <v>1.5560733252980326</v>
      </c>
    </row>
    <row r="41" spans="1:10" x14ac:dyDescent="0.3">
      <c r="A41" s="2">
        <v>2021</v>
      </c>
      <c r="B41" s="3">
        <v>4</v>
      </c>
      <c r="C41" s="3">
        <v>173326</v>
      </c>
      <c r="D41" s="3">
        <v>3.7681402366013694</v>
      </c>
      <c r="E41" s="3">
        <v>15685077</v>
      </c>
      <c r="F41" s="3">
        <v>3.3496385778421622</v>
      </c>
      <c r="G41" s="3">
        <v>1.2825496888890449</v>
      </c>
      <c r="H41" s="3">
        <v>1.6720445152106012</v>
      </c>
    </row>
    <row r="42" spans="1:10" x14ac:dyDescent="0.3">
      <c r="A42" s="2">
        <v>2021</v>
      </c>
      <c r="B42" s="3">
        <v>5</v>
      </c>
      <c r="C42" s="3">
        <v>175359</v>
      </c>
      <c r="D42" s="3">
        <v>4.1930577176741757</v>
      </c>
      <c r="E42" s="3">
        <v>15922573</v>
      </c>
      <c r="F42" s="3">
        <v>3.7841999879937527</v>
      </c>
      <c r="G42" s="3">
        <v>1.3550491834128153</v>
      </c>
      <c r="H42" s="3">
        <v>1.7927814116618341</v>
      </c>
    </row>
    <row r="43" spans="1:10" x14ac:dyDescent="0.3">
      <c r="A43" s="2">
        <v>2021</v>
      </c>
      <c r="B43" s="3">
        <v>6</v>
      </c>
      <c r="C43" s="3">
        <v>178940</v>
      </c>
      <c r="D43" s="3">
        <v>5.5562437692085354</v>
      </c>
      <c r="E43" s="3">
        <v>15954053</v>
      </c>
      <c r="F43" s="3">
        <v>4.794740863776692</v>
      </c>
      <c r="G43" s="3">
        <v>1.4278038084602491</v>
      </c>
      <c r="H43" s="3">
        <v>1.9163829820582432</v>
      </c>
    </row>
    <row r="44" spans="1:10" x14ac:dyDescent="0.3">
      <c r="A44" s="2">
        <v>2021</v>
      </c>
      <c r="B44" s="3">
        <v>7</v>
      </c>
      <c r="C44" s="3">
        <v>186361</v>
      </c>
      <c r="D44" s="3">
        <v>5.0140029189183144</v>
      </c>
      <c r="E44" s="3">
        <v>16212122</v>
      </c>
      <c r="F44" s="3">
        <v>5.2604166091792415</v>
      </c>
      <c r="G44" s="3">
        <v>1.4995975324586071</v>
      </c>
      <c r="H44" s="3">
        <v>2.0410864867630294</v>
      </c>
    </row>
    <row r="45" spans="1:10" x14ac:dyDescent="0.3">
      <c r="A45" s="2">
        <v>2021</v>
      </c>
      <c r="B45" s="3">
        <v>8</v>
      </c>
      <c r="C45" s="3">
        <v>180598</v>
      </c>
      <c r="D45" s="3">
        <v>3.2578616352201273</v>
      </c>
      <c r="E45" s="3">
        <v>15872765</v>
      </c>
      <c r="F45" s="3">
        <v>3.6156881422547693</v>
      </c>
      <c r="G45" s="3">
        <v>1.5695010210546465</v>
      </c>
      <c r="H45" s="3">
        <v>2.1653290721034026</v>
      </c>
    </row>
    <row r="46" spans="1:10" x14ac:dyDescent="0.3">
      <c r="A46" s="2">
        <v>2021</v>
      </c>
      <c r="B46" s="3">
        <v>9</v>
      </c>
      <c r="C46" s="3">
        <v>179844</v>
      </c>
      <c r="D46" s="3">
        <v>2.7010975707253637</v>
      </c>
      <c r="E46" s="3">
        <v>16119328</v>
      </c>
      <c r="F46" s="3">
        <v>3.4975475131012956</v>
      </c>
      <c r="G46" s="3">
        <v>1.6368289958247402</v>
      </c>
      <c r="H46" s="3">
        <v>2.2877714489984071</v>
      </c>
    </row>
    <row r="47" spans="1:10" x14ac:dyDescent="0.3">
      <c r="A47" s="2">
        <v>2021</v>
      </c>
      <c r="B47" s="3">
        <v>10</v>
      </c>
      <c r="C47" s="3">
        <v>180867</v>
      </c>
      <c r="D47" s="3">
        <v>2.4382369932375081</v>
      </c>
      <c r="E47" s="3">
        <v>16360164</v>
      </c>
      <c r="F47" s="3">
        <v>4.1651905834592995</v>
      </c>
      <c r="G47" s="3">
        <v>1.701013425610133</v>
      </c>
      <c r="H47" s="3">
        <v>2.4071750477469585</v>
      </c>
    </row>
    <row r="48" spans="1:10" x14ac:dyDescent="0.3">
      <c r="A48" s="2">
        <v>2021</v>
      </c>
      <c r="B48" s="3">
        <v>11</v>
      </c>
      <c r="C48" s="3">
        <v>179565</v>
      </c>
      <c r="D48" s="3">
        <v>3.2398091186109257</v>
      </c>
      <c r="E48" s="3">
        <v>16391596</v>
      </c>
      <c r="F48" s="3">
        <v>4.4475542727124617</v>
      </c>
      <c r="G48" s="3">
        <v>1.7615601867919937</v>
      </c>
      <c r="H48" s="3">
        <v>2.5223853108746455</v>
      </c>
    </row>
    <row r="49" spans="1:8" x14ac:dyDescent="0.3">
      <c r="A49" s="2">
        <v>2021</v>
      </c>
      <c r="B49" s="3">
        <v>12</v>
      </c>
      <c r="C49" s="3">
        <v>178083</v>
      </c>
      <c r="D49" s="3">
        <v>3.8512004385376608</v>
      </c>
      <c r="E49" s="3">
        <v>16364988</v>
      </c>
      <c r="F49" s="3">
        <v>4.7594295398378561</v>
      </c>
      <c r="G49" s="3">
        <v>1.8180263518325759</v>
      </c>
      <c r="H49" s="3">
        <v>2.6323697653192597</v>
      </c>
    </row>
    <row r="50" spans="1:8" x14ac:dyDescent="0.3">
      <c r="A50" s="2">
        <v>2022</v>
      </c>
      <c r="B50" s="3">
        <v>1</v>
      </c>
      <c r="C50" s="3">
        <v>176940</v>
      </c>
      <c r="D50" s="3">
        <v>3.0242334610413035</v>
      </c>
      <c r="E50" s="3">
        <v>16214468</v>
      </c>
      <c r="F50" s="3">
        <v>4.237578188784541</v>
      </c>
      <c r="G50" s="3">
        <v>1.8700716493699543</v>
      </c>
      <c r="H50" s="3">
        <v>2.736229630307609</v>
      </c>
    </row>
    <row r="51" spans="1:8" x14ac:dyDescent="0.3">
      <c r="A51" s="2">
        <v>2022</v>
      </c>
      <c r="B51" s="3">
        <v>2</v>
      </c>
      <c r="C51" s="3">
        <v>177467</v>
      </c>
      <c r="D51" s="3">
        <v>3.3214564339027364</v>
      </c>
      <c r="E51" s="3">
        <v>16333771</v>
      </c>
      <c r="F51" s="3">
        <v>4.9703994618633063</v>
      </c>
      <c r="G51" s="3">
        <v>1.9174970006871133</v>
      </c>
      <c r="H51" s="3">
        <v>2.8332138375508427</v>
      </c>
    </row>
    <row r="52" spans="1:8" x14ac:dyDescent="0.3">
      <c r="A52" s="2">
        <v>2022</v>
      </c>
      <c r="B52" s="3">
        <v>3</v>
      </c>
      <c r="C52" s="3">
        <v>179411</v>
      </c>
      <c r="D52" s="3">
        <v>3.9220342910101902</v>
      </c>
      <c r="E52" s="3">
        <v>16435190</v>
      </c>
      <c r="F52" s="3">
        <v>5.9985590554131551</v>
      </c>
      <c r="G52" s="3">
        <v>1.9601834771928481</v>
      </c>
      <c r="H52" s="3">
        <v>2.922675579076671</v>
      </c>
    </row>
    <row r="53" spans="1:8" x14ac:dyDescent="0.3">
      <c r="A53" s="2">
        <v>2022</v>
      </c>
      <c r="B53" s="3">
        <v>4</v>
      </c>
      <c r="C53" s="3">
        <v>182454</v>
      </c>
      <c r="D53" s="3">
        <v>5.2663766543969093</v>
      </c>
      <c r="E53" s="3">
        <v>16748615</v>
      </c>
      <c r="F53" s="3">
        <v>6.7805723873717749</v>
      </c>
      <c r="G53" s="3">
        <v>1.9981096474788163</v>
      </c>
      <c r="H53" s="3">
        <v>3.0041164625811598</v>
      </c>
    </row>
    <row r="54" spans="1:8" x14ac:dyDescent="0.3">
      <c r="A54" s="2">
        <v>2022</v>
      </c>
      <c r="B54" s="3">
        <v>5</v>
      </c>
      <c r="C54" s="3">
        <v>182167</v>
      </c>
      <c r="D54" s="3">
        <v>3.8823214092233549</v>
      </c>
      <c r="E54" s="3">
        <v>16820797</v>
      </c>
      <c r="F54" s="3">
        <v>5.6411988188090012</v>
      </c>
      <c r="G54" s="3">
        <v>2.0313903197765235</v>
      </c>
      <c r="H54" s="3">
        <v>3.0772516987795648</v>
      </c>
    </row>
    <row r="55" spans="1:8" x14ac:dyDescent="0.3">
      <c r="A55" s="2">
        <v>2022</v>
      </c>
      <c r="B55" s="3">
        <v>6</v>
      </c>
      <c r="C55" s="3">
        <v>183927</v>
      </c>
      <c r="D55" s="3">
        <v>2.786967698669951</v>
      </c>
      <c r="E55" s="3">
        <v>16742682</v>
      </c>
      <c r="F55" s="3">
        <v>4.943126364190964</v>
      </c>
      <c r="G55" s="3">
        <v>2.0603672653040679</v>
      </c>
      <c r="H55" s="3">
        <v>3.1420587522708083</v>
      </c>
    </row>
    <row r="56" spans="1:8" x14ac:dyDescent="0.3">
      <c r="A56" s="2">
        <v>2022</v>
      </c>
      <c r="B56" s="3">
        <v>7</v>
      </c>
      <c r="C56" s="3">
        <v>190330</v>
      </c>
      <c r="D56" s="3">
        <v>2.1297374450663042</v>
      </c>
      <c r="E56" s="3">
        <v>16923945</v>
      </c>
      <c r="F56" s="3">
        <v>4.390683711854626</v>
      </c>
      <c r="G56" s="3">
        <v>2.0855107921607585</v>
      </c>
      <c r="H56" s="3">
        <v>3.1986931395371472</v>
      </c>
    </row>
    <row r="57" spans="1:8" x14ac:dyDescent="0.3">
      <c r="A57" s="2">
        <v>2022</v>
      </c>
      <c r="B57" s="3">
        <v>8</v>
      </c>
      <c r="C57" s="3">
        <v>183633</v>
      </c>
      <c r="D57" s="3">
        <v>1.6805280235661524</v>
      </c>
      <c r="E57" s="3">
        <v>16533680</v>
      </c>
      <c r="F57" s="3">
        <v>4.1638303093380458</v>
      </c>
      <c r="G57" s="3">
        <v>2.1073416668093321</v>
      </c>
      <c r="H57" s="3">
        <v>3.2474354512005545</v>
      </c>
    </row>
    <row r="58" spans="1:8" x14ac:dyDescent="0.3">
      <c r="A58" s="2">
        <v>2022</v>
      </c>
      <c r="B58" s="3">
        <v>9</v>
      </c>
      <c r="C58" s="3">
        <v>182505</v>
      </c>
      <c r="D58" s="3">
        <v>1.479615666911327</v>
      </c>
      <c r="E58" s="3">
        <v>16721596</v>
      </c>
      <c r="F58" s="3">
        <v>3.7363096029809695</v>
      </c>
      <c r="G58" s="3">
        <v>2.126383727007866</v>
      </c>
      <c r="H58" s="3">
        <v>3.2886490550060814</v>
      </c>
    </row>
    <row r="59" spans="1:8" x14ac:dyDescent="0.3">
      <c r="A59" s="2">
        <v>2022</v>
      </c>
      <c r="B59" s="3">
        <v>10</v>
      </c>
      <c r="C59" s="3">
        <v>182836</v>
      </c>
      <c r="D59" s="3">
        <v>1.088645247612896</v>
      </c>
      <c r="E59" s="3">
        <v>16806289</v>
      </c>
      <c r="F59" s="3">
        <v>2.7268980922196207</v>
      </c>
      <c r="G59" s="3">
        <v>2.1431311706781018</v>
      </c>
      <c r="H59" s="3">
        <v>3.3227609572305936</v>
      </c>
    </row>
    <row r="60" spans="1:8" x14ac:dyDescent="0.3">
      <c r="A60" s="2">
        <v>2022</v>
      </c>
      <c r="B60" s="3">
        <v>11</v>
      </c>
      <c r="C60" s="3">
        <v>182332</v>
      </c>
      <c r="D60" s="3">
        <v>1.5409461754796405</v>
      </c>
      <c r="E60" s="3">
        <v>16902073</v>
      </c>
      <c r="F60" s="3">
        <v>3.1142605027600689</v>
      </c>
      <c r="G60" s="3">
        <v>2.1580332812931626</v>
      </c>
      <c r="H60" s="3">
        <v>3.3502292516890111</v>
      </c>
    </row>
    <row r="61" spans="1:8" x14ac:dyDescent="0.3">
      <c r="A61" s="2">
        <v>2022</v>
      </c>
      <c r="B61" s="3">
        <v>12</v>
      </c>
      <c r="C61" s="3">
        <v>180480</v>
      </c>
      <c r="D61" s="3">
        <v>1.3460015835312644</v>
      </c>
      <c r="E61" s="3">
        <v>16821825</v>
      </c>
      <c r="F61" s="3">
        <v>2.7915510845470726</v>
      </c>
      <c r="G61" s="3">
        <v>2.1714661141370701</v>
      </c>
      <c r="H61" s="3">
        <v>3.3714706528306277</v>
      </c>
    </row>
    <row r="62" spans="1:8" x14ac:dyDescent="0.3">
      <c r="A62" s="2">
        <v>2023</v>
      </c>
      <c r="B62" s="3">
        <v>1</v>
      </c>
      <c r="C62" s="3">
        <v>178599</v>
      </c>
      <c r="D62" s="3">
        <v>0.93760596812477726</v>
      </c>
      <c r="E62" s="3">
        <v>16689755</v>
      </c>
      <c r="F62" s="3">
        <v>2.9312525085620988</v>
      </c>
      <c r="G62" s="3">
        <v>2.1837628712226089</v>
      </c>
      <c r="H62" s="3">
        <v>3.3868854883860613</v>
      </c>
    </row>
    <row r="63" spans="1:8" x14ac:dyDescent="0.3">
      <c r="A63" s="2">
        <v>2023</v>
      </c>
      <c r="B63" s="3">
        <v>2</v>
      </c>
      <c r="C63" s="3">
        <v>179873</v>
      </c>
      <c r="D63" s="3">
        <v>1.3557450117486658</v>
      </c>
      <c r="E63" s="3">
        <v>16826019</v>
      </c>
      <c r="F63" s="3">
        <v>3.0136825109155829</v>
      </c>
      <c r="G63" s="3">
        <v>2.1951994306368268</v>
      </c>
      <c r="H63" s="3">
        <v>3.396833813893688</v>
      </c>
    </row>
    <row r="64" spans="1:8" x14ac:dyDescent="0.3">
      <c r="A64" s="2">
        <v>2023</v>
      </c>
      <c r="B64" s="3">
        <v>3</v>
      </c>
      <c r="C64" s="3">
        <v>183592</v>
      </c>
      <c r="D64" s="3">
        <v>2.3304033754897979</v>
      </c>
      <c r="E64" s="3">
        <v>17020461</v>
      </c>
      <c r="F64" s="3">
        <v>3.5610844778794837</v>
      </c>
      <c r="G64" s="3">
        <v>2.205965131792945</v>
      </c>
      <c r="H64" s="3">
        <v>3.4016440437127291</v>
      </c>
    </row>
    <row r="65" spans="1:8" x14ac:dyDescent="0.3">
      <c r="A65" s="2">
        <v>2023</v>
      </c>
      <c r="B65" s="3">
        <v>4</v>
      </c>
      <c r="C65" s="3">
        <v>186506</v>
      </c>
      <c r="D65" s="3">
        <v>2.2208337443958559</v>
      </c>
      <c r="E65" s="3">
        <v>17326729</v>
      </c>
      <c r="F65" s="3">
        <v>3.4517122759105678</v>
      </c>
      <c r="G65" s="3">
        <v>2.2161910186584288</v>
      </c>
      <c r="H65" s="3">
        <v>3.4016179844730323</v>
      </c>
    </row>
    <row r="66" spans="1:8" x14ac:dyDescent="0.3">
      <c r="A66" s="2">
        <v>2023</v>
      </c>
      <c r="B66" s="3">
        <v>5</v>
      </c>
      <c r="C66" s="3">
        <v>186262</v>
      </c>
      <c r="D66" s="3">
        <v>2.2479373322281226</v>
      </c>
      <c r="E66" s="3">
        <v>17362461</v>
      </c>
      <c r="F66" s="3">
        <v>3.2202041318256214</v>
      </c>
      <c r="G66" s="3">
        <v>2.2260167767454444</v>
      </c>
      <c r="H66" s="3">
        <v>3.3970685150568181</v>
      </c>
    </row>
    <row r="67" spans="1:8" x14ac:dyDescent="0.3">
      <c r="A67" s="2">
        <v>2023</v>
      </c>
      <c r="B67" s="3">
        <v>6</v>
      </c>
      <c r="C67" s="3">
        <v>188555</v>
      </c>
      <c r="D67" s="3">
        <v>2.5162156725222484</v>
      </c>
      <c r="E67" s="3">
        <v>17245949</v>
      </c>
      <c r="F67" s="3">
        <v>3.0058923653928371</v>
      </c>
      <c r="G67" s="3">
        <v>2.2355824139776677</v>
      </c>
      <c r="H67" s="3">
        <v>3.3883119931165449</v>
      </c>
    </row>
    <row r="68" spans="1:8" x14ac:dyDescent="0.3">
      <c r="A68" s="2">
        <v>2023</v>
      </c>
      <c r="B68" s="3">
        <v>7</v>
      </c>
      <c r="C68" s="3">
        <v>193771</v>
      </c>
      <c r="D68" s="3">
        <v>1.8079125728996948</v>
      </c>
      <c r="E68" s="3">
        <v>17338131</v>
      </c>
      <c r="F68" s="3">
        <v>2.4473371899991436</v>
      </c>
      <c r="G68" s="3">
        <v>2.2450294605395711</v>
      </c>
      <c r="H68" s="3">
        <v>3.3756524940558359</v>
      </c>
    </row>
    <row r="69" spans="1:8" x14ac:dyDescent="0.3">
      <c r="A69" s="2">
        <v>2023</v>
      </c>
      <c r="B69" s="3">
        <v>8</v>
      </c>
      <c r="C69" s="3">
        <v>187746</v>
      </c>
      <c r="D69" s="3">
        <v>2.2397935011680969</v>
      </c>
      <c r="E69" s="3">
        <v>17091975</v>
      </c>
      <c r="F69" s="3">
        <v>3.376713472136883</v>
      </c>
      <c r="G69" s="3">
        <v>2.2545189350363599</v>
      </c>
      <c r="H69" s="3">
        <v>3.3593675363597222</v>
      </c>
    </row>
    <row r="70" spans="1:8" x14ac:dyDescent="0.3">
      <c r="A70" s="2">
        <v>2023</v>
      </c>
      <c r="B70" s="3">
        <v>9</v>
      </c>
      <c r="C70" s="3">
        <v>187960</v>
      </c>
      <c r="D70" s="3">
        <v>2.9889592065970749</v>
      </c>
      <c r="E70" s="3">
        <v>17446005</v>
      </c>
      <c r="F70" s="3">
        <v>4.3321761870098952</v>
      </c>
      <c r="G70" s="3">
        <v>2.2641815007338204</v>
      </c>
      <c r="H70" s="3">
        <v>3.339670172172676</v>
      </c>
    </row>
    <row r="71" spans="1:8" x14ac:dyDescent="0.3">
      <c r="A71" s="2">
        <v>2023</v>
      </c>
      <c r="B71" s="3">
        <v>10</v>
      </c>
      <c r="C71" s="3">
        <v>185103</v>
      </c>
      <c r="D71" s="3">
        <v>1.2399089894769011</v>
      </c>
      <c r="E71" s="3">
        <v>17311455</v>
      </c>
      <c r="F71" s="3">
        <v>3.0058152635599633</v>
      </c>
      <c r="G71" s="3">
        <v>2.2741467982981645</v>
      </c>
      <c r="H71" s="3">
        <v>3.3167746582180424</v>
      </c>
    </row>
    <row r="72" spans="1:8" x14ac:dyDescent="0.3">
      <c r="A72" s="2">
        <v>2023</v>
      </c>
      <c r="B72" s="3">
        <v>11</v>
      </c>
      <c r="C72" s="3">
        <v>184899</v>
      </c>
      <c r="D72" s="3">
        <v>1.4078713555492284</v>
      </c>
      <c r="E72" s="3">
        <v>17410857</v>
      </c>
      <c r="F72" s="3">
        <v>3.0101869752899635</v>
      </c>
      <c r="G72" s="3">
        <v>2.2845948001807326</v>
      </c>
      <c r="H72" s="3">
        <v>3.2909641752479741</v>
      </c>
    </row>
    <row r="73" spans="1:8" x14ac:dyDescent="0.3">
      <c r="A73" s="2">
        <v>2023</v>
      </c>
      <c r="B73" s="3">
        <v>12</v>
      </c>
      <c r="C73" s="3">
        <v>184531</v>
      </c>
      <c r="D73" s="3">
        <v>2.244570035460991</v>
      </c>
      <c r="E73" s="3">
        <v>17380424</v>
      </c>
      <c r="F73" s="3">
        <v>3.3206801283451659</v>
      </c>
      <c r="G73" s="3">
        <v>2.2956336567628091</v>
      </c>
      <c r="H73" s="3">
        <v>3.2625003096122178</v>
      </c>
    </row>
    <row r="74" spans="1:8" x14ac:dyDescent="0.3">
      <c r="A74" s="2">
        <v>2024</v>
      </c>
      <c r="B74" s="3">
        <v>1</v>
      </c>
      <c r="C74" s="3">
        <v>181943</v>
      </c>
      <c r="D74" s="3">
        <v>1.8723509090196488</v>
      </c>
      <c r="E74" s="3">
        <v>17187297</v>
      </c>
      <c r="F74" s="3">
        <v>2.981122251345214</v>
      </c>
      <c r="G74" s="3">
        <v>2.3073106348531343</v>
      </c>
      <c r="H74" s="3">
        <v>3.2316251492438566</v>
      </c>
    </row>
    <row r="75" spans="1:8" x14ac:dyDescent="0.3">
      <c r="A75" s="2">
        <v>2024</v>
      </c>
      <c r="B75" s="3">
        <v>2</v>
      </c>
      <c r="C75" s="3">
        <v>183098</v>
      </c>
      <c r="D75" s="3">
        <v>1.7929316795739281</v>
      </c>
      <c r="E75" s="3">
        <v>17329643</v>
      </c>
      <c r="F75" s="3">
        <v>2.9931263004041586</v>
      </c>
      <c r="G75" s="3">
        <v>2.3196694551756356</v>
      </c>
      <c r="H75" s="3">
        <v>3.1985848223411626</v>
      </c>
    </row>
    <row r="76" spans="1:8" x14ac:dyDescent="0.3">
      <c r="A76" s="2">
        <v>2024</v>
      </c>
      <c r="B76" s="3">
        <v>3</v>
      </c>
      <c r="C76" s="3">
        <v>187364</v>
      </c>
      <c r="D76" s="3">
        <v>2.0545557540633475</v>
      </c>
      <c r="E76" s="3">
        <v>17587531</v>
      </c>
      <c r="F76" s="3">
        <v>3.3316958923732987</v>
      </c>
      <c r="G76" s="3">
        <v>2.3327236329177246</v>
      </c>
      <c r="H76" s="3">
        <v>3.1636080610678321</v>
      </c>
    </row>
    <row r="77" spans="1:8" x14ac:dyDescent="0.3">
      <c r="A77" s="2">
        <v>2024</v>
      </c>
      <c r="B77" s="3">
        <v>4</v>
      </c>
      <c r="C77" s="3">
        <v>188060</v>
      </c>
      <c r="D77" s="3">
        <v>0.83321716191435691</v>
      </c>
      <c r="E77" s="3">
        <v>17707148</v>
      </c>
      <c r="F77" s="3">
        <v>2.1955615511733306</v>
      </c>
      <c r="G77" s="3">
        <v>2.3464501042546182</v>
      </c>
      <c r="H77" s="3">
        <v>3.1269093296346497</v>
      </c>
    </row>
    <row r="78" spans="1:8" x14ac:dyDescent="0.3">
      <c r="A78" s="2">
        <v>2024</v>
      </c>
      <c r="B78" s="3">
        <v>5</v>
      </c>
      <c r="C78" s="3">
        <v>189541</v>
      </c>
      <c r="D78" s="3">
        <v>1.7604234894933013</v>
      </c>
      <c r="E78" s="3">
        <v>17833584</v>
      </c>
      <c r="F78" s="3">
        <v>2.7134574989110094</v>
      </c>
      <c r="G78" s="3">
        <v>2.3608064881477246</v>
      </c>
      <c r="H78" s="3">
        <v>3.0887147650184632</v>
      </c>
    </row>
    <row r="79" spans="1:8" x14ac:dyDescent="0.3">
      <c r="A79" s="2">
        <v>2024</v>
      </c>
      <c r="B79" s="3">
        <v>6</v>
      </c>
      <c r="C79" s="3">
        <v>193307</v>
      </c>
      <c r="D79" s="3">
        <v>2.5202195645832814</v>
      </c>
      <c r="E79" s="3">
        <v>17920302</v>
      </c>
      <c r="F79" s="3">
        <v>3.9102110298482318</v>
      </c>
      <c r="G79" s="3">
        <v>2.3756453179374564</v>
      </c>
      <c r="H79" s="3">
        <v>3.0491858272670611</v>
      </c>
    </row>
    <row r="80" spans="1:8" x14ac:dyDescent="0.3">
      <c r="A80" s="2">
        <v>2024</v>
      </c>
      <c r="B80" s="3">
        <v>7</v>
      </c>
      <c r="C80" s="3">
        <v>196800</v>
      </c>
      <c r="D80" s="3">
        <v>1.5631854095814024</v>
      </c>
      <c r="E80" s="3">
        <v>17786059</v>
      </c>
      <c r="F80" s="3">
        <v>2.5834849211832545</v>
      </c>
      <c r="G80" s="3">
        <v>2.3907774337004306</v>
      </c>
      <c r="H80" s="3">
        <v>3.0084579168958636</v>
      </c>
    </row>
    <row r="81" spans="1:8" x14ac:dyDescent="0.3">
      <c r="A81" s="2">
        <v>2024</v>
      </c>
      <c r="B81" s="3">
        <v>8</v>
      </c>
      <c r="C81" s="3">
        <v>197392</v>
      </c>
      <c r="D81" s="3">
        <v>5.1377925495083687</v>
      </c>
      <c r="E81" s="3">
        <v>17740102</v>
      </c>
      <c r="F81" s="3">
        <v>3.7919959513163404</v>
      </c>
      <c r="G81" s="3">
        <v>2.4060237153915045</v>
      </c>
      <c r="H81" s="3">
        <v>2.9667262278371367</v>
      </c>
    </row>
    <row r="82" spans="1:8" x14ac:dyDescent="0.3">
      <c r="A82" s="2">
        <v>2024</v>
      </c>
      <c r="B82" s="3">
        <v>9</v>
      </c>
      <c r="C82" s="3">
        <v>191051</v>
      </c>
      <c r="D82" s="3">
        <v>1.6444988295382101</v>
      </c>
      <c r="E82" s="3">
        <v>17760376</v>
      </c>
      <c r="F82" s="3">
        <v>1.801965550279272</v>
      </c>
      <c r="G82" s="3">
        <v>2.4211475712971939</v>
      </c>
      <c r="H82" s="3">
        <v>2.9241564420095565</v>
      </c>
    </row>
    <row r="83" spans="1:8" x14ac:dyDescent="0.3">
      <c r="A83" s="2">
        <v>2024</v>
      </c>
      <c r="B83" s="3">
        <v>10</v>
      </c>
      <c r="C83" s="3">
        <v>189808</v>
      </c>
      <c r="D83" s="3">
        <v>2.5418280632944823</v>
      </c>
      <c r="E83" s="3">
        <v>17709419</v>
      </c>
      <c r="F83" s="3">
        <v>2.2988477860468759</v>
      </c>
      <c r="G83" s="3">
        <v>2.4361021158730507</v>
      </c>
      <c r="H83" s="3">
        <v>2.8809715517292629</v>
      </c>
    </row>
    <row r="84" spans="1:8" x14ac:dyDescent="0.3">
      <c r="A84" s="2">
        <v>2024</v>
      </c>
      <c r="B84" s="3">
        <v>11</v>
      </c>
      <c r="C84" s="3">
        <v>191479</v>
      </c>
      <c r="D84" s="3">
        <v>3.5586996143840643</v>
      </c>
      <c r="E84" s="3">
        <v>17950818</v>
      </c>
      <c r="F84" s="3">
        <v>3.1012890405107463</v>
      </c>
      <c r="G84" s="3">
        <v>2.4507865296342271</v>
      </c>
      <c r="H84" s="3">
        <v>2.8373166193893593</v>
      </c>
    </row>
    <row r="85" spans="1:8" x14ac:dyDescent="0.3">
      <c r="A85" s="2">
        <v>2024</v>
      </c>
      <c r="B85" s="3">
        <v>12</v>
      </c>
      <c r="C85" s="3">
        <v>188884</v>
      </c>
      <c r="D85" s="3">
        <v>2.3589532382092937</v>
      </c>
      <c r="E85" s="3">
        <v>17807183</v>
      </c>
      <c r="F85" s="3">
        <v>2.455400397596752</v>
      </c>
      <c r="G85" s="3">
        <v>2.4651073351755568</v>
      </c>
      <c r="H85" s="3">
        <v>2.7932962821214429</v>
      </c>
    </row>
    <row r="86" spans="1:8" x14ac:dyDescent="0.3">
      <c r="A86" s="2">
        <v>2025</v>
      </c>
      <c r="B86" s="3">
        <v>1</v>
      </c>
      <c r="C86" s="3">
        <v>186957</v>
      </c>
      <c r="D86" s="3">
        <v>2.7558081377134558</v>
      </c>
      <c r="E86" s="3">
        <v>17614754</v>
      </c>
      <c r="F86" s="3">
        <v>2.4870519197986773</v>
      </c>
      <c r="G86" s="3">
        <v>2.479047993500537</v>
      </c>
      <c r="H86" s="3">
        <v>2.749033508475244</v>
      </c>
    </row>
    <row r="87" spans="1:8" x14ac:dyDescent="0.3">
      <c r="A87" s="2">
        <v>2025</v>
      </c>
      <c r="B87" s="3">
        <v>2</v>
      </c>
      <c r="C87" s="3">
        <v>188665</v>
      </c>
      <c r="D87" s="3">
        <v>3.0404482845252323</v>
      </c>
      <c r="E87" s="3">
        <v>17756326</v>
      </c>
      <c r="F87" s="3">
        <v>2.4621568949804606</v>
      </c>
      <c r="G87" s="3">
        <v>2.492584593800375</v>
      </c>
      <c r="H87" s="3">
        <v>2.7046278020085119</v>
      </c>
    </row>
    <row r="88" spans="1:8" x14ac:dyDescent="0.3">
      <c r="A88" s="2">
        <v>2025</v>
      </c>
      <c r="B88" s="3">
        <v>3</v>
      </c>
      <c r="C88" s="3">
        <v>191170</v>
      </c>
      <c r="D88" s="3">
        <v>2.0313400653273916</v>
      </c>
      <c r="E88" s="3">
        <v>17925280</v>
      </c>
      <c r="F88" s="3">
        <v>1.9203889391865125</v>
      </c>
      <c r="G88" s="3">
        <v>2.5057124447207375</v>
      </c>
      <c r="H88" s="3">
        <v>2.6601604731131157</v>
      </c>
    </row>
    <row r="89" spans="1:8" x14ac:dyDescent="0.3">
      <c r="A89" s="2">
        <v>2025</v>
      </c>
      <c r="B89" s="3">
        <v>4</v>
      </c>
      <c r="C89" s="3">
        <v>193947</v>
      </c>
      <c r="D89" s="3">
        <v>3.1303839200255146</v>
      </c>
      <c r="E89" s="3">
        <v>18141450</v>
      </c>
      <c r="F89" s="3">
        <v>2.4526931157970777</v>
      </c>
      <c r="G89" s="3">
        <v>2.5184649009969244</v>
      </c>
      <c r="H89" s="3">
        <v>2.6156959939234916</v>
      </c>
    </row>
    <row r="90" spans="1:8" x14ac:dyDescent="0.3">
      <c r="A90" s="2">
        <v>2025</v>
      </c>
      <c r="B90" s="3">
        <v>5</v>
      </c>
      <c r="C90" s="3">
        <v>196121</v>
      </c>
      <c r="D90" s="3">
        <v>3.4715444151924846</v>
      </c>
      <c r="E90" s="3">
        <v>18368301</v>
      </c>
      <c r="F90" s="3">
        <v>2.9983709387860547</v>
      </c>
      <c r="G90" s="3">
        <v>2.5308423748378894</v>
      </c>
      <c r="H90" s="3">
        <v>2.5712474635508866</v>
      </c>
    </row>
    <row r="91" spans="1:8" x14ac:dyDescent="0.3">
      <c r="A91" s="2">
        <v>2025</v>
      </c>
      <c r="B91" s="3">
        <v>6</v>
      </c>
      <c r="C91" s="3">
        <v>197826</v>
      </c>
      <c r="D91" s="3">
        <v>2.3377322083525165</v>
      </c>
      <c r="E91" s="3">
        <v>18234378</v>
      </c>
      <c r="F91" s="3">
        <v>1.7526267135453466</v>
      </c>
      <c r="G91" s="3">
        <v>2.5428877728289065</v>
      </c>
      <c r="H91" s="3">
        <v>2.5268166614622332</v>
      </c>
    </row>
    <row r="92" spans="1:8" x14ac:dyDescent="0.3">
      <c r="A92" s="2">
        <v>2025</v>
      </c>
      <c r="B92" s="3">
        <v>7</v>
      </c>
      <c r="C92" s="3">
        <v>201378</v>
      </c>
      <c r="D92" s="3">
        <v>2.3262195121951157</v>
      </c>
      <c r="E92" s="3">
        <v>18234942</v>
      </c>
      <c r="F92" s="3">
        <v>2.5237912457166667</v>
      </c>
      <c r="G92" s="3">
        <v>2.5547093280858304</v>
      </c>
      <c r="H92" s="3">
        <v>2.4824350284769103</v>
      </c>
    </row>
    <row r="93" spans="1:8" x14ac:dyDescent="0.3">
      <c r="A93" s="2">
        <v>2025</v>
      </c>
      <c r="B93" s="3">
        <v>8</v>
      </c>
      <c r="C93" s="3">
        <v>201708</v>
      </c>
      <c r="D93" s="3">
        <v>2.1865121180189684</v>
      </c>
      <c r="E93" s="3">
        <v>18203413</v>
      </c>
      <c r="F93" s="3">
        <v>2.6116591663339905</v>
      </c>
      <c r="G93" s="3">
        <v>2.5664010268103166</v>
      </c>
      <c r="H93" s="3">
        <v>2.43808024222347</v>
      </c>
    </row>
    <row r="94" spans="1:8" x14ac:dyDescent="0.3">
      <c r="A94" s="2">
        <v>2025</v>
      </c>
      <c r="B94" s="3">
        <v>9</v>
      </c>
      <c r="C94" s="3">
        <v>194553</v>
      </c>
      <c r="D94" s="3">
        <v>1.8330184086971624</v>
      </c>
      <c r="E94" s="3">
        <v>18204428</v>
      </c>
      <c r="F94" s="3">
        <v>2.500239859786757</v>
      </c>
      <c r="G94" s="3">
        <v>2.5780409878556947</v>
      </c>
      <c r="H94" s="3">
        <v>2.3937328522899946</v>
      </c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3:8" x14ac:dyDescent="0.3">
      <c r="C97" s="4"/>
      <c r="D97" s="3"/>
      <c r="E97" s="4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H97"/>
  <sheetViews>
    <sheetView topLeftCell="A91" workbookViewId="0">
      <selection activeCell="B95" sqref="B95"/>
    </sheetView>
  </sheetViews>
  <sheetFormatPr baseColWidth="10" defaultColWidth="11.42578125" defaultRowHeight="13.5" x14ac:dyDescent="0.3"/>
  <cols>
    <col min="1" max="1" width="4.42578125" style="2" bestFit="1" customWidth="1"/>
    <col min="2" max="2" width="5.140625" style="2" bestFit="1" customWidth="1"/>
    <col min="3" max="3" width="13.42578125" style="2" bestFit="1" customWidth="1"/>
    <col min="4" max="4" width="20.5703125" style="2" bestFit="1" customWidth="1"/>
    <col min="5" max="5" width="13.42578125" style="2" bestFit="1" customWidth="1"/>
    <col min="6" max="6" width="11.140625" style="2" bestFit="1" customWidth="1"/>
    <col min="7" max="7" width="18.28515625" style="2" bestFit="1" customWidth="1"/>
    <col min="8" max="8" width="15.570312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</row>
    <row r="2" spans="1:8" x14ac:dyDescent="0.3">
      <c r="A2" s="2">
        <v>2018</v>
      </c>
      <c r="B2" s="5">
        <v>1</v>
      </c>
      <c r="C2" s="5">
        <v>41572</v>
      </c>
      <c r="D2" s="5">
        <v>-0.88925974490403625</v>
      </c>
      <c r="E2" s="5">
        <v>3208783</v>
      </c>
      <c r="F2" s="5">
        <v>0.60580768976326027</v>
      </c>
      <c r="G2" s="5">
        <v>-0.42928407348779335</v>
      </c>
      <c r="H2" s="5">
        <v>0.84123255332981461</v>
      </c>
    </row>
    <row r="3" spans="1:8" x14ac:dyDescent="0.3">
      <c r="A3" s="2">
        <v>2018</v>
      </c>
      <c r="B3" s="5">
        <v>2</v>
      </c>
      <c r="C3" s="5">
        <v>41687</v>
      </c>
      <c r="D3" s="5">
        <v>-0.67902411131229856</v>
      </c>
      <c r="E3" s="5">
        <v>3225856</v>
      </c>
      <c r="F3" s="5">
        <v>0.85549663544675081</v>
      </c>
      <c r="G3" s="5">
        <v>-0.45151314599416692</v>
      </c>
      <c r="H3" s="5">
        <v>0.81934038304267343</v>
      </c>
    </row>
    <row r="4" spans="1:8" x14ac:dyDescent="0.3">
      <c r="A4" s="2">
        <v>2018</v>
      </c>
      <c r="B4" s="5">
        <v>3</v>
      </c>
      <c r="C4" s="5">
        <v>42050</v>
      </c>
      <c r="D4" s="5">
        <v>4.7564687975620856E-3</v>
      </c>
      <c r="E4" s="5">
        <v>3251029</v>
      </c>
      <c r="F4" s="5">
        <v>1.2925196562129537</v>
      </c>
      <c r="G4" s="5">
        <v>-0.47204212809579399</v>
      </c>
      <c r="H4" s="5">
        <v>0.79805360142339177</v>
      </c>
    </row>
    <row r="5" spans="1:8" x14ac:dyDescent="0.3">
      <c r="A5" s="2">
        <v>2018</v>
      </c>
      <c r="B5" s="5">
        <v>4</v>
      </c>
      <c r="C5" s="5">
        <v>42189</v>
      </c>
      <c r="D5" s="5">
        <v>-0.40603385189207364</v>
      </c>
      <c r="E5" s="5">
        <v>3261905</v>
      </c>
      <c r="F5" s="5">
        <v>0.85681316581502909</v>
      </c>
      <c r="G5" s="5">
        <v>-0.49095405241558826</v>
      </c>
      <c r="H5" s="5">
        <v>0.77723735256467175</v>
      </c>
    </row>
    <row r="6" spans="1:8" x14ac:dyDescent="0.3">
      <c r="A6" s="2">
        <v>2018</v>
      </c>
      <c r="B6" s="5">
        <v>5</v>
      </c>
      <c r="C6" s="5">
        <v>42178</v>
      </c>
      <c r="D6" s="5">
        <v>-0.46019871144360458</v>
      </c>
      <c r="E6" s="5">
        <v>3271237</v>
      </c>
      <c r="F6" s="5">
        <v>0.86143795605584383</v>
      </c>
      <c r="G6" s="5">
        <v>-0.5082988405627904</v>
      </c>
      <c r="H6" s="5">
        <v>0.75679111847968705</v>
      </c>
    </row>
    <row r="7" spans="1:8" x14ac:dyDescent="0.3">
      <c r="A7" s="2">
        <v>2018</v>
      </c>
      <c r="B7" s="5">
        <v>6</v>
      </c>
      <c r="C7" s="5">
        <v>42310</v>
      </c>
      <c r="D7" s="5">
        <v>-0.23344101487892122</v>
      </c>
      <c r="E7" s="5">
        <v>3288194</v>
      </c>
      <c r="F7" s="5">
        <v>1.3283773285585276</v>
      </c>
      <c r="G7" s="5">
        <v>-0.52412051691049366</v>
      </c>
      <c r="H7" s="5">
        <v>0.7366199072797539</v>
      </c>
    </row>
    <row r="8" spans="1:8" x14ac:dyDescent="0.3">
      <c r="A8" s="2">
        <v>2018</v>
      </c>
      <c r="B8" s="5">
        <v>7</v>
      </c>
      <c r="C8" s="5">
        <v>42305</v>
      </c>
      <c r="D8" s="5">
        <v>-0.47053287848488612</v>
      </c>
      <c r="E8" s="5">
        <v>3266003</v>
      </c>
      <c r="F8" s="5">
        <v>0.88414087935306807</v>
      </c>
      <c r="G8" s="5">
        <v>-0.53845976554504704</v>
      </c>
      <c r="H8" s="5">
        <v>0.71663599421768698</v>
      </c>
    </row>
    <row r="9" spans="1:8" x14ac:dyDescent="0.3">
      <c r="A9" s="2">
        <v>2018</v>
      </c>
      <c r="B9" s="5">
        <v>8</v>
      </c>
      <c r="C9" s="5">
        <v>42164</v>
      </c>
      <c r="D9" s="5">
        <v>-0.47209895194032514</v>
      </c>
      <c r="E9" s="5">
        <v>3250525</v>
      </c>
      <c r="F9" s="5">
        <v>0.96582284260791074</v>
      </c>
      <c r="G9" s="5">
        <v>-0.5513370844762695</v>
      </c>
      <c r="H9" s="5">
        <v>0.69679274881166742</v>
      </c>
    </row>
    <row r="10" spans="1:8" x14ac:dyDescent="0.3">
      <c r="A10" s="2">
        <v>2018</v>
      </c>
      <c r="B10" s="5">
        <v>9</v>
      </c>
      <c r="C10" s="5">
        <v>42149</v>
      </c>
      <c r="D10" s="5">
        <v>-0.32869844873250065</v>
      </c>
      <c r="E10" s="5">
        <v>3270213</v>
      </c>
      <c r="F10" s="5">
        <v>1.141338133367964</v>
      </c>
      <c r="G10" s="5">
        <v>-0.56276825456904511</v>
      </c>
      <c r="H10" s="5">
        <v>0.67705517286356631</v>
      </c>
    </row>
    <row r="11" spans="1:8" x14ac:dyDescent="0.3">
      <c r="A11" s="2">
        <v>2018</v>
      </c>
      <c r="B11" s="5">
        <v>10</v>
      </c>
      <c r="C11" s="5">
        <v>41905</v>
      </c>
      <c r="D11" s="5">
        <v>-0.29503438102262969</v>
      </c>
      <c r="E11" s="5">
        <v>3260003</v>
      </c>
      <c r="F11" s="5">
        <v>0.99007355230398275</v>
      </c>
      <c r="G11" s="5">
        <v>-0.57276355404016532</v>
      </c>
      <c r="H11" s="5">
        <v>0.65740695082065725</v>
      </c>
    </row>
    <row r="12" spans="1:8" x14ac:dyDescent="0.3">
      <c r="A12" s="2">
        <v>2018</v>
      </c>
      <c r="B12" s="5">
        <v>11</v>
      </c>
      <c r="C12" s="5">
        <v>41869</v>
      </c>
      <c r="D12" s="5">
        <v>-0.19546613906700205</v>
      </c>
      <c r="E12" s="5">
        <v>3259895</v>
      </c>
      <c r="F12" s="5">
        <v>1.223351551018359</v>
      </c>
      <c r="G12" s="5">
        <v>-0.58131700625879401</v>
      </c>
      <c r="H12" s="5">
        <v>0.6378640090024712</v>
      </c>
    </row>
    <row r="13" spans="1:8" x14ac:dyDescent="0.3">
      <c r="A13" s="2">
        <v>2018</v>
      </c>
      <c r="B13" s="5">
        <v>12</v>
      </c>
      <c r="C13" s="5">
        <v>41805</v>
      </c>
      <c r="D13" s="5">
        <v>-4.7818290496115523E-2</v>
      </c>
      <c r="E13" s="5">
        <v>3267389</v>
      </c>
      <c r="F13" s="5">
        <v>1.6352398066578511</v>
      </c>
      <c r="G13" s="5">
        <v>-0.58840334784596882</v>
      </c>
      <c r="H13" s="5">
        <v>0.61846537557586423</v>
      </c>
    </row>
    <row r="14" spans="1:8" x14ac:dyDescent="0.3">
      <c r="A14" s="2">
        <v>2019</v>
      </c>
      <c r="B14" s="5">
        <v>1</v>
      </c>
      <c r="C14" s="5">
        <v>41463</v>
      </c>
      <c r="D14" s="5">
        <v>-0.26219570865004815</v>
      </c>
      <c r="E14" s="5">
        <v>3241374</v>
      </c>
      <c r="F14" s="5">
        <v>1.0156810229922097</v>
      </c>
      <c r="G14" s="5">
        <v>-0.59397052022361685</v>
      </c>
      <c r="H14" s="5">
        <v>0.59929073756477669</v>
      </c>
    </row>
    <row r="15" spans="1:8" x14ac:dyDescent="0.3">
      <c r="A15" s="2">
        <v>2019</v>
      </c>
      <c r="B15" s="5">
        <v>2</v>
      </c>
      <c r="C15" s="5">
        <v>41437</v>
      </c>
      <c r="D15" s="5">
        <v>-0.59970734281670213</v>
      </c>
      <c r="E15" s="5">
        <v>3251077</v>
      </c>
      <c r="F15" s="5">
        <v>0.78183899095309872</v>
      </c>
      <c r="G15" s="5">
        <v>-0.59792892418468235</v>
      </c>
      <c r="H15" s="5">
        <v>0.58049039132864078</v>
      </c>
    </row>
    <row r="16" spans="1:8" x14ac:dyDescent="0.3">
      <c r="A16" s="2">
        <v>2019</v>
      </c>
      <c r="B16" s="5">
        <v>3</v>
      </c>
      <c r="C16" s="5">
        <v>41616</v>
      </c>
      <c r="D16" s="5">
        <v>-1.0321046373365061</v>
      </c>
      <c r="E16" s="5">
        <v>3271551</v>
      </c>
      <c r="F16" s="5">
        <v>0.63124629155877354</v>
      </c>
      <c r="G16" s="5">
        <v>-0.60016592060463925</v>
      </c>
      <c r="H16" s="5">
        <v>0.56224354921893216</v>
      </c>
    </row>
    <row r="17" spans="1:8" x14ac:dyDescent="0.3">
      <c r="A17" s="2">
        <v>2019</v>
      </c>
      <c r="B17" s="5">
        <v>4</v>
      </c>
      <c r="C17" s="5">
        <v>41806</v>
      </c>
      <c r="D17" s="5">
        <v>-0.90781957382256584</v>
      </c>
      <c r="E17" s="5">
        <v>3276714</v>
      </c>
      <c r="F17" s="5">
        <v>0.45399850700740263</v>
      </c>
      <c r="G17" s="5">
        <v>-0.6005689938602552</v>
      </c>
      <c r="H17" s="5">
        <v>0.54474340612876704</v>
      </c>
    </row>
    <row r="18" spans="1:8" x14ac:dyDescent="0.3">
      <c r="A18" s="2">
        <v>2019</v>
      </c>
      <c r="B18" s="5">
        <v>5</v>
      </c>
      <c r="C18" s="5">
        <v>41810</v>
      </c>
      <c r="D18" s="5">
        <v>-0.87249276874199477</v>
      </c>
      <c r="E18" s="5">
        <v>3285149</v>
      </c>
      <c r="F18" s="5">
        <v>0.4252825460215881</v>
      </c>
      <c r="G18" s="5">
        <v>-0.59905562407251534</v>
      </c>
      <c r="H18" s="5">
        <v>0.5281879488083685</v>
      </c>
    </row>
    <row r="19" spans="1:8" x14ac:dyDescent="0.3">
      <c r="A19" s="2">
        <v>2019</v>
      </c>
      <c r="B19" s="5">
        <v>6</v>
      </c>
      <c r="C19" s="5">
        <v>42010</v>
      </c>
      <c r="D19" s="5">
        <v>-0.70905223351453994</v>
      </c>
      <c r="E19" s="5">
        <v>3301357</v>
      </c>
      <c r="F19" s="5">
        <v>0.40031093055945544</v>
      </c>
      <c r="G19" s="5">
        <v>-0.59556462820823552</v>
      </c>
      <c r="H19" s="5">
        <v>0.51276886227885399</v>
      </c>
    </row>
    <row r="20" spans="1:8" x14ac:dyDescent="0.3">
      <c r="A20" s="2">
        <v>2019</v>
      </c>
      <c r="B20" s="5">
        <v>7</v>
      </c>
      <c r="C20" s="5">
        <v>42059</v>
      </c>
      <c r="D20" s="5">
        <v>-0.58149154946224302</v>
      </c>
      <c r="E20" s="5">
        <v>3276560</v>
      </c>
      <c r="F20" s="5">
        <v>0.32323913970684348</v>
      </c>
      <c r="G20" s="5">
        <v>-0.59005381192483353</v>
      </c>
      <c r="H20" s="5">
        <v>0.49867068535281395</v>
      </c>
    </row>
    <row r="21" spans="1:8" x14ac:dyDescent="0.3">
      <c r="A21" s="2">
        <v>2019</v>
      </c>
      <c r="B21" s="5">
        <v>8</v>
      </c>
      <c r="C21" s="5">
        <v>42050</v>
      </c>
      <c r="D21" s="5">
        <v>-0.27037282990228784</v>
      </c>
      <c r="E21" s="5">
        <v>3273089</v>
      </c>
      <c r="F21" s="5">
        <v>0.69416478876489496</v>
      </c>
      <c r="G21" s="5">
        <v>-0.58248886196342886</v>
      </c>
      <c r="H21" s="5">
        <v>0.48607014726424713</v>
      </c>
    </row>
    <row r="22" spans="1:8" x14ac:dyDescent="0.3">
      <c r="A22" s="2">
        <v>2019</v>
      </c>
      <c r="B22" s="5">
        <v>9</v>
      </c>
      <c r="C22" s="5">
        <v>41754</v>
      </c>
      <c r="D22" s="5">
        <v>-0.93715153384421601</v>
      </c>
      <c r="E22" s="5">
        <v>3275308</v>
      </c>
      <c r="F22" s="5">
        <v>0.1558002490969157</v>
      </c>
      <c r="G22" s="5">
        <v>-0.57283487046358095</v>
      </c>
      <c r="H22" s="5">
        <v>0.47513179450092674</v>
      </c>
    </row>
    <row r="23" spans="1:8" x14ac:dyDescent="0.3">
      <c r="A23" s="2">
        <v>2019</v>
      </c>
      <c r="B23" s="5">
        <v>10</v>
      </c>
      <c r="C23" s="5">
        <v>41601</v>
      </c>
      <c r="D23" s="5">
        <v>-0.72545042357713418</v>
      </c>
      <c r="E23" s="5">
        <v>3272049</v>
      </c>
      <c r="F23" s="5">
        <v>0.36950886241515768</v>
      </c>
      <c r="G23" s="5">
        <v>-0.56103525484040073</v>
      </c>
      <c r="H23" s="5">
        <v>0.46603462456739697</v>
      </c>
    </row>
    <row r="24" spans="1:8" x14ac:dyDescent="0.3">
      <c r="A24" s="2">
        <v>2019</v>
      </c>
      <c r="B24" s="5">
        <v>11</v>
      </c>
      <c r="C24" s="5">
        <v>41678</v>
      </c>
      <c r="D24" s="5">
        <v>-0.45618476677254938</v>
      </c>
      <c r="E24" s="5">
        <v>3284639</v>
      </c>
      <c r="F24" s="5">
        <v>0.75904285260721682</v>
      </c>
      <c r="G24" s="5">
        <v>-0.54705873227728952</v>
      </c>
      <c r="H24" s="5">
        <v>0.45893545916643791</v>
      </c>
    </row>
    <row r="25" spans="1:8" x14ac:dyDescent="0.3">
      <c r="A25" s="2">
        <v>2019</v>
      </c>
      <c r="B25" s="5">
        <v>12</v>
      </c>
      <c r="C25" s="5">
        <v>41561</v>
      </c>
      <c r="D25" s="5">
        <v>-0.5836622413586845</v>
      </c>
      <c r="E25" s="5">
        <v>3281613</v>
      </c>
      <c r="F25" s="5">
        <v>0.43533230968213488</v>
      </c>
      <c r="G25" s="5">
        <v>-0.5308854376776998</v>
      </c>
      <c r="H25" s="5">
        <v>0.45398441682290241</v>
      </c>
    </row>
    <row r="26" spans="1:8" x14ac:dyDescent="0.3">
      <c r="A26" s="2">
        <v>2020</v>
      </c>
      <c r="B26" s="5">
        <v>1</v>
      </c>
      <c r="C26" s="5">
        <v>41246</v>
      </c>
      <c r="D26" s="5">
        <v>-0.523358174758215</v>
      </c>
      <c r="E26" s="5">
        <v>3258226</v>
      </c>
      <c r="F26" s="5">
        <v>0.51990297941550967</v>
      </c>
      <c r="G26" s="5">
        <v>-0.51248919525303505</v>
      </c>
      <c r="H26" s="5">
        <v>0.45135245685285447</v>
      </c>
    </row>
    <row r="27" spans="1:8" x14ac:dyDescent="0.3">
      <c r="A27" s="2">
        <v>2020</v>
      </c>
      <c r="B27" s="5">
        <v>2</v>
      </c>
      <c r="C27" s="5">
        <v>41381</v>
      </c>
      <c r="D27" s="5">
        <v>-0.13514491879238477</v>
      </c>
      <c r="E27" s="5">
        <v>3275708</v>
      </c>
      <c r="F27" s="5">
        <v>0.75762585752352507</v>
      </c>
      <c r="G27" s="5">
        <v>-0.49184749427050983</v>
      </c>
      <c r="H27" s="5">
        <v>0.45120924328713991</v>
      </c>
    </row>
    <row r="28" spans="1:8" x14ac:dyDescent="0.3">
      <c r="A28" s="2">
        <v>2020</v>
      </c>
      <c r="B28" s="5">
        <v>3</v>
      </c>
      <c r="C28" s="5">
        <v>41055</v>
      </c>
      <c r="D28" s="5">
        <v>-1.3480392156862697</v>
      </c>
      <c r="E28" s="5">
        <v>3239608</v>
      </c>
      <c r="F28" s="5">
        <v>-0.97638704088672812</v>
      </c>
      <c r="G28" s="5">
        <v>-0.46893857878758216</v>
      </c>
      <c r="H28" s="5">
        <v>0.45372920060956023</v>
      </c>
    </row>
    <row r="29" spans="1:8" x14ac:dyDescent="0.3">
      <c r="A29" s="2">
        <v>2020</v>
      </c>
      <c r="B29" s="5">
        <v>4</v>
      </c>
      <c r="C29" s="5">
        <v>40875</v>
      </c>
      <c r="D29" s="5">
        <v>-2.2269530689374761</v>
      </c>
      <c r="E29" s="5">
        <v>3219650</v>
      </c>
      <c r="F29" s="5">
        <v>-1.7415007840171581</v>
      </c>
      <c r="G29" s="5">
        <v>-0.44371592184952402</v>
      </c>
      <c r="H29" s="5">
        <v>0.45910803223546121</v>
      </c>
    </row>
    <row r="30" spans="1:8" x14ac:dyDescent="0.3">
      <c r="A30" s="2">
        <v>2020</v>
      </c>
      <c r="B30" s="5">
        <v>5</v>
      </c>
      <c r="C30" s="5">
        <v>41060</v>
      </c>
      <c r="D30" s="5">
        <v>-1.793829227457544</v>
      </c>
      <c r="E30" s="5">
        <v>3242175</v>
      </c>
      <c r="F30" s="5">
        <v>-1.308129402958591</v>
      </c>
      <c r="G30" s="5">
        <v>-0.41619404515694763</v>
      </c>
      <c r="H30" s="5">
        <v>0.46744212795230689</v>
      </c>
    </row>
    <row r="31" spans="1:8" x14ac:dyDescent="0.3">
      <c r="A31" s="2">
        <v>2020</v>
      </c>
      <c r="B31" s="5">
        <v>6</v>
      </c>
      <c r="C31" s="5">
        <v>41318</v>
      </c>
      <c r="D31" s="5">
        <v>-1.6472268507498167</v>
      </c>
      <c r="E31" s="5">
        <v>3260173</v>
      </c>
      <c r="F31" s="5">
        <v>-1.2474870182170528</v>
      </c>
      <c r="G31" s="5">
        <v>-0.38651130632345748</v>
      </c>
      <c r="H31" s="5">
        <v>0.47867505749087719</v>
      </c>
    </row>
    <row r="32" spans="1:8" x14ac:dyDescent="0.3">
      <c r="A32" s="2">
        <v>2020</v>
      </c>
      <c r="B32" s="5">
        <v>7</v>
      </c>
      <c r="C32" s="5">
        <v>41659</v>
      </c>
      <c r="D32" s="5">
        <v>-0.95104496065051558</v>
      </c>
      <c r="E32" s="5">
        <v>3271930</v>
      </c>
      <c r="F32" s="5">
        <v>-0.14130673633322433</v>
      </c>
      <c r="G32" s="5">
        <v>-0.35490173207254005</v>
      </c>
      <c r="H32" s="5">
        <v>0.49262708700341656</v>
      </c>
    </row>
    <row r="33" spans="1:8" x14ac:dyDescent="0.3">
      <c r="A33" s="2">
        <v>2020</v>
      </c>
      <c r="B33" s="5">
        <v>8</v>
      </c>
      <c r="C33" s="5">
        <v>41667</v>
      </c>
      <c r="D33" s="5">
        <v>-0.91082045184304183</v>
      </c>
      <c r="E33" s="5">
        <v>3272424</v>
      </c>
      <c r="F33" s="5">
        <v>-2.031719882961136E-2</v>
      </c>
      <c r="G33" s="5">
        <v>-0.32168689881826706</v>
      </c>
      <c r="H33" s="5">
        <v>0.50899861027580096</v>
      </c>
    </row>
    <row r="34" spans="1:8" x14ac:dyDescent="0.3">
      <c r="A34" s="2">
        <v>2020</v>
      </c>
      <c r="B34" s="5">
        <v>9</v>
      </c>
      <c r="C34" s="5">
        <v>41456</v>
      </c>
      <c r="D34" s="5">
        <v>-0.71370407625617194</v>
      </c>
      <c r="E34" s="5">
        <v>3269130</v>
      </c>
      <c r="F34" s="5">
        <v>-0.18862348212748126</v>
      </c>
      <c r="G34" s="5">
        <v>-0.28722978181002823</v>
      </c>
      <c r="H34" s="5">
        <v>0.52744599791173019</v>
      </c>
    </row>
    <row r="35" spans="1:8" x14ac:dyDescent="0.3">
      <c r="A35" s="2">
        <v>2020</v>
      </c>
      <c r="B35" s="5">
        <v>10</v>
      </c>
      <c r="C35" s="5">
        <v>41433</v>
      </c>
      <c r="D35" s="5">
        <v>-0.40383644623926962</v>
      </c>
      <c r="E35" s="5">
        <v>3280304</v>
      </c>
      <c r="F35" s="5">
        <v>0.25228839788156154</v>
      </c>
      <c r="G35" s="5">
        <v>-0.25193426834950661</v>
      </c>
      <c r="H35" s="5">
        <v>0.54758886247260508</v>
      </c>
    </row>
    <row r="36" spans="1:8" x14ac:dyDescent="0.3">
      <c r="A36" s="2">
        <v>2020</v>
      </c>
      <c r="B36" s="5">
        <v>11</v>
      </c>
      <c r="C36" s="5">
        <v>41403</v>
      </c>
      <c r="D36" s="5">
        <v>-0.65982052881615738</v>
      </c>
      <c r="E36" s="5">
        <v>3280838</v>
      </c>
      <c r="F36" s="5">
        <v>-0.11572047948039677</v>
      </c>
      <c r="G36" s="5">
        <v>-0.21623386200883293</v>
      </c>
      <c r="H36" s="5">
        <v>0.56899708947260152</v>
      </c>
    </row>
    <row r="37" spans="1:8" x14ac:dyDescent="0.3">
      <c r="A37" s="2">
        <v>2020</v>
      </c>
      <c r="B37" s="5">
        <v>12</v>
      </c>
      <c r="C37" s="5">
        <v>41387</v>
      </c>
      <c r="D37" s="5">
        <v>-0.41866172613748143</v>
      </c>
      <c r="E37" s="5">
        <v>3283358</v>
      </c>
      <c r="F37" s="5">
        <v>5.3175069698951916E-2</v>
      </c>
      <c r="G37" s="5">
        <v>-0.18057261512249137</v>
      </c>
      <c r="H37" s="5">
        <v>0.59122005744918771</v>
      </c>
    </row>
    <row r="38" spans="1:8" x14ac:dyDescent="0.3">
      <c r="A38" s="2">
        <v>2021</v>
      </c>
      <c r="B38" s="5">
        <v>1</v>
      </c>
      <c r="C38" s="5">
        <v>41173</v>
      </c>
      <c r="D38" s="5">
        <v>-0.17698685933181801</v>
      </c>
      <c r="E38" s="5">
        <v>3271331</v>
      </c>
      <c r="F38" s="5">
        <v>0.40221273785181477</v>
      </c>
      <c r="G38" s="5">
        <v>-0.14542538465460547</v>
      </c>
      <c r="H38" s="5">
        <v>0.61375959510865452</v>
      </c>
    </row>
    <row r="39" spans="1:8" x14ac:dyDescent="0.3">
      <c r="A39" s="2">
        <v>2021</v>
      </c>
      <c r="B39" s="5">
        <v>2</v>
      </c>
      <c r="C39" s="5">
        <v>41213</v>
      </c>
      <c r="D39" s="5">
        <v>-0.40598342234359208</v>
      </c>
      <c r="E39" s="5">
        <v>3280562</v>
      </c>
      <c r="F39" s="5">
        <v>0.14818170606172298</v>
      </c>
      <c r="G39" s="5">
        <v>-0.1112835615353415</v>
      </c>
      <c r="H39" s="5">
        <v>0.63608016692203229</v>
      </c>
    </row>
    <row r="40" spans="1:8" x14ac:dyDescent="0.3">
      <c r="A40" s="2">
        <v>2021</v>
      </c>
      <c r="B40" s="5">
        <v>3</v>
      </c>
      <c r="C40" s="5">
        <v>41297</v>
      </c>
      <c r="D40" s="5">
        <v>0.58945317257337315</v>
      </c>
      <c r="E40" s="5">
        <v>3288246</v>
      </c>
      <c r="F40" s="5">
        <v>1.5013544848635929</v>
      </c>
      <c r="G40" s="5">
        <v>-7.8640728463940476E-2</v>
      </c>
      <c r="H40" s="5">
        <v>0.65763154660637513</v>
      </c>
    </row>
    <row r="41" spans="1:8" x14ac:dyDescent="0.3">
      <c r="A41" s="2">
        <v>2021</v>
      </c>
      <c r="B41" s="5">
        <v>4</v>
      </c>
      <c r="C41" s="5">
        <v>41476</v>
      </c>
      <c r="D41" s="5">
        <v>1.4703363914372991</v>
      </c>
      <c r="E41" s="5">
        <v>3304839</v>
      </c>
      <c r="F41" s="5">
        <v>2.6459087167859829</v>
      </c>
      <c r="G41" s="5">
        <v>-4.801093340775512E-2</v>
      </c>
      <c r="H41" s="5">
        <v>0.67782962604117736</v>
      </c>
    </row>
    <row r="42" spans="1:8" x14ac:dyDescent="0.3">
      <c r="A42" s="2">
        <v>2021</v>
      </c>
      <c r="B42" s="5">
        <v>5</v>
      </c>
      <c r="C42" s="5">
        <v>41644</v>
      </c>
      <c r="D42" s="5">
        <v>1.4223088163662911</v>
      </c>
      <c r="E42" s="5">
        <v>3321935</v>
      </c>
      <c r="F42" s="5">
        <v>2.460076954513557</v>
      </c>
      <c r="G42" s="5">
        <v>-1.9861828924343902E-2</v>
      </c>
      <c r="H42" s="5">
        <v>0.69614888897664573</v>
      </c>
    </row>
    <row r="43" spans="1:8" x14ac:dyDescent="0.3">
      <c r="A43" s="2">
        <v>2021</v>
      </c>
      <c r="B43" s="5">
        <v>6</v>
      </c>
      <c r="C43" s="5">
        <v>41796</v>
      </c>
      <c r="D43" s="5">
        <v>1.1568807783532531</v>
      </c>
      <c r="E43" s="5">
        <v>3326467</v>
      </c>
      <c r="F43" s="5">
        <v>2.0334503721121555</v>
      </c>
      <c r="G43" s="5">
        <v>5.4443732151822806E-3</v>
      </c>
      <c r="H43" s="5">
        <v>0.71220049132206664</v>
      </c>
    </row>
    <row r="44" spans="1:8" x14ac:dyDescent="0.3">
      <c r="A44" s="2">
        <v>2021</v>
      </c>
      <c r="B44" s="5">
        <v>7</v>
      </c>
      <c r="C44" s="5">
        <v>42058</v>
      </c>
      <c r="D44" s="5">
        <v>0.95777623082646812</v>
      </c>
      <c r="E44" s="5">
        <v>3334721</v>
      </c>
      <c r="F44" s="5">
        <v>1.9190813984406807</v>
      </c>
      <c r="G44" s="5">
        <v>2.7645611978968827E-2</v>
      </c>
      <c r="H44" s="5">
        <v>0.72571808399127757</v>
      </c>
    </row>
    <row r="45" spans="1:8" ht="12.75" customHeight="1" x14ac:dyDescent="0.3">
      <c r="A45" s="2">
        <v>2021</v>
      </c>
      <c r="B45" s="5">
        <v>8</v>
      </c>
      <c r="C45" s="5">
        <v>41976</v>
      </c>
      <c r="D45" s="5">
        <v>0.74159406724745303</v>
      </c>
      <c r="E45" s="5">
        <v>3322350</v>
      </c>
      <c r="F45" s="5">
        <v>1.5256580443121059</v>
      </c>
      <c r="G45" s="5">
        <v>4.6559787196629059E-2</v>
      </c>
      <c r="H45" s="5">
        <v>0.73652707136205997</v>
      </c>
    </row>
    <row r="46" spans="1:8" x14ac:dyDescent="0.3">
      <c r="A46" s="2">
        <v>2021</v>
      </c>
      <c r="B46" s="5">
        <v>9</v>
      </c>
      <c r="C46" s="5">
        <v>41788</v>
      </c>
      <c r="D46" s="5">
        <v>0.80084909301427754</v>
      </c>
      <c r="E46" s="5">
        <v>3324022</v>
      </c>
      <c r="F46" s="5">
        <v>1.6791011675889367</v>
      </c>
      <c r="G46" s="5">
        <v>6.2069391101862929E-2</v>
      </c>
      <c r="H46" s="5">
        <v>0.74453573026458741</v>
      </c>
    </row>
    <row r="47" spans="1:8" x14ac:dyDescent="0.3">
      <c r="A47" s="2">
        <v>2021</v>
      </c>
      <c r="B47" s="5">
        <v>10</v>
      </c>
      <c r="C47" s="5">
        <v>41881</v>
      </c>
      <c r="D47" s="5">
        <v>1.0812637269809189</v>
      </c>
      <c r="E47" s="5">
        <v>3339349</v>
      </c>
      <c r="F47" s="5">
        <v>1.7999856110896939</v>
      </c>
      <c r="G47" s="5">
        <v>7.4105182197818351E-2</v>
      </c>
      <c r="H47" s="5">
        <v>0.74970713829104396</v>
      </c>
    </row>
    <row r="48" spans="1:8" x14ac:dyDescent="0.3">
      <c r="A48" s="2">
        <v>2021</v>
      </c>
      <c r="B48" s="5">
        <v>11</v>
      </c>
      <c r="C48" s="5">
        <v>41770</v>
      </c>
      <c r="D48" s="5">
        <v>0.8864091974011501</v>
      </c>
      <c r="E48" s="5">
        <v>3335222</v>
      </c>
      <c r="F48" s="5">
        <v>1.6576252774443523</v>
      </c>
      <c r="G48" s="5">
        <v>8.2649223133609381E-2</v>
      </c>
      <c r="H48" s="5">
        <v>0.75206927341120555</v>
      </c>
    </row>
    <row r="49" spans="1:8" x14ac:dyDescent="0.3">
      <c r="A49" s="2">
        <v>2021</v>
      </c>
      <c r="B49" s="5">
        <v>12</v>
      </c>
      <c r="C49" s="5">
        <v>41738</v>
      </c>
      <c r="D49" s="5">
        <v>0.848092396163036</v>
      </c>
      <c r="E49" s="5">
        <v>3338824</v>
      </c>
      <c r="F49" s="5">
        <v>1.6893071057131115</v>
      </c>
      <c r="G49" s="5">
        <v>8.7753518123960011E-2</v>
      </c>
      <c r="H49" s="5">
        <v>0.75172304959990355</v>
      </c>
    </row>
    <row r="50" spans="1:8" x14ac:dyDescent="0.3">
      <c r="A50" s="2">
        <v>2022</v>
      </c>
      <c r="B50" s="5">
        <v>1</v>
      </c>
      <c r="C50" s="5">
        <v>41502</v>
      </c>
      <c r="D50" s="5">
        <v>0.79906734996235684</v>
      </c>
      <c r="E50" s="5">
        <v>3320453</v>
      </c>
      <c r="F50" s="5">
        <v>1.5015906369609144</v>
      </c>
      <c r="G50" s="5">
        <v>8.9525888048473917E-2</v>
      </c>
      <c r="H50" s="5">
        <v>0.74883226666558267</v>
      </c>
    </row>
    <row r="51" spans="1:8" x14ac:dyDescent="0.3">
      <c r="A51" s="2">
        <v>2022</v>
      </c>
      <c r="B51" s="5">
        <v>2</v>
      </c>
      <c r="C51" s="5">
        <v>41557</v>
      </c>
      <c r="D51" s="5">
        <v>0.83468808385702697</v>
      </c>
      <c r="E51" s="5">
        <v>3327840</v>
      </c>
      <c r="F51" s="5">
        <v>1.4411555093304163</v>
      </c>
      <c r="G51" s="5">
        <v>8.8126955097729706E-2</v>
      </c>
      <c r="H51" s="5">
        <v>0.74362583442058439</v>
      </c>
    </row>
    <row r="52" spans="1:8" x14ac:dyDescent="0.3">
      <c r="A52" s="2">
        <v>2022</v>
      </c>
      <c r="B52" s="5">
        <v>3</v>
      </c>
      <c r="C52" s="5">
        <v>41571</v>
      </c>
      <c r="D52" s="5">
        <v>0.66348645180036581</v>
      </c>
      <c r="E52" s="5">
        <v>3328814</v>
      </c>
      <c r="F52" s="5">
        <v>1.2337276468974645</v>
      </c>
      <c r="G52" s="5">
        <v>8.3766615174938899E-2</v>
      </c>
      <c r="H52" s="5">
        <v>0.73638493756407641</v>
      </c>
    </row>
    <row r="53" spans="1:8" x14ac:dyDescent="0.3">
      <c r="A53" s="2">
        <v>2022</v>
      </c>
      <c r="B53" s="5">
        <v>4</v>
      </c>
      <c r="C53" s="5">
        <v>41828</v>
      </c>
      <c r="D53" s="5">
        <v>0.84868357604397371</v>
      </c>
      <c r="E53" s="5">
        <v>3349504</v>
      </c>
      <c r="F53" s="5">
        <v>1.351503053552694</v>
      </c>
      <c r="G53" s="5">
        <v>7.6706608706143528E-2</v>
      </c>
      <c r="H53" s="5">
        <v>0.72743920035598397</v>
      </c>
    </row>
    <row r="54" spans="1:8" x14ac:dyDescent="0.3">
      <c r="A54" s="2">
        <v>2022</v>
      </c>
      <c r="B54" s="5">
        <v>5</v>
      </c>
      <c r="C54" s="5">
        <v>41795</v>
      </c>
      <c r="D54" s="5">
        <v>0.3625972529055721</v>
      </c>
      <c r="E54" s="5">
        <v>3352806</v>
      </c>
      <c r="F54" s="5">
        <v>0.92930776791237957</v>
      </c>
      <c r="G54" s="5">
        <v>6.724893443937352E-2</v>
      </c>
      <c r="H54" s="5">
        <v>0.7171527847443806</v>
      </c>
    </row>
    <row r="55" spans="1:8" x14ac:dyDescent="0.3">
      <c r="A55" s="2">
        <v>2022</v>
      </c>
      <c r="B55" s="5">
        <v>6</v>
      </c>
      <c r="C55" s="5">
        <v>41869</v>
      </c>
      <c r="D55" s="5">
        <v>0.17465786199635236</v>
      </c>
      <c r="E55" s="5">
        <v>3351666</v>
      </c>
      <c r="F55" s="5">
        <v>0.75753043694706257</v>
      </c>
      <c r="G55" s="5">
        <v>5.5749200634279482E-2</v>
      </c>
      <c r="H55" s="5">
        <v>0.70593319044492298</v>
      </c>
    </row>
    <row r="56" spans="1:8" x14ac:dyDescent="0.3">
      <c r="A56" s="2">
        <v>2022</v>
      </c>
      <c r="B56" s="5">
        <v>7</v>
      </c>
      <c r="C56" s="5">
        <v>42010</v>
      </c>
      <c r="D56" s="5">
        <v>-0.11412810880212509</v>
      </c>
      <c r="E56" s="5">
        <v>3351249</v>
      </c>
      <c r="F56" s="5">
        <v>0.49563366770413175</v>
      </c>
      <c r="G56" s="5">
        <v>4.2583525850405486E-2</v>
      </c>
      <c r="H56" s="5">
        <v>0.69420265015820981</v>
      </c>
    </row>
    <row r="57" spans="1:8" x14ac:dyDescent="0.3">
      <c r="A57" s="2">
        <v>2022</v>
      </c>
      <c r="B57" s="5">
        <v>8</v>
      </c>
      <c r="C57" s="5">
        <v>41834</v>
      </c>
      <c r="D57" s="5">
        <v>-0.33828854583571877</v>
      </c>
      <c r="E57" s="5">
        <v>3332085</v>
      </c>
      <c r="F57" s="5">
        <v>0.29301548602644889</v>
      </c>
      <c r="G57" s="5">
        <v>2.8136286193223534E-2</v>
      </c>
      <c r="H57" s="5">
        <v>0.68238697972695794</v>
      </c>
    </row>
    <row r="58" spans="1:8" x14ac:dyDescent="0.3">
      <c r="A58" s="2">
        <v>2022</v>
      </c>
      <c r="B58" s="5">
        <v>9</v>
      </c>
      <c r="C58" s="5">
        <v>41622</v>
      </c>
      <c r="D58" s="5">
        <v>-0.39724322772087817</v>
      </c>
      <c r="E58" s="5">
        <v>3331923</v>
      </c>
      <c r="F58" s="5">
        <v>0.23769397434794115</v>
      </c>
      <c r="G58" s="5">
        <v>1.2780975015799197E-2</v>
      </c>
      <c r="H58" s="5">
        <v>0.67089820548121393</v>
      </c>
    </row>
    <row r="59" spans="1:8" x14ac:dyDescent="0.3">
      <c r="A59" s="2">
        <v>2022</v>
      </c>
      <c r="B59" s="5">
        <v>10</v>
      </c>
      <c r="C59" s="5">
        <v>41638</v>
      </c>
      <c r="D59" s="5">
        <v>-0.58021537212578078</v>
      </c>
      <c r="E59" s="5">
        <v>3338036</v>
      </c>
      <c r="F59" s="5">
        <v>-3.9319040926844018E-2</v>
      </c>
      <c r="G59" s="5">
        <v>-3.134360497692854E-3</v>
      </c>
      <c r="H59" s="5">
        <v>0.66012131406396168</v>
      </c>
    </row>
    <row r="60" spans="1:8" x14ac:dyDescent="0.3">
      <c r="A60" s="2">
        <v>2022</v>
      </c>
      <c r="B60" s="5">
        <v>11</v>
      </c>
      <c r="C60" s="5">
        <v>41586</v>
      </c>
      <c r="D60" s="5">
        <v>-0.44050754129758563</v>
      </c>
      <c r="E60" s="5">
        <v>3336488</v>
      </c>
      <c r="F60" s="5">
        <v>3.7958492718015435E-2</v>
      </c>
      <c r="G60" s="5">
        <v>-1.929014706604577E-2</v>
      </c>
      <c r="H60" s="5">
        <v>0.65041120849102307</v>
      </c>
    </row>
    <row r="61" spans="1:8" x14ac:dyDescent="0.3">
      <c r="A61" s="2">
        <v>2022</v>
      </c>
      <c r="B61" s="5">
        <v>12</v>
      </c>
      <c r="C61" s="5">
        <v>41498</v>
      </c>
      <c r="D61" s="5">
        <v>-0.57501557333844433</v>
      </c>
      <c r="E61" s="5">
        <v>3337492</v>
      </c>
      <c r="F61" s="5">
        <v>-3.989428613188073E-2</v>
      </c>
      <c r="G61" s="5">
        <v>-3.5406886478304651E-2</v>
      </c>
      <c r="H61" s="5">
        <v>0.64207421953134558</v>
      </c>
    </row>
    <row r="62" spans="1:8" x14ac:dyDescent="0.3">
      <c r="A62" s="2">
        <v>2023</v>
      </c>
      <c r="B62" s="5">
        <v>1</v>
      </c>
      <c r="C62" s="5">
        <v>41229</v>
      </c>
      <c r="D62" s="5">
        <v>-0.65779962411449677</v>
      </c>
      <c r="E62" s="5">
        <v>3315169</v>
      </c>
      <c r="F62" s="5">
        <v>-0.15913491321816187</v>
      </c>
      <c r="G62" s="5">
        <v>-5.1234331731447341E-2</v>
      </c>
      <c r="H62" s="5">
        <v>0.63537414651528135</v>
      </c>
    </row>
    <row r="63" spans="1:8" x14ac:dyDescent="0.3">
      <c r="A63" s="2">
        <v>2023</v>
      </c>
      <c r="B63" s="5">
        <v>2</v>
      </c>
      <c r="C63" s="5">
        <v>41203</v>
      </c>
      <c r="D63" s="5">
        <v>-0.85184204827104537</v>
      </c>
      <c r="E63" s="5">
        <v>3322609</v>
      </c>
      <c r="F63" s="5">
        <v>-0.15718904755036567</v>
      </c>
      <c r="G63" s="5">
        <v>-6.6559708647928081E-2</v>
      </c>
      <c r="H63" s="5">
        <v>0.63052742984917809</v>
      </c>
    </row>
    <row r="64" spans="1:8" x14ac:dyDescent="0.3">
      <c r="A64" s="2">
        <v>2023</v>
      </c>
      <c r="B64" s="5">
        <v>3</v>
      </c>
      <c r="C64" s="5">
        <v>41289</v>
      </c>
      <c r="D64" s="5">
        <v>-0.67835750884029933</v>
      </c>
      <c r="E64" s="5">
        <v>3329364</v>
      </c>
      <c r="F64" s="5">
        <v>1.6522401071372705E-2</v>
      </c>
      <c r="G64" s="5">
        <v>-8.1212365639949935E-2</v>
      </c>
      <c r="H64" s="5">
        <v>0.62769533569912417</v>
      </c>
    </row>
    <row r="65" spans="1:8" x14ac:dyDescent="0.3">
      <c r="A65" s="2">
        <v>2023</v>
      </c>
      <c r="B65" s="5">
        <v>4</v>
      </c>
      <c r="C65" s="5">
        <v>41618</v>
      </c>
      <c r="D65" s="5">
        <v>-0.5020560390169293</v>
      </c>
      <c r="E65" s="5">
        <v>3351755</v>
      </c>
      <c r="F65" s="5">
        <v>6.7203980051977474E-2</v>
      </c>
      <c r="G65" s="5">
        <v>-9.5076184615523113E-2</v>
      </c>
      <c r="H65" s="5">
        <v>0.62698442769805518</v>
      </c>
    </row>
    <row r="66" spans="1:8" x14ac:dyDescent="0.3">
      <c r="A66" s="2">
        <v>2023</v>
      </c>
      <c r="B66" s="5">
        <v>5</v>
      </c>
      <c r="C66" s="5">
        <v>41626</v>
      </c>
      <c r="D66" s="5">
        <v>-0.40435458786935996</v>
      </c>
      <c r="E66" s="5">
        <v>3352823</v>
      </c>
      <c r="F66" s="5">
        <v>5.070379854865692E-4</v>
      </c>
      <c r="G66" s="5">
        <v>-0.10807651589538007</v>
      </c>
      <c r="H66" s="5">
        <v>0.62845882691400201</v>
      </c>
    </row>
    <row r="67" spans="1:8" x14ac:dyDescent="0.3">
      <c r="A67" s="2">
        <v>2023</v>
      </c>
      <c r="B67" s="5">
        <v>6</v>
      </c>
      <c r="C67" s="5">
        <v>41637</v>
      </c>
      <c r="D67" s="5">
        <v>-0.554109245503831</v>
      </c>
      <c r="E67" s="5">
        <v>3351295</v>
      </c>
      <c r="F67" s="5">
        <v>-1.1069122042595136E-2</v>
      </c>
      <c r="G67" s="5">
        <v>-0.12016697229014225</v>
      </c>
      <c r="H67" s="5">
        <v>0.63214378077279787</v>
      </c>
    </row>
    <row r="68" spans="1:8" x14ac:dyDescent="0.3">
      <c r="A68" s="2">
        <v>2023</v>
      </c>
      <c r="B68" s="5">
        <v>7</v>
      </c>
      <c r="C68" s="5">
        <v>41766</v>
      </c>
      <c r="D68" s="5">
        <v>-0.58081409188288635</v>
      </c>
      <c r="E68" s="5">
        <v>3345758</v>
      </c>
      <c r="F68" s="5">
        <v>-0.16384935885098706</v>
      </c>
      <c r="G68" s="5">
        <v>-0.13132174147654038</v>
      </c>
      <c r="H68" s="5">
        <v>0.6380209289371559</v>
      </c>
    </row>
    <row r="69" spans="1:8" x14ac:dyDescent="0.3">
      <c r="A69" s="2">
        <v>2023</v>
      </c>
      <c r="B69" s="5">
        <v>8</v>
      </c>
      <c r="C69" s="5">
        <v>41641</v>
      </c>
      <c r="D69" s="5">
        <v>-0.46134722952622109</v>
      </c>
      <c r="E69" s="5">
        <v>3338297</v>
      </c>
      <c r="F69" s="5">
        <v>0.18642981796683777</v>
      </c>
      <c r="G69" s="5">
        <v>-0.14154514601138948</v>
      </c>
      <c r="H69" s="5">
        <v>0.64602724350709373</v>
      </c>
    </row>
    <row r="70" spans="1:8" x14ac:dyDescent="0.3">
      <c r="A70" s="2">
        <v>2023</v>
      </c>
      <c r="B70" s="5">
        <v>9</v>
      </c>
      <c r="C70" s="5">
        <v>41593</v>
      </c>
      <c r="D70" s="5">
        <v>-6.9674691269039357E-2</v>
      </c>
      <c r="E70" s="5">
        <v>3354890</v>
      </c>
      <c r="F70" s="5">
        <v>0.68930164352538625</v>
      </c>
      <c r="G70" s="5">
        <v>-0.15087272319806058</v>
      </c>
      <c r="H70" s="5">
        <v>0.6560440111459771</v>
      </c>
    </row>
    <row r="71" spans="1:8" x14ac:dyDescent="0.3">
      <c r="A71" s="2">
        <v>2023</v>
      </c>
      <c r="B71" s="5">
        <v>10</v>
      </c>
      <c r="C71" s="5">
        <v>41482</v>
      </c>
      <c r="D71" s="5">
        <v>-0.37465776454200794</v>
      </c>
      <c r="E71" s="5">
        <v>3348423</v>
      </c>
      <c r="F71" s="5">
        <v>0.31117099995325859</v>
      </c>
      <c r="G71" s="5">
        <v>-0.15936221881794657</v>
      </c>
      <c r="H71" s="5">
        <v>0.66792060202928694</v>
      </c>
    </row>
    <row r="72" spans="1:8" x14ac:dyDescent="0.3">
      <c r="A72" s="2">
        <v>2023</v>
      </c>
      <c r="B72" s="5">
        <v>11</v>
      </c>
      <c r="C72" s="5">
        <v>41433</v>
      </c>
      <c r="D72" s="5">
        <v>-0.36791227817053462</v>
      </c>
      <c r="E72" s="5">
        <v>3351178</v>
      </c>
      <c r="F72" s="5">
        <v>0.44028331586987157</v>
      </c>
      <c r="G72" s="5">
        <v>-0.16706573990022303</v>
      </c>
      <c r="H72" s="5">
        <v>0.68150869589030816</v>
      </c>
    </row>
    <row r="73" spans="1:8" x14ac:dyDescent="0.3">
      <c r="A73" s="2">
        <v>2023</v>
      </c>
      <c r="B73" s="5">
        <v>12</v>
      </c>
      <c r="C73" s="5">
        <v>41414</v>
      </c>
      <c r="D73" s="5">
        <v>-0.20241939370572171</v>
      </c>
      <c r="E73" s="5">
        <v>3352618</v>
      </c>
      <c r="F73" s="5">
        <v>0.45321456950309091</v>
      </c>
      <c r="G73" s="5">
        <v>-0.17405034455362972</v>
      </c>
      <c r="H73" s="5">
        <v>0.696635198184404</v>
      </c>
    </row>
    <row r="74" spans="1:8" x14ac:dyDescent="0.3">
      <c r="A74" s="2">
        <v>2024</v>
      </c>
      <c r="B74" s="5">
        <v>1</v>
      </c>
      <c r="C74" s="5">
        <v>41123</v>
      </c>
      <c r="D74" s="5">
        <v>-0.25710058454000428</v>
      </c>
      <c r="E74" s="5">
        <v>3336134</v>
      </c>
      <c r="F74" s="5">
        <v>0.63239611615577562</v>
      </c>
      <c r="G74" s="5">
        <v>-0.18039703856317521</v>
      </c>
      <c r="H74" s="5">
        <v>0.71311026260443622</v>
      </c>
    </row>
    <row r="75" spans="1:8" x14ac:dyDescent="0.3">
      <c r="A75" s="2">
        <v>2024</v>
      </c>
      <c r="B75" s="5">
        <v>2</v>
      </c>
      <c r="C75" s="5">
        <v>41166</v>
      </c>
      <c r="D75" s="5">
        <v>-8.9799286459724126E-2</v>
      </c>
      <c r="E75" s="5">
        <v>3348717</v>
      </c>
      <c r="F75" s="5">
        <v>0.78576805155226026</v>
      </c>
      <c r="G75" s="5">
        <v>-0.18618879778672578</v>
      </c>
      <c r="H75" s="5">
        <v>0.73072713863294125</v>
      </c>
    </row>
    <row r="76" spans="1:8" x14ac:dyDescent="0.3">
      <c r="A76" s="2">
        <v>2024</v>
      </c>
      <c r="B76" s="5">
        <v>3</v>
      </c>
      <c r="C76" s="5">
        <v>41461</v>
      </c>
      <c r="D76" s="5">
        <v>0.41657584344498844</v>
      </c>
      <c r="E76" s="5">
        <v>3371633</v>
      </c>
      <c r="F76" s="5">
        <v>1.2695818180289198</v>
      </c>
      <c r="G76" s="5">
        <v>-0.19151392471728504</v>
      </c>
      <c r="H76" s="5">
        <v>0.74927347060339689</v>
      </c>
    </row>
    <row r="77" spans="1:8" x14ac:dyDescent="0.3">
      <c r="A77" s="2">
        <v>2024</v>
      </c>
      <c r="B77" s="5">
        <v>4</v>
      </c>
      <c r="C77" s="5">
        <v>41498</v>
      </c>
      <c r="D77" s="5">
        <v>-0.28833677735594643</v>
      </c>
      <c r="E77" s="5">
        <v>3375745</v>
      </c>
      <c r="F77" s="5">
        <v>0.71574443836139867</v>
      </c>
      <c r="G77" s="5">
        <v>-0.19645402813179222</v>
      </c>
      <c r="H77" s="5">
        <v>0.76854072513490024</v>
      </c>
    </row>
    <row r="78" spans="1:8" x14ac:dyDescent="0.3">
      <c r="A78" s="2">
        <v>2024</v>
      </c>
      <c r="B78" s="5">
        <v>5</v>
      </c>
      <c r="C78" s="5">
        <v>41503</v>
      </c>
      <c r="D78" s="5">
        <v>-0.29548839667515869</v>
      </c>
      <c r="E78" s="5">
        <v>3385734</v>
      </c>
      <c r="F78" s="5">
        <v>0.98159073711914235</v>
      </c>
      <c r="G78" s="5">
        <v>-0.20104848835106423</v>
      </c>
      <c r="H78" s="5">
        <v>0.78835650137067537</v>
      </c>
    </row>
    <row r="79" spans="1:8" x14ac:dyDescent="0.3">
      <c r="A79" s="2">
        <v>2024</v>
      </c>
      <c r="B79" s="5">
        <v>6</v>
      </c>
      <c r="C79" s="5">
        <v>41650</v>
      </c>
      <c r="D79" s="5">
        <v>3.1222230227911929E-2</v>
      </c>
      <c r="E79" s="5">
        <v>3400103</v>
      </c>
      <c r="F79" s="5">
        <v>1.4563922304661414</v>
      </c>
      <c r="G79" s="5">
        <v>-0.20534306644239189</v>
      </c>
      <c r="H79" s="5">
        <v>0.80854473204514277</v>
      </c>
    </row>
    <row r="80" spans="1:8" x14ac:dyDescent="0.3">
      <c r="A80" s="2">
        <v>2024</v>
      </c>
      <c r="B80" s="5">
        <v>7</v>
      </c>
      <c r="C80" s="5">
        <v>41724</v>
      </c>
      <c r="D80" s="5">
        <v>-0.10056026432984089</v>
      </c>
      <c r="E80" s="5">
        <v>3382249</v>
      </c>
      <c r="F80" s="5">
        <v>1.0906646565591371</v>
      </c>
      <c r="G80" s="5">
        <v>-0.20939008180003302</v>
      </c>
      <c r="H80" s="5">
        <v>0.82894276893687213</v>
      </c>
    </row>
    <row r="81" spans="1:8" x14ac:dyDescent="0.3">
      <c r="A81" s="2">
        <v>2024</v>
      </c>
      <c r="B81" s="5">
        <v>8</v>
      </c>
      <c r="C81" s="5">
        <v>41735</v>
      </c>
      <c r="D81" s="5">
        <v>0.22573905525804516</v>
      </c>
      <c r="E81" s="5">
        <v>3382412</v>
      </c>
      <c r="F81" s="5">
        <v>1.3214821808844368</v>
      </c>
      <c r="G81" s="5">
        <v>-0.2132254256726433</v>
      </c>
      <c r="H81" s="5">
        <v>0.84943295323404588</v>
      </c>
    </row>
    <row r="82" spans="1:8" x14ac:dyDescent="0.3">
      <c r="A82" s="2">
        <v>2024</v>
      </c>
      <c r="B82" s="5">
        <v>9</v>
      </c>
      <c r="C82" s="5">
        <v>41414</v>
      </c>
      <c r="D82" s="5">
        <v>-0.43036087803236533</v>
      </c>
      <c r="E82" s="5">
        <v>3383620</v>
      </c>
      <c r="F82" s="5">
        <v>0.85636190754392327</v>
      </c>
      <c r="G82" s="5">
        <v>-0.21687743168266529</v>
      </c>
      <c r="H82" s="5">
        <v>0.86991580125593138</v>
      </c>
    </row>
    <row r="83" spans="1:8" x14ac:dyDescent="0.3">
      <c r="A83" s="2">
        <v>2024</v>
      </c>
      <c r="B83" s="5">
        <v>10</v>
      </c>
      <c r="C83" s="5">
        <v>41373</v>
      </c>
      <c r="D83" s="5">
        <v>-0.26276457258570529</v>
      </c>
      <c r="E83" s="5">
        <v>3386896</v>
      </c>
      <c r="F83" s="5">
        <v>1.1489886433105889</v>
      </c>
      <c r="G83" s="5">
        <v>-0.22034394980803249</v>
      </c>
      <c r="H83" s="5">
        <v>0.89032461051816081</v>
      </c>
    </row>
    <row r="84" spans="1:8" x14ac:dyDescent="0.3">
      <c r="A84" s="2">
        <v>2024</v>
      </c>
      <c r="B84" s="5">
        <v>11</v>
      </c>
      <c r="C84" s="5">
        <v>41409</v>
      </c>
      <c r="D84" s="5">
        <v>-5.7924842516832165E-2</v>
      </c>
      <c r="E84" s="5">
        <v>3400441</v>
      </c>
      <c r="F84" s="5">
        <v>1.470020392829019</v>
      </c>
      <c r="G84" s="5">
        <v>-0.22363765526600823</v>
      </c>
      <c r="H84" s="5">
        <v>0.91059173729374743</v>
      </c>
    </row>
    <row r="85" spans="1:8" x14ac:dyDescent="0.3">
      <c r="A85" s="2">
        <v>2024</v>
      </c>
      <c r="B85" s="5">
        <v>12</v>
      </c>
      <c r="C85" s="5">
        <v>41283</v>
      </c>
      <c r="D85" s="5">
        <v>-0.31631815328150292</v>
      </c>
      <c r="E85" s="5">
        <v>3393943</v>
      </c>
      <c r="F85" s="5">
        <v>1.2326188071531075</v>
      </c>
      <c r="G85" s="5">
        <v>-0.22677416915043763</v>
      </c>
      <c r="H85" s="5">
        <v>0.93066750063575943</v>
      </c>
    </row>
    <row r="86" spans="1:8" x14ac:dyDescent="0.3">
      <c r="A86" s="2">
        <v>2025</v>
      </c>
      <c r="B86" s="5">
        <v>1</v>
      </c>
      <c r="C86" s="5">
        <v>41036</v>
      </c>
      <c r="D86" s="5">
        <v>-0.21156044062933255</v>
      </c>
      <c r="E86" s="5">
        <v>3375917</v>
      </c>
      <c r="F86" s="5">
        <v>1.1924880715223019</v>
      </c>
      <c r="G86" s="5">
        <v>-0.22975760472094708</v>
      </c>
      <c r="H86" s="5">
        <v>0.95054106880945488</v>
      </c>
    </row>
    <row r="87" spans="1:8" x14ac:dyDescent="0.3">
      <c r="A87" s="2">
        <v>2025</v>
      </c>
      <c r="B87" s="5">
        <v>2</v>
      </c>
      <c r="C87" s="5">
        <v>41086</v>
      </c>
      <c r="D87" s="5">
        <v>-0.19433513093329857</v>
      </c>
      <c r="E87" s="5">
        <v>3388105</v>
      </c>
      <c r="F87" s="5">
        <v>1.1762116655423593</v>
      </c>
      <c r="G87" s="5">
        <v>-0.23259829356939429</v>
      </c>
      <c r="H87" s="5">
        <v>0.9702225789208222</v>
      </c>
    </row>
    <row r="88" spans="1:8" x14ac:dyDescent="0.3">
      <c r="A88" s="2">
        <v>2025</v>
      </c>
      <c r="B88" s="5">
        <v>3</v>
      </c>
      <c r="C88" s="5">
        <v>41154</v>
      </c>
      <c r="D88" s="5">
        <v>-0.74045488531391257</v>
      </c>
      <c r="E88" s="5">
        <v>3395017</v>
      </c>
      <c r="F88" s="5">
        <v>0.69355116645257731</v>
      </c>
      <c r="G88" s="5">
        <v>-0.2353053035956861</v>
      </c>
      <c r="H88" s="5">
        <v>0.98973896995103805</v>
      </c>
    </row>
    <row r="89" spans="1:8" x14ac:dyDescent="0.3">
      <c r="A89" s="2">
        <v>2025</v>
      </c>
      <c r="B89" s="5">
        <v>4</v>
      </c>
      <c r="C89" s="5">
        <v>41430</v>
      </c>
      <c r="D89" s="5">
        <v>-0.16386331871415249</v>
      </c>
      <c r="E89" s="5">
        <v>3412686</v>
      </c>
      <c r="F89" s="5">
        <v>1.0943065901008575</v>
      </c>
      <c r="G89" s="5">
        <v>-0.23788504553565748</v>
      </c>
      <c r="H89" s="5">
        <v>1.0091314856789613</v>
      </c>
    </row>
    <row r="90" spans="1:8" x14ac:dyDescent="0.3">
      <c r="A90" s="2">
        <v>2025</v>
      </c>
      <c r="B90" s="5">
        <v>5</v>
      </c>
      <c r="C90" s="5">
        <v>41557</v>
      </c>
      <c r="D90" s="5">
        <v>0.13011107630773733</v>
      </c>
      <c r="E90" s="5">
        <v>3429693</v>
      </c>
      <c r="F90" s="5">
        <v>1.29835952853945</v>
      </c>
      <c r="G90" s="5">
        <v>-0.2403790099572071</v>
      </c>
      <c r="H90" s="5">
        <v>1.0284208012859855</v>
      </c>
    </row>
    <row r="91" spans="1:8" x14ac:dyDescent="0.3">
      <c r="A91" s="2">
        <v>2025</v>
      </c>
      <c r="B91" s="5">
        <v>6</v>
      </c>
      <c r="C91" s="5">
        <v>41533</v>
      </c>
      <c r="D91" s="5">
        <v>-0.28091236494597327</v>
      </c>
      <c r="E91" s="5">
        <v>3421565</v>
      </c>
      <c r="F91" s="5">
        <v>0.63121617198067526</v>
      </c>
      <c r="G91" s="5">
        <v>-0.24282354703053768</v>
      </c>
      <c r="H91" s="5">
        <v>1.0476335068913112</v>
      </c>
    </row>
    <row r="92" spans="1:8" x14ac:dyDescent="0.3">
      <c r="A92" s="2">
        <v>2025</v>
      </c>
      <c r="B92" s="5">
        <v>7</v>
      </c>
      <c r="C92" s="5">
        <v>41619</v>
      </c>
      <c r="D92" s="5">
        <v>-0.25165372447512047</v>
      </c>
      <c r="E92" s="5">
        <v>3414699</v>
      </c>
      <c r="F92" s="5">
        <v>0.95942078776576345</v>
      </c>
      <c r="G92" s="5">
        <v>-0.24522927844763909</v>
      </c>
      <c r="H92" s="5">
        <v>1.066814938359087</v>
      </c>
    </row>
    <row r="93" spans="1:8" x14ac:dyDescent="0.3">
      <c r="A93" s="2">
        <v>2025</v>
      </c>
      <c r="B93" s="5">
        <v>8</v>
      </c>
      <c r="C93" s="5">
        <v>41643</v>
      </c>
      <c r="D93" s="5">
        <v>-0.22043848089133844</v>
      </c>
      <c r="E93" s="5">
        <v>3417652</v>
      </c>
      <c r="F93" s="5">
        <v>1.0418600690867974</v>
      </c>
      <c r="G93" s="5">
        <v>-0.24760947095730093</v>
      </c>
      <c r="H93" s="5">
        <v>1.085981513682982</v>
      </c>
    </row>
    <row r="94" spans="1:8" x14ac:dyDescent="0.3">
      <c r="A94" s="2">
        <v>2025</v>
      </c>
      <c r="B94" s="5">
        <v>9</v>
      </c>
      <c r="C94" s="5">
        <v>41381</v>
      </c>
      <c r="D94" s="5">
        <v>-7.9683198918245601E-2</v>
      </c>
      <c r="E94" s="5">
        <v>3418141</v>
      </c>
      <c r="F94" s="5">
        <v>1.0202386792843132</v>
      </c>
      <c r="G94" s="5">
        <v>-0.24997783745039803</v>
      </c>
      <c r="H94" s="5">
        <v>1.1051421929295404</v>
      </c>
    </row>
    <row r="95" spans="1:8" x14ac:dyDescent="0.3">
      <c r="B95" s="5"/>
      <c r="C95" s="5"/>
      <c r="D95" s="5"/>
      <c r="E95" s="5"/>
      <c r="F95" s="5"/>
      <c r="G95" s="5"/>
      <c r="H95" s="5"/>
    </row>
    <row r="96" spans="1:8" x14ac:dyDescent="0.3">
      <c r="B96" s="5"/>
      <c r="C96" s="5"/>
      <c r="D96" s="5"/>
      <c r="E96" s="5"/>
      <c r="F96" s="5"/>
      <c r="G96" s="5"/>
      <c r="H96" s="5"/>
    </row>
    <row r="97" spans="2:8" x14ac:dyDescent="0.3">
      <c r="B97" s="5"/>
      <c r="C97" s="5"/>
      <c r="D97" s="5"/>
      <c r="E97" s="5"/>
      <c r="F97" s="5"/>
      <c r="G97" s="5"/>
      <c r="H97" s="5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H97"/>
  <sheetViews>
    <sheetView workbookViewId="0">
      <selection activeCell="A2" sqref="A2:H94"/>
    </sheetView>
  </sheetViews>
  <sheetFormatPr baseColWidth="10" defaultColWidth="11.42578125" defaultRowHeight="13.5" x14ac:dyDescent="0.3"/>
  <cols>
    <col min="1" max="1" width="4.42578125" style="2" bestFit="1" customWidth="1"/>
    <col min="2" max="2" width="9.7109375" style="2" bestFit="1" customWidth="1"/>
    <col min="3" max="3" width="13.7109375" style="2" bestFit="1" customWidth="1"/>
    <col min="4" max="4" width="20.7109375" style="2" bestFit="1" customWidth="1"/>
    <col min="5" max="5" width="18.28515625" style="2" bestFit="1" customWidth="1"/>
    <col min="6" max="6" width="11.28515625" style="2" bestFit="1" customWidth="1"/>
    <col min="7" max="7" width="18.5703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</row>
    <row r="2" spans="1:8" x14ac:dyDescent="0.3">
      <c r="A2" s="2">
        <v>2018</v>
      </c>
      <c r="B2" s="3">
        <v>1</v>
      </c>
      <c r="C2" s="3">
        <v>17334</v>
      </c>
      <c r="D2" s="3">
        <v>7.2648514851485047</v>
      </c>
      <c r="E2" s="3">
        <v>1749911</v>
      </c>
      <c r="F2" s="3">
        <v>7.1204437827805167</v>
      </c>
      <c r="G2" s="3">
        <v>4.124897478397644</v>
      </c>
      <c r="H2" s="3">
        <v>4.0431336270042513</v>
      </c>
    </row>
    <row r="3" spans="1:8" x14ac:dyDescent="0.3">
      <c r="A3" s="2">
        <v>2018</v>
      </c>
      <c r="B3" s="3">
        <v>2</v>
      </c>
      <c r="C3" s="3">
        <v>15290</v>
      </c>
      <c r="D3" s="3">
        <v>4.5184223118463374</v>
      </c>
      <c r="E3" s="3">
        <v>1546402</v>
      </c>
      <c r="F3" s="3">
        <v>6.4628014055494898</v>
      </c>
      <c r="G3" s="3">
        <v>3.6651526150175027</v>
      </c>
      <c r="H3" s="3">
        <v>3.6445328723681301</v>
      </c>
    </row>
    <row r="4" spans="1:8" x14ac:dyDescent="0.3">
      <c r="A4" s="2">
        <v>2018</v>
      </c>
      <c r="B4" s="3">
        <v>3</v>
      </c>
      <c r="C4" s="3">
        <v>19280</v>
      </c>
      <c r="D4" s="3">
        <v>2.2160958540981879</v>
      </c>
      <c r="E4" s="3">
        <v>1646846</v>
      </c>
      <c r="F4" s="3">
        <v>-4.9589299925610568</v>
      </c>
      <c r="G4" s="3">
        <v>3.2129522530442669</v>
      </c>
      <c r="H4" s="3">
        <v>3.240787612288325</v>
      </c>
    </row>
    <row r="5" spans="1:8" x14ac:dyDescent="0.3">
      <c r="A5" s="2">
        <v>2018</v>
      </c>
      <c r="B5" s="3">
        <v>4</v>
      </c>
      <c r="C5" s="3">
        <v>21526</v>
      </c>
      <c r="D5" s="3">
        <v>-3.1058696435001809</v>
      </c>
      <c r="E5" s="3">
        <v>1772557</v>
      </c>
      <c r="F5" s="3">
        <v>10.475756570992644</v>
      </c>
      <c r="G5" s="3">
        <v>2.7706437705038605</v>
      </c>
      <c r="H5" s="3">
        <v>2.8328798663107428</v>
      </c>
    </row>
    <row r="6" spans="1:8" x14ac:dyDescent="0.3">
      <c r="A6" s="2">
        <v>2018</v>
      </c>
      <c r="B6" s="3">
        <v>5</v>
      </c>
      <c r="C6" s="3">
        <v>25273</v>
      </c>
      <c r="D6" s="3">
        <v>-5.1411848453686293E-2</v>
      </c>
      <c r="E6" s="3">
        <v>2058400</v>
      </c>
      <c r="F6" s="3">
        <v>1.5205894349341609</v>
      </c>
      <c r="G6" s="3">
        <v>2.340505319283392</v>
      </c>
      <c r="H6" s="3">
        <v>2.4212222291476206</v>
      </c>
    </row>
    <row r="7" spans="1:8" x14ac:dyDescent="0.3">
      <c r="A7" s="2">
        <v>2018</v>
      </c>
      <c r="B7" s="3">
        <v>6</v>
      </c>
      <c r="C7" s="3">
        <v>27523</v>
      </c>
      <c r="D7" s="3">
        <v>-2.5872442839951826</v>
      </c>
      <c r="E7" s="3">
        <v>2055762</v>
      </c>
      <c r="F7" s="3">
        <v>-1.6155863547609006</v>
      </c>
      <c r="G7" s="3">
        <v>1.9244069600606641</v>
      </c>
      <c r="H7" s="3">
        <v>2.0067580508379095</v>
      </c>
    </row>
    <row r="8" spans="1:8" x14ac:dyDescent="0.3">
      <c r="A8" s="2">
        <v>2018</v>
      </c>
      <c r="B8" s="3">
        <v>7</v>
      </c>
      <c r="C8" s="3">
        <v>28133</v>
      </c>
      <c r="D8" s="3">
        <v>5.842738901429656</v>
      </c>
      <c r="E8" s="3">
        <v>2086655</v>
      </c>
      <c r="F8" s="3">
        <v>8.1931351590422086</v>
      </c>
      <c r="G8" s="3">
        <v>1.5240526481546093</v>
      </c>
      <c r="H8" s="3">
        <v>1.5903681374765177</v>
      </c>
    </row>
    <row r="9" spans="1:8" x14ac:dyDescent="0.3">
      <c r="A9" s="2">
        <v>2018</v>
      </c>
      <c r="B9" s="3">
        <v>8</v>
      </c>
      <c r="C9" s="3">
        <v>21237</v>
      </c>
      <c r="D9" s="3">
        <v>-5.8810494593157241</v>
      </c>
      <c r="E9" s="3">
        <v>1602495</v>
      </c>
      <c r="F9" s="3">
        <v>4.301939599062754</v>
      </c>
      <c r="G9" s="3">
        <v>1.1408330297699885</v>
      </c>
      <c r="H9" s="3">
        <v>1.1726817434635206</v>
      </c>
    </row>
    <row r="10" spans="1:8" x14ac:dyDescent="0.3">
      <c r="A10" s="2">
        <v>2018</v>
      </c>
      <c r="B10" s="3">
        <v>9</v>
      </c>
      <c r="C10" s="3">
        <v>20858</v>
      </c>
      <c r="D10" s="3">
        <v>-3.8358690640848292</v>
      </c>
      <c r="E10" s="3">
        <v>1952397</v>
      </c>
      <c r="F10" s="3">
        <v>-2.0504026806243192</v>
      </c>
      <c r="G10" s="3">
        <v>0.77643865987915206</v>
      </c>
      <c r="H10" s="3">
        <v>0.75478664868660206</v>
      </c>
    </row>
    <row r="11" spans="1:8" x14ac:dyDescent="0.3">
      <c r="A11" s="2">
        <v>2018</v>
      </c>
      <c r="B11" s="3">
        <v>10</v>
      </c>
      <c r="C11" s="3">
        <v>25290</v>
      </c>
      <c r="D11" s="3">
        <v>4.1126343090033268</v>
      </c>
      <c r="E11" s="3">
        <v>2243453</v>
      </c>
      <c r="F11" s="3">
        <v>10.396155072572167</v>
      </c>
      <c r="G11" s="3">
        <v>0.43207246272604138</v>
      </c>
      <c r="H11" s="3">
        <v>0.33798794260675147</v>
      </c>
    </row>
    <row r="12" spans="1:8" x14ac:dyDescent="0.3">
      <c r="A12" s="2">
        <v>2018</v>
      </c>
      <c r="B12" s="3">
        <v>11</v>
      </c>
      <c r="C12" s="3">
        <v>18674</v>
      </c>
      <c r="D12" s="3">
        <v>-1.5811109939917745</v>
      </c>
      <c r="E12" s="3">
        <v>1867172</v>
      </c>
      <c r="F12" s="3">
        <v>2.6855828313642194</v>
      </c>
      <c r="G12" s="3">
        <v>0.10861706340710038</v>
      </c>
      <c r="H12" s="3">
        <v>-7.6604090129577307E-2</v>
      </c>
    </row>
    <row r="13" spans="1:8" x14ac:dyDescent="0.3">
      <c r="A13" s="2">
        <v>2018</v>
      </c>
      <c r="B13" s="3">
        <v>12</v>
      </c>
      <c r="C13" s="3">
        <v>17426</v>
      </c>
      <c r="D13" s="3">
        <v>9.76506404733124E-2</v>
      </c>
      <c r="E13" s="3">
        <v>1709631</v>
      </c>
      <c r="F13" s="3">
        <v>3.4875570212395068</v>
      </c>
      <c r="G13" s="3">
        <v>-0.19278931840856892</v>
      </c>
      <c r="H13" s="3">
        <v>-0.48718068104746048</v>
      </c>
    </row>
    <row r="14" spans="1:8" x14ac:dyDescent="0.3">
      <c r="A14" s="2">
        <v>2019</v>
      </c>
      <c r="B14" s="3">
        <v>1</v>
      </c>
      <c r="C14" s="3">
        <v>17604</v>
      </c>
      <c r="D14" s="3">
        <v>1.5576323987538832</v>
      </c>
      <c r="E14" s="3">
        <v>1858077</v>
      </c>
      <c r="F14" s="3">
        <v>6.1812286453425402</v>
      </c>
      <c r="G14" s="3">
        <v>-0.4711258052780728</v>
      </c>
      <c r="H14" s="3">
        <v>-0.89174124313575953</v>
      </c>
    </row>
    <row r="15" spans="1:8" x14ac:dyDescent="0.3">
      <c r="A15" s="2">
        <v>2019</v>
      </c>
      <c r="B15" s="3">
        <v>2</v>
      </c>
      <c r="C15" s="3">
        <v>15106</v>
      </c>
      <c r="D15" s="3">
        <v>-1.2034009156311365</v>
      </c>
      <c r="E15" s="3">
        <v>1571017</v>
      </c>
      <c r="F15" s="3">
        <v>1.5917594519406997</v>
      </c>
      <c r="G15" s="3">
        <v>-0.72535135031692843</v>
      </c>
      <c r="H15" s="3">
        <v>-1.288009165931788</v>
      </c>
    </row>
    <row r="16" spans="1:8" x14ac:dyDescent="0.3">
      <c r="A16" s="2">
        <v>2019</v>
      </c>
      <c r="B16" s="3">
        <v>3</v>
      </c>
      <c r="C16" s="3">
        <v>19648</v>
      </c>
      <c r="D16" s="3">
        <v>1.9087136929460513</v>
      </c>
      <c r="E16" s="3">
        <v>1709848</v>
      </c>
      <c r="F16" s="3">
        <v>3.825615752778333</v>
      </c>
      <c r="G16" s="3">
        <v>-0.95428402065426177</v>
      </c>
      <c r="H16" s="3">
        <v>-1.6732166605083818</v>
      </c>
    </row>
    <row r="17" spans="1:8" x14ac:dyDescent="0.3">
      <c r="A17" s="2">
        <v>2019</v>
      </c>
      <c r="B17" s="3">
        <v>4</v>
      </c>
      <c r="C17" s="3">
        <v>24408</v>
      </c>
      <c r="D17" s="3">
        <v>13.38846046641271</v>
      </c>
      <c r="E17" s="3">
        <v>1765185</v>
      </c>
      <c r="F17" s="3">
        <v>-0.41589635763475963</v>
      </c>
      <c r="G17" s="3">
        <v>-1.156775081305679</v>
      </c>
      <c r="H17" s="3">
        <v>-2.0443959540065797</v>
      </c>
    </row>
    <row r="18" spans="1:8" x14ac:dyDescent="0.3">
      <c r="A18" s="2">
        <v>2019</v>
      </c>
      <c r="B18" s="3">
        <v>5</v>
      </c>
      <c r="C18" s="3">
        <v>25470</v>
      </c>
      <c r="D18" s="3">
        <v>0.77948799113678469</v>
      </c>
      <c r="E18" s="3">
        <v>2075741</v>
      </c>
      <c r="F18" s="3">
        <v>0.84245044694908344</v>
      </c>
      <c r="G18" s="3">
        <v>-1.3314769780011195</v>
      </c>
      <c r="H18" s="3">
        <v>-2.3981974102053871</v>
      </c>
    </row>
    <row r="19" spans="1:8" x14ac:dyDescent="0.3">
      <c r="A19" s="2">
        <v>2019</v>
      </c>
      <c r="B19" s="3">
        <v>6</v>
      </c>
      <c r="C19" s="3">
        <v>25396</v>
      </c>
      <c r="D19" s="3">
        <v>-7.728081967808742</v>
      </c>
      <c r="E19" s="3">
        <v>2009011</v>
      </c>
      <c r="F19" s="3">
        <v>-2.2741445751015887</v>
      </c>
      <c r="G19" s="3">
        <v>-1.4760320706685981</v>
      </c>
      <c r="H19" s="3">
        <v>-2.7311583026340616</v>
      </c>
    </row>
    <row r="20" spans="1:8" x14ac:dyDescent="0.3">
      <c r="A20" s="2">
        <v>2019</v>
      </c>
      <c r="B20" s="3">
        <v>7</v>
      </c>
      <c r="C20" s="3">
        <v>28997</v>
      </c>
      <c r="D20" s="3">
        <v>3.0711264351473311</v>
      </c>
      <c r="E20" s="3">
        <v>2179527</v>
      </c>
      <c r="F20" s="3">
        <v>4.4507597087204198</v>
      </c>
      <c r="G20" s="3">
        <v>-1.5879361244466059</v>
      </c>
      <c r="H20" s="3">
        <v>-3.03959085983178</v>
      </c>
    </row>
    <row r="21" spans="1:8" x14ac:dyDescent="0.3">
      <c r="A21" s="2">
        <v>2019</v>
      </c>
      <c r="B21" s="3">
        <v>8</v>
      </c>
      <c r="C21" s="3">
        <v>20619</v>
      </c>
      <c r="D21" s="3">
        <v>-2.9100155389179316</v>
      </c>
      <c r="E21" s="3">
        <v>1519922</v>
      </c>
      <c r="F21" s="3">
        <v>-5.1527773877609651</v>
      </c>
      <c r="G21" s="3">
        <v>-1.6651190746053799</v>
      </c>
      <c r="H21" s="3">
        <v>-3.3197755732733079</v>
      </c>
    </row>
    <row r="22" spans="1:8" x14ac:dyDescent="0.3">
      <c r="A22" s="2">
        <v>2019</v>
      </c>
      <c r="B22" s="3">
        <v>9</v>
      </c>
      <c r="C22" s="3">
        <v>21982</v>
      </c>
      <c r="D22" s="3">
        <v>5.388819637549136</v>
      </c>
      <c r="E22" s="3">
        <v>2094635</v>
      </c>
      <c r="F22" s="3">
        <v>7.2853010939885721</v>
      </c>
      <c r="G22" s="3">
        <v>-1.7051873104040742</v>
      </c>
      <c r="H22" s="3">
        <v>-3.5674727711994829</v>
      </c>
    </row>
    <row r="23" spans="1:8" x14ac:dyDescent="0.3">
      <c r="A23" s="2">
        <v>2019</v>
      </c>
      <c r="B23" s="3">
        <v>10</v>
      </c>
      <c r="C23" s="3">
        <v>24667</v>
      </c>
      <c r="D23" s="3">
        <v>-2.4634242783708959</v>
      </c>
      <c r="E23" s="3">
        <v>2224757</v>
      </c>
      <c r="F23" s="3">
        <v>-0.83335822056446185</v>
      </c>
      <c r="G23" s="3">
        <v>-1.7058336722451986</v>
      </c>
      <c r="H23" s="3">
        <v>-3.778570073643817</v>
      </c>
    </row>
    <row r="24" spans="1:8" x14ac:dyDescent="0.3">
      <c r="A24" s="2">
        <v>2019</v>
      </c>
      <c r="B24" s="3">
        <v>11</v>
      </c>
      <c r="C24" s="3">
        <v>18437</v>
      </c>
      <c r="D24" s="3">
        <v>-1.2691442647531304</v>
      </c>
      <c r="E24" s="3">
        <v>1764169</v>
      </c>
      <c r="F24" s="3">
        <v>-5.5165244551653503</v>
      </c>
      <c r="G24" s="3">
        <v>-1.6642583611598771</v>
      </c>
      <c r="H24" s="3">
        <v>-3.9482014357880728</v>
      </c>
    </row>
    <row r="25" spans="1:8" x14ac:dyDescent="0.3">
      <c r="A25" s="2">
        <v>2019</v>
      </c>
      <c r="B25" s="3">
        <v>12</v>
      </c>
      <c r="C25" s="3">
        <v>18675</v>
      </c>
      <c r="D25" s="3">
        <v>7.1674509353839122</v>
      </c>
      <c r="E25" s="3">
        <v>1740332</v>
      </c>
      <c r="F25" s="3">
        <v>1.7957676247096543</v>
      </c>
      <c r="G25" s="3">
        <v>-1.5777141886379933</v>
      </c>
      <c r="H25" s="3">
        <v>-4.0712962842131057</v>
      </c>
    </row>
    <row r="26" spans="1:8" x14ac:dyDescent="0.3">
      <c r="A26" s="2">
        <v>2020</v>
      </c>
      <c r="B26" s="3">
        <v>1</v>
      </c>
      <c r="C26" s="3">
        <v>17838</v>
      </c>
      <c r="D26" s="3">
        <v>1.3292433537832382</v>
      </c>
      <c r="E26" s="3">
        <v>1764837</v>
      </c>
      <c r="F26" s="3">
        <v>-5.0180912846991781</v>
      </c>
      <c r="G26" s="3">
        <v>-1.4434265276905132</v>
      </c>
      <c r="H26" s="3">
        <v>-4.1428929568205612</v>
      </c>
    </row>
    <row r="27" spans="1:8" x14ac:dyDescent="0.3">
      <c r="A27" s="2">
        <v>2020</v>
      </c>
      <c r="B27" s="3">
        <v>2</v>
      </c>
      <c r="C27" s="3">
        <v>16564</v>
      </c>
      <c r="D27" s="3">
        <v>9.6517939891433748</v>
      </c>
      <c r="E27" s="3">
        <v>1594763</v>
      </c>
      <c r="F27" s="3">
        <v>1.5115049678011028</v>
      </c>
      <c r="G27" s="3">
        <v>-1.25801344819479</v>
      </c>
      <c r="H27" s="3">
        <v>-4.1576223565184094</v>
      </c>
    </row>
    <row r="28" spans="1:8" x14ac:dyDescent="0.3">
      <c r="A28" s="2">
        <v>2020</v>
      </c>
      <c r="B28" s="3">
        <v>3</v>
      </c>
      <c r="C28" s="3">
        <v>13645</v>
      </c>
      <c r="D28" s="3">
        <v>-30.552728013029316</v>
      </c>
      <c r="E28" s="3">
        <v>1256510</v>
      </c>
      <c r="F28" s="3">
        <v>-26.513350894348509</v>
      </c>
      <c r="G28" s="3">
        <v>-1.0179004735086306</v>
      </c>
      <c r="H28" s="3">
        <v>-4.1101761638762779</v>
      </c>
    </row>
    <row r="29" spans="1:8" x14ac:dyDescent="0.3">
      <c r="A29" s="2">
        <v>2020</v>
      </c>
      <c r="B29" s="3">
        <v>4</v>
      </c>
      <c r="C29" s="3">
        <v>6404</v>
      </c>
      <c r="D29" s="3">
        <v>-73.762700753851192</v>
      </c>
      <c r="E29" s="3">
        <v>673149</v>
      </c>
      <c r="F29" s="3">
        <v>-61.865243586366304</v>
      </c>
      <c r="G29" s="3">
        <v>-0.71875550147335943</v>
      </c>
      <c r="H29" s="3">
        <v>-3.9948523700662726</v>
      </c>
    </row>
    <row r="30" spans="1:8" x14ac:dyDescent="0.3">
      <c r="A30" s="2">
        <v>2020</v>
      </c>
      <c r="B30" s="3">
        <v>5</v>
      </c>
      <c r="C30" s="3">
        <v>10276</v>
      </c>
      <c r="D30" s="3">
        <v>-59.654495484884173</v>
      </c>
      <c r="E30" s="3">
        <v>850617</v>
      </c>
      <c r="F30" s="3">
        <v>-59.021043569501195</v>
      </c>
      <c r="G30" s="3">
        <v>-0.35829745962054604</v>
      </c>
      <c r="H30" s="3">
        <v>-3.8075047422834492</v>
      </c>
    </row>
    <row r="31" spans="1:8" x14ac:dyDescent="0.3">
      <c r="A31" s="2">
        <v>2020</v>
      </c>
      <c r="B31" s="3">
        <v>6</v>
      </c>
      <c r="C31" s="3">
        <v>14366</v>
      </c>
      <c r="D31" s="3">
        <v>-43.432036541187593</v>
      </c>
      <c r="E31" s="3">
        <v>1159602</v>
      </c>
      <c r="F31" s="3">
        <v>-42.279957650804299</v>
      </c>
      <c r="G31" s="3">
        <v>6.0682228320158287E-2</v>
      </c>
      <c r="H31" s="3">
        <v>-3.5480058248906627</v>
      </c>
    </row>
    <row r="32" spans="1:8" x14ac:dyDescent="0.3">
      <c r="A32" s="2">
        <v>2020</v>
      </c>
      <c r="B32" s="3">
        <v>7</v>
      </c>
      <c r="C32" s="3">
        <v>22497</v>
      </c>
      <c r="D32" s="3">
        <v>-22.416112011587408</v>
      </c>
      <c r="E32" s="3">
        <v>1536122</v>
      </c>
      <c r="F32" s="3">
        <v>-29.520395939118906</v>
      </c>
      <c r="G32" s="3">
        <v>0.53127434708957011</v>
      </c>
      <c r="H32" s="3">
        <v>-3.220062435780437</v>
      </c>
    </row>
    <row r="33" spans="1:8" x14ac:dyDescent="0.3">
      <c r="A33" s="2">
        <v>2020</v>
      </c>
      <c r="B33" s="3">
        <v>8</v>
      </c>
      <c r="C33" s="3">
        <v>17272</v>
      </c>
      <c r="D33" s="3">
        <v>-16.232600999078517</v>
      </c>
      <c r="E33" s="3">
        <v>1118663</v>
      </c>
      <c r="F33" s="3">
        <v>-26.399973156517241</v>
      </c>
      <c r="G33" s="3">
        <v>1.0435493537361791</v>
      </c>
      <c r="H33" s="3">
        <v>-2.8300711117220949</v>
      </c>
    </row>
    <row r="34" spans="1:8" x14ac:dyDescent="0.3">
      <c r="A34" s="2">
        <v>2020</v>
      </c>
      <c r="B34" s="3">
        <v>9</v>
      </c>
      <c r="C34" s="3">
        <v>20020</v>
      </c>
      <c r="D34" s="3">
        <v>-8.9254844873078003</v>
      </c>
      <c r="E34" s="3">
        <v>1632484</v>
      </c>
      <c r="F34" s="3">
        <v>-22.063557612662834</v>
      </c>
      <c r="G34" s="3">
        <v>1.5859841368113443</v>
      </c>
      <c r="H34" s="3">
        <v>-2.3862548015338017</v>
      </c>
    </row>
    <row r="35" spans="1:8" x14ac:dyDescent="0.3">
      <c r="A35" s="2">
        <v>2020</v>
      </c>
      <c r="B35" s="3">
        <v>10</v>
      </c>
      <c r="C35" s="3">
        <v>18657</v>
      </c>
      <c r="D35" s="3">
        <v>-24.364535614383588</v>
      </c>
      <c r="E35" s="3">
        <v>1551357</v>
      </c>
      <c r="F35" s="3">
        <v>-30.268474264829827</v>
      </c>
      <c r="G35" s="3">
        <v>2.1458558522030353</v>
      </c>
      <c r="H35" s="3">
        <v>-1.8984732527868331</v>
      </c>
    </row>
    <row r="36" spans="1:8" x14ac:dyDescent="0.3">
      <c r="A36" s="2">
        <v>2020</v>
      </c>
      <c r="B36" s="3">
        <v>11</v>
      </c>
      <c r="C36" s="3">
        <v>14806</v>
      </c>
      <c r="D36" s="3">
        <v>-19.694093399143032</v>
      </c>
      <c r="E36" s="3">
        <v>1449810</v>
      </c>
      <c r="F36" s="3">
        <v>-17.81909783019654</v>
      </c>
      <c r="G36" s="3">
        <v>2.7097116927003246</v>
      </c>
      <c r="H36" s="3">
        <v>-1.3779526924143499</v>
      </c>
    </row>
    <row r="37" spans="1:8" x14ac:dyDescent="0.3">
      <c r="A37" s="2">
        <v>2020</v>
      </c>
      <c r="B37" s="3">
        <v>12</v>
      </c>
      <c r="C37" s="3">
        <v>13538</v>
      </c>
      <c r="D37" s="3">
        <v>-27.507362784471223</v>
      </c>
      <c r="E37" s="3">
        <v>1355147</v>
      </c>
      <c r="F37" s="3">
        <v>-22.132845916756118</v>
      </c>
      <c r="G37" s="3">
        <v>3.262257851684883</v>
      </c>
      <c r="H37" s="3">
        <v>-0.83788948630868154</v>
      </c>
    </row>
    <row r="38" spans="1:8" x14ac:dyDescent="0.3">
      <c r="A38" s="2">
        <v>2021</v>
      </c>
      <c r="B38" s="3">
        <v>1</v>
      </c>
      <c r="C38" s="3">
        <v>13579</v>
      </c>
      <c r="D38" s="3">
        <v>-23.875995066711518</v>
      </c>
      <c r="E38" s="3">
        <v>1302429</v>
      </c>
      <c r="F38" s="3">
        <v>-26.201173252827314</v>
      </c>
      <c r="G38" s="3">
        <v>3.7866447027403356</v>
      </c>
      <c r="H38" s="3">
        <v>-0.2926217465522814</v>
      </c>
    </row>
    <row r="39" spans="1:8" x14ac:dyDescent="0.3">
      <c r="A39" s="2">
        <v>2021</v>
      </c>
      <c r="B39" s="3">
        <v>2</v>
      </c>
      <c r="C39" s="3">
        <v>12772</v>
      </c>
      <c r="D39" s="3">
        <v>-22.893021009418014</v>
      </c>
      <c r="E39" s="3">
        <v>1212284</v>
      </c>
      <c r="F39" s="3">
        <v>-23.983438291457727</v>
      </c>
      <c r="G39" s="3">
        <v>4.263885840239463</v>
      </c>
      <c r="H39" s="3">
        <v>0.24203359835361629</v>
      </c>
    </row>
    <row r="40" spans="1:8" x14ac:dyDescent="0.3">
      <c r="A40" s="2">
        <v>2021</v>
      </c>
      <c r="B40" s="3">
        <v>3</v>
      </c>
      <c r="C40" s="3">
        <v>18667</v>
      </c>
      <c r="D40" s="3">
        <v>36.804690362770252</v>
      </c>
      <c r="E40" s="3">
        <v>1404107</v>
      </c>
      <c r="F40" s="3">
        <v>11.746583791613286</v>
      </c>
      <c r="G40" s="3">
        <v>4.6730738419043893</v>
      </c>
      <c r="H40" s="3">
        <v>0.74846041494206361</v>
      </c>
    </row>
    <row r="41" spans="1:8" x14ac:dyDescent="0.3">
      <c r="A41" s="2">
        <v>2021</v>
      </c>
      <c r="B41" s="3">
        <v>4</v>
      </c>
      <c r="C41" s="3">
        <v>18568</v>
      </c>
      <c r="D41" s="3">
        <v>189.94378513429106</v>
      </c>
      <c r="E41" s="3">
        <v>1356845</v>
      </c>
      <c r="F41" s="3">
        <v>101.56681507363152</v>
      </c>
      <c r="G41" s="3">
        <v>4.9914153891482345</v>
      </c>
      <c r="H41" s="3">
        <v>1.2073602453093202</v>
      </c>
    </row>
    <row r="42" spans="1:8" x14ac:dyDescent="0.3">
      <c r="A42" s="2">
        <v>2021</v>
      </c>
      <c r="B42" s="3">
        <v>5</v>
      </c>
      <c r="C42" s="3">
        <v>20775</v>
      </c>
      <c r="D42" s="3">
        <v>102.17010509926041</v>
      </c>
      <c r="E42" s="3">
        <v>1545308</v>
      </c>
      <c r="F42" s="3">
        <v>81.669070803898819</v>
      </c>
      <c r="G42" s="3">
        <v>5.198348525642511</v>
      </c>
      <c r="H42" s="3">
        <v>1.6001983901194698</v>
      </c>
    </row>
    <row r="43" spans="1:8" x14ac:dyDescent="0.3">
      <c r="A43" s="2">
        <v>2021</v>
      </c>
      <c r="B43" s="3">
        <v>6</v>
      </c>
      <c r="C43" s="3">
        <v>25466</v>
      </c>
      <c r="D43" s="3">
        <v>77.265766392872052</v>
      </c>
      <c r="E43" s="3">
        <v>1798047</v>
      </c>
      <c r="F43" s="3">
        <v>55.057252402117271</v>
      </c>
      <c r="G43" s="3">
        <v>5.2861552096243658</v>
      </c>
      <c r="H43" s="3">
        <v>1.9154095566218967</v>
      </c>
    </row>
    <row r="44" spans="1:8" x14ac:dyDescent="0.3">
      <c r="A44" s="2">
        <v>2021</v>
      </c>
      <c r="B44" s="3">
        <v>7</v>
      </c>
      <c r="C44" s="3">
        <v>26277</v>
      </c>
      <c r="D44" s="3">
        <v>16.802240298706494</v>
      </c>
      <c r="E44" s="3">
        <v>1838250</v>
      </c>
      <c r="F44" s="3">
        <v>19.668229476565013</v>
      </c>
      <c r="G44" s="3">
        <v>5.2538515490930022</v>
      </c>
      <c r="H44" s="3">
        <v>2.1469887904280522</v>
      </c>
    </row>
    <row r="45" spans="1:8" x14ac:dyDescent="0.3">
      <c r="A45" s="2">
        <v>2021</v>
      </c>
      <c r="B45" s="3">
        <v>8</v>
      </c>
      <c r="C45" s="3">
        <v>20928</v>
      </c>
      <c r="D45" s="3">
        <v>21.167207040296443</v>
      </c>
      <c r="E45" s="3">
        <v>1407563</v>
      </c>
      <c r="F45" s="3">
        <v>25.825472014360006</v>
      </c>
      <c r="G45" s="3">
        <v>5.1054522361575696</v>
      </c>
      <c r="H45" s="3">
        <v>2.2926215429025474</v>
      </c>
    </row>
    <row r="46" spans="1:8" x14ac:dyDescent="0.3">
      <c r="A46" s="2">
        <v>2021</v>
      </c>
      <c r="B46" s="3">
        <v>9</v>
      </c>
      <c r="C46" s="3">
        <v>23003</v>
      </c>
      <c r="D46" s="3">
        <v>14.900099900099907</v>
      </c>
      <c r="E46" s="3">
        <v>1923846</v>
      </c>
      <c r="F46" s="3">
        <v>17.847770636649418</v>
      </c>
      <c r="G46" s="3">
        <v>4.8457739343681627</v>
      </c>
      <c r="H46" s="3">
        <v>2.351210018235419</v>
      </c>
    </row>
    <row r="47" spans="1:8" x14ac:dyDescent="0.3">
      <c r="A47" s="2">
        <v>2021</v>
      </c>
      <c r="B47" s="3">
        <v>10</v>
      </c>
      <c r="C47" s="3">
        <v>22623</v>
      </c>
      <c r="D47" s="3">
        <v>21.257436886959312</v>
      </c>
      <c r="E47" s="3">
        <v>1892584</v>
      </c>
      <c r="F47" s="3">
        <v>21.995388553376173</v>
      </c>
      <c r="G47" s="3">
        <v>4.4807487069140537</v>
      </c>
      <c r="H47" s="3">
        <v>2.3232906463438883</v>
      </c>
    </row>
    <row r="48" spans="1:8" x14ac:dyDescent="0.3">
      <c r="A48" s="2">
        <v>2021</v>
      </c>
      <c r="B48" s="3">
        <v>11</v>
      </c>
      <c r="C48" s="3">
        <v>21389</v>
      </c>
      <c r="D48" s="3">
        <v>44.461704714305014</v>
      </c>
      <c r="E48" s="3">
        <v>2021546</v>
      </c>
      <c r="F48" s="3">
        <v>39.435236341313697</v>
      </c>
      <c r="G48" s="3">
        <v>4.0170068340654677</v>
      </c>
      <c r="H48" s="3">
        <v>2.2104760071881229</v>
      </c>
    </row>
    <row r="49" spans="1:8" x14ac:dyDescent="0.3">
      <c r="A49" s="2">
        <v>2021</v>
      </c>
      <c r="B49" s="3">
        <v>12</v>
      </c>
      <c r="C49" s="3">
        <v>18420</v>
      </c>
      <c r="D49" s="3">
        <v>36.0614566405673</v>
      </c>
      <c r="E49" s="3">
        <v>1681550</v>
      </c>
      <c r="F49" s="3">
        <v>24.086169249535281</v>
      </c>
      <c r="G49" s="3">
        <v>3.4623436438829116</v>
      </c>
      <c r="H49" s="3">
        <v>2.0157447986385004</v>
      </c>
    </row>
    <row r="50" spans="1:8" x14ac:dyDescent="0.3">
      <c r="A50" s="2">
        <v>2022</v>
      </c>
      <c r="B50" s="3">
        <v>1</v>
      </c>
      <c r="C50" s="3">
        <v>17109</v>
      </c>
      <c r="D50" s="3">
        <v>25.996023271227632</v>
      </c>
      <c r="E50" s="3">
        <v>1596332</v>
      </c>
      <c r="F50" s="3">
        <v>22.565759822608378</v>
      </c>
      <c r="G50" s="3">
        <v>2.8273631240019093</v>
      </c>
      <c r="H50" s="3">
        <v>1.7446607713663798</v>
      </c>
    </row>
    <row r="51" spans="1:8" x14ac:dyDescent="0.3">
      <c r="A51" s="2">
        <v>2022</v>
      </c>
      <c r="B51" s="3">
        <v>2</v>
      </c>
      <c r="C51" s="3">
        <v>14792</v>
      </c>
      <c r="D51" s="3">
        <v>15.815847165674924</v>
      </c>
      <c r="E51" s="3">
        <v>1444057</v>
      </c>
      <c r="F51" s="3">
        <v>19.118704857937587</v>
      </c>
      <c r="G51" s="3">
        <v>2.1249330893494194</v>
      </c>
      <c r="H51" s="3">
        <v>1.4043203444077648</v>
      </c>
    </row>
    <row r="52" spans="1:8" x14ac:dyDescent="0.3">
      <c r="A52" s="2">
        <v>2022</v>
      </c>
      <c r="B52" s="3">
        <v>3</v>
      </c>
      <c r="C52" s="3">
        <v>17261</v>
      </c>
      <c r="D52" s="3">
        <v>-7.5320083569936251</v>
      </c>
      <c r="E52" s="3">
        <v>1671841</v>
      </c>
      <c r="F52" s="3">
        <v>19.067920037433051</v>
      </c>
      <c r="G52" s="3">
        <v>1.3695302895848476</v>
      </c>
      <c r="H52" s="3">
        <v>1.0032658464549957</v>
      </c>
    </row>
    <row r="53" spans="1:8" x14ac:dyDescent="0.3">
      <c r="A53" s="2">
        <v>2022</v>
      </c>
      <c r="B53" s="3">
        <v>4</v>
      </c>
      <c r="C53" s="3">
        <v>18355</v>
      </c>
      <c r="D53" s="3">
        <v>-1.1471348556656658</v>
      </c>
      <c r="E53" s="3">
        <v>1450093</v>
      </c>
      <c r="F53" s="3">
        <v>6.8724135770850792</v>
      </c>
      <c r="G53" s="3">
        <v>0.57658223228956629</v>
      </c>
      <c r="H53" s="3">
        <v>0.55126977179163039</v>
      </c>
    </row>
    <row r="54" spans="1:8" x14ac:dyDescent="0.3">
      <c r="A54" s="2">
        <v>2022</v>
      </c>
      <c r="B54" s="3">
        <v>5</v>
      </c>
      <c r="C54" s="3">
        <v>18055</v>
      </c>
      <c r="D54" s="3">
        <v>-13.09265944645006</v>
      </c>
      <c r="E54" s="3">
        <v>1640595</v>
      </c>
      <c r="F54" s="3">
        <v>6.1662141139501081</v>
      </c>
      <c r="G54" s="3">
        <v>-0.23910173736106391</v>
      </c>
      <c r="H54" s="3">
        <v>5.9359104575600022E-2</v>
      </c>
    </row>
    <row r="55" spans="1:8" x14ac:dyDescent="0.3">
      <c r="A55" s="2">
        <v>2022</v>
      </c>
      <c r="B55" s="3">
        <v>6</v>
      </c>
      <c r="C55" s="3">
        <v>20660</v>
      </c>
      <c r="D55" s="3">
        <v>-18.872221785910625</v>
      </c>
      <c r="E55" s="3">
        <v>1768988</v>
      </c>
      <c r="F55" s="3">
        <v>-1.6161424033965699</v>
      </c>
      <c r="G55" s="3">
        <v>-1.0628319767672352</v>
      </c>
      <c r="H55" s="3">
        <v>-0.46100020271535214</v>
      </c>
    </row>
    <row r="56" spans="1:8" x14ac:dyDescent="0.3">
      <c r="A56" s="2">
        <v>2022</v>
      </c>
      <c r="B56" s="3">
        <v>7</v>
      </c>
      <c r="C56" s="3">
        <v>22296</v>
      </c>
      <c r="D56" s="3">
        <v>-15.150131293526659</v>
      </c>
      <c r="E56" s="3">
        <v>1655515</v>
      </c>
      <c r="F56" s="3">
        <v>-9.9407044743642032</v>
      </c>
      <c r="G56" s="3">
        <v>-1.880811451503382</v>
      </c>
      <c r="H56" s="3">
        <v>-0.99791811045005407</v>
      </c>
    </row>
    <row r="57" spans="1:8" x14ac:dyDescent="0.3">
      <c r="A57" s="2">
        <v>2022</v>
      </c>
      <c r="B57" s="3">
        <v>8</v>
      </c>
      <c r="C57" s="3">
        <v>17729</v>
      </c>
      <c r="D57" s="3">
        <v>-15.285741590214064</v>
      </c>
      <c r="E57" s="3">
        <v>1283791</v>
      </c>
      <c r="F57" s="3">
        <v>-8.7933541873436596</v>
      </c>
      <c r="G57" s="3">
        <v>-2.6804798903251297</v>
      </c>
      <c r="H57" s="3">
        <v>-1.5395847972057146</v>
      </c>
    </row>
    <row r="58" spans="1:8" x14ac:dyDescent="0.3">
      <c r="A58" s="2">
        <v>2022</v>
      </c>
      <c r="B58" s="3">
        <v>9</v>
      </c>
      <c r="C58" s="3">
        <v>17231</v>
      </c>
      <c r="D58" s="3">
        <v>-25.092379254879795</v>
      </c>
      <c r="E58" s="3">
        <v>1660792</v>
      </c>
      <c r="F58" s="3">
        <v>-13.673339757963998</v>
      </c>
      <c r="G58" s="3">
        <v>-3.4501985025326887</v>
      </c>
      <c r="H58" s="3">
        <v>-2.07481146839037</v>
      </c>
    </row>
    <row r="59" spans="1:8" x14ac:dyDescent="0.3">
      <c r="A59" s="2">
        <v>2022</v>
      </c>
      <c r="B59" s="3">
        <v>10</v>
      </c>
      <c r="C59" s="3">
        <v>16209</v>
      </c>
      <c r="D59" s="3">
        <v>-28.351677496353268</v>
      </c>
      <c r="E59" s="3">
        <v>1524139</v>
      </c>
      <c r="F59" s="3">
        <v>-19.467828112252882</v>
      </c>
      <c r="G59" s="3">
        <v>-4.1792038628220949</v>
      </c>
      <c r="H59" s="3">
        <v>-2.5929130633974826</v>
      </c>
    </row>
    <row r="60" spans="1:8" x14ac:dyDescent="0.3">
      <c r="A60" s="2">
        <v>2022</v>
      </c>
      <c r="B60" s="3">
        <v>11</v>
      </c>
      <c r="C60" s="3">
        <v>13838</v>
      </c>
      <c r="D60" s="3">
        <v>-35.303193230165043</v>
      </c>
      <c r="E60" s="3">
        <v>1424283</v>
      </c>
      <c r="F60" s="3">
        <v>-29.544863188866344</v>
      </c>
      <c r="G60" s="3">
        <v>-4.8582354751082972</v>
      </c>
      <c r="H60" s="3">
        <v>-3.0840099749739576</v>
      </c>
    </row>
    <row r="61" spans="1:8" x14ac:dyDescent="0.3">
      <c r="A61" s="2">
        <v>2022</v>
      </c>
      <c r="B61" s="3">
        <v>12</v>
      </c>
      <c r="C61" s="3">
        <v>13236</v>
      </c>
      <c r="D61" s="3">
        <v>-28.143322475570031</v>
      </c>
      <c r="E61" s="3">
        <v>1189917</v>
      </c>
      <c r="F61" s="3">
        <v>-29.23689453183075</v>
      </c>
      <c r="G61" s="3">
        <v>-5.479711487308573</v>
      </c>
      <c r="H61" s="3">
        <v>-3.5393944649673146</v>
      </c>
    </row>
    <row r="62" spans="1:8" x14ac:dyDescent="0.3">
      <c r="A62" s="2">
        <v>2023</v>
      </c>
      <c r="B62" s="3">
        <v>1</v>
      </c>
      <c r="C62" s="3">
        <v>12507</v>
      </c>
      <c r="D62" s="3">
        <v>-26.898123794494122</v>
      </c>
      <c r="E62" s="3">
        <v>1200749</v>
      </c>
      <c r="F62" s="3">
        <v>-24.780747363330434</v>
      </c>
      <c r="G62" s="3">
        <v>-6.0381642805176332</v>
      </c>
      <c r="H62" s="3">
        <v>-3.9521963544760377</v>
      </c>
    </row>
    <row r="63" spans="1:8" x14ac:dyDescent="0.3">
      <c r="A63" s="2">
        <v>2023</v>
      </c>
      <c r="B63" s="3">
        <v>2</v>
      </c>
      <c r="C63" s="3">
        <v>10672</v>
      </c>
      <c r="D63" s="3">
        <v>-27.852893455922121</v>
      </c>
      <c r="E63" s="3">
        <v>1084802</v>
      </c>
      <c r="F63" s="3">
        <v>-24.878173091505396</v>
      </c>
      <c r="G63" s="3">
        <v>-6.5297000977043744</v>
      </c>
      <c r="H63" s="3">
        <v>-4.3173300132143657</v>
      </c>
    </row>
    <row r="64" spans="1:8" x14ac:dyDescent="0.3">
      <c r="A64" s="2">
        <v>2023</v>
      </c>
      <c r="B64" s="3">
        <v>3</v>
      </c>
      <c r="C64" s="3">
        <v>14833</v>
      </c>
      <c r="D64" s="3">
        <v>-14.066392445397135</v>
      </c>
      <c r="E64" s="3">
        <v>1315095</v>
      </c>
      <c r="F64" s="3">
        <v>-21.338512454234582</v>
      </c>
      <c r="G64" s="3">
        <v>-6.9518737901372729</v>
      </c>
      <c r="H64" s="3">
        <v>-4.6311562380499289</v>
      </c>
    </row>
    <row r="65" spans="1:8" x14ac:dyDescent="0.3">
      <c r="A65" s="2">
        <v>2023</v>
      </c>
      <c r="B65" s="3">
        <v>4</v>
      </c>
      <c r="C65" s="3">
        <v>15179</v>
      </c>
      <c r="D65" s="3">
        <v>-17.303187142467991</v>
      </c>
      <c r="E65" s="3">
        <v>1157316</v>
      </c>
      <c r="F65" s="3">
        <v>-20.190222282295</v>
      </c>
      <c r="G65" s="3">
        <v>-7.3037209864013484</v>
      </c>
      <c r="H65" s="3">
        <v>-4.891463662175239</v>
      </c>
    </row>
    <row r="66" spans="1:8" x14ac:dyDescent="0.3">
      <c r="A66" s="2">
        <v>2023</v>
      </c>
      <c r="B66" s="3">
        <v>5</v>
      </c>
      <c r="C66" s="3">
        <v>15087</v>
      </c>
      <c r="D66" s="3">
        <v>-16.438659651066189</v>
      </c>
      <c r="E66" s="3">
        <v>1412061</v>
      </c>
      <c r="F66" s="3">
        <v>-13.929946147586703</v>
      </c>
      <c r="G66" s="3">
        <v>-7.5847713788771252</v>
      </c>
      <c r="H66" s="3">
        <v>-5.0972011518533771</v>
      </c>
    </row>
    <row r="67" spans="1:8" x14ac:dyDescent="0.3">
      <c r="A67" s="2">
        <v>2023</v>
      </c>
      <c r="B67" s="3">
        <v>6</v>
      </c>
      <c r="C67" s="3">
        <v>17402</v>
      </c>
      <c r="D67" s="3">
        <v>-15.769603097773476</v>
      </c>
      <c r="E67" s="3">
        <v>1431383</v>
      </c>
      <c r="F67" s="3">
        <v>-19.084640483711588</v>
      </c>
      <c r="G67" s="3">
        <v>-7.7952490673170782</v>
      </c>
      <c r="H67" s="3">
        <v>-5.2483799871404884</v>
      </c>
    </row>
    <row r="68" spans="1:8" x14ac:dyDescent="0.3">
      <c r="A68" s="2">
        <v>2023</v>
      </c>
      <c r="B68" s="3">
        <v>7</v>
      </c>
      <c r="C68" s="3">
        <v>18660</v>
      </c>
      <c r="D68" s="3">
        <v>-16.307857911733048</v>
      </c>
      <c r="E68" s="3">
        <v>1431383</v>
      </c>
      <c r="F68" s="3">
        <v>-13.538506144613605</v>
      </c>
      <c r="G68" s="3">
        <v>-7.9359930048259173</v>
      </c>
      <c r="H68" s="3">
        <v>-5.3456248331618665</v>
      </c>
    </row>
    <row r="69" spans="1:8" x14ac:dyDescent="0.3">
      <c r="A69" s="2">
        <v>2023</v>
      </c>
      <c r="B69" s="3">
        <v>8</v>
      </c>
      <c r="C69" s="3">
        <v>14138</v>
      </c>
      <c r="D69" s="3">
        <v>-20.254949517739295</v>
      </c>
      <c r="E69" s="3">
        <v>1088831</v>
      </c>
      <c r="F69" s="3">
        <v>-15.186272531899657</v>
      </c>
      <c r="G69" s="3">
        <v>-8.0083959190938021</v>
      </c>
      <c r="H69" s="3">
        <v>-5.3905212064661789</v>
      </c>
    </row>
    <row r="70" spans="1:8" x14ac:dyDescent="0.3">
      <c r="A70" s="2">
        <v>2023</v>
      </c>
      <c r="B70" s="3">
        <v>9</v>
      </c>
      <c r="C70" s="3">
        <v>14650</v>
      </c>
      <c r="D70" s="3">
        <v>-14.97881724798329</v>
      </c>
      <c r="E70" s="3">
        <v>1392205</v>
      </c>
      <c r="F70" s="3">
        <v>-16.172223854642841</v>
      </c>
      <c r="G70" s="3">
        <v>-8.0144319173183156</v>
      </c>
      <c r="H70" s="3">
        <v>-5.3852235736931657</v>
      </c>
    </row>
    <row r="71" spans="1:8" x14ac:dyDescent="0.3">
      <c r="A71" s="2">
        <v>2023</v>
      </c>
      <c r="B71" s="3">
        <v>10</v>
      </c>
      <c r="C71" s="3">
        <v>14098</v>
      </c>
      <c r="D71" s="3">
        <v>-13.023628848170766</v>
      </c>
      <c r="E71" s="3">
        <v>1396514</v>
      </c>
      <c r="F71" s="3">
        <v>-8.3735800999777616</v>
      </c>
      <c r="G71" s="3">
        <v>-7.956925561808057</v>
      </c>
      <c r="H71" s="3">
        <v>-5.3325666619912768</v>
      </c>
    </row>
    <row r="72" spans="1:8" x14ac:dyDescent="0.3">
      <c r="A72" s="2">
        <v>2023</v>
      </c>
      <c r="B72" s="3">
        <v>11</v>
      </c>
      <c r="C72" s="3">
        <v>12016</v>
      </c>
      <c r="D72" s="3">
        <v>-13.166642578407284</v>
      </c>
      <c r="E72" s="3">
        <v>1356293</v>
      </c>
      <c r="F72" s="3">
        <v>-4.7736299597762493</v>
      </c>
      <c r="G72" s="3">
        <v>-7.8391850527418097</v>
      </c>
      <c r="H72" s="3">
        <v>-5.2361342957506949</v>
      </c>
    </row>
    <row r="73" spans="1:8" x14ac:dyDescent="0.3">
      <c r="A73" s="2">
        <v>2023</v>
      </c>
      <c r="B73" s="3">
        <v>12</v>
      </c>
      <c r="C73" s="3">
        <v>11282</v>
      </c>
      <c r="D73" s="3">
        <v>-14.762768207917798</v>
      </c>
      <c r="E73" s="3">
        <v>1116153</v>
      </c>
      <c r="F73" s="3">
        <v>-6.1990878355381085</v>
      </c>
      <c r="G73" s="3">
        <v>-7.6648704446932445</v>
      </c>
      <c r="H73" s="3">
        <v>-5.0997214808503522</v>
      </c>
    </row>
    <row r="74" spans="1:8" x14ac:dyDescent="0.3">
      <c r="A74" s="2">
        <v>2024</v>
      </c>
      <c r="B74" s="3">
        <v>1</v>
      </c>
      <c r="C74" s="3">
        <v>11985</v>
      </c>
      <c r="D74" s="3">
        <v>-4.1736627488606404</v>
      </c>
      <c r="E74" s="3">
        <v>1185600</v>
      </c>
      <c r="F74" s="3">
        <v>-1.2616291997744722</v>
      </c>
      <c r="G74" s="3">
        <v>-7.4380117545642035</v>
      </c>
      <c r="H74" s="3">
        <v>-4.9270911048125141</v>
      </c>
    </row>
    <row r="75" spans="1:8" x14ac:dyDescent="0.3">
      <c r="A75" s="2">
        <v>2024</v>
      </c>
      <c r="B75" s="3">
        <v>2</v>
      </c>
      <c r="C75" s="3">
        <v>10728</v>
      </c>
      <c r="D75" s="3">
        <v>0.52473763118441319</v>
      </c>
      <c r="E75" s="3">
        <v>1137407</v>
      </c>
      <c r="F75" s="3">
        <v>4.8492720330530314</v>
      </c>
      <c r="G75" s="3">
        <v>-7.1631319088234173</v>
      </c>
      <c r="H75" s="3">
        <v>-4.7220824000451893</v>
      </c>
    </row>
    <row r="76" spans="1:8" x14ac:dyDescent="0.3">
      <c r="A76" s="2">
        <v>2024</v>
      </c>
      <c r="B76" s="3">
        <v>3</v>
      </c>
      <c r="C76" s="3">
        <v>11841</v>
      </c>
      <c r="D76" s="3">
        <v>-20.171239803141638</v>
      </c>
      <c r="E76" s="3">
        <v>1123488</v>
      </c>
      <c r="F76" s="3">
        <v>-14.569821952026274</v>
      </c>
      <c r="G76" s="3">
        <v>-6.8445271430364452</v>
      </c>
      <c r="H76" s="3">
        <v>-4.4882800529907589</v>
      </c>
    </row>
    <row r="77" spans="1:8" x14ac:dyDescent="0.3">
      <c r="A77" s="2">
        <v>2024</v>
      </c>
      <c r="B77" s="3">
        <v>4</v>
      </c>
      <c r="C77" s="3">
        <v>13810</v>
      </c>
      <c r="D77" s="3">
        <v>-9.0190394624151793</v>
      </c>
      <c r="E77" s="3">
        <v>1267440</v>
      </c>
      <c r="F77" s="3">
        <v>9.5154650933712226</v>
      </c>
      <c r="G77" s="3">
        <v>-6.4859598129396785</v>
      </c>
      <c r="H77" s="3">
        <v>-4.228604072700417</v>
      </c>
    </row>
    <row r="78" spans="1:8" x14ac:dyDescent="0.3">
      <c r="A78" s="2">
        <v>2024</v>
      </c>
      <c r="B78" s="3">
        <v>5</v>
      </c>
      <c r="C78" s="3">
        <v>15115</v>
      </c>
      <c r="D78" s="3">
        <v>0.18559024325577322</v>
      </c>
      <c r="E78" s="3">
        <v>1339653</v>
      </c>
      <c r="F78" s="3">
        <v>-5.127823797980402</v>
      </c>
      <c r="G78" s="3">
        <v>-6.0921177404264606</v>
      </c>
      <c r="H78" s="3">
        <v>-3.9466745753016799</v>
      </c>
    </row>
    <row r="79" spans="1:8" x14ac:dyDescent="0.3">
      <c r="A79" s="2">
        <v>2024</v>
      </c>
      <c r="B79" s="3">
        <v>6</v>
      </c>
      <c r="C79" s="3">
        <v>16798</v>
      </c>
      <c r="D79" s="3">
        <v>-3.4708654177680764</v>
      </c>
      <c r="E79" s="3">
        <v>1379963</v>
      </c>
      <c r="F79" s="3">
        <v>-3.5923299354540306</v>
      </c>
      <c r="G79" s="3">
        <v>-5.6678646556991277</v>
      </c>
      <c r="H79" s="3">
        <v>-3.6451572276744204</v>
      </c>
    </row>
    <row r="80" spans="1:8" x14ac:dyDescent="0.3">
      <c r="A80" s="2">
        <v>2024</v>
      </c>
      <c r="B80" s="3">
        <v>7</v>
      </c>
      <c r="C80" s="3">
        <v>20617</v>
      </c>
      <c r="D80" s="3">
        <v>10.487674169346196</v>
      </c>
      <c r="E80" s="3">
        <v>1521516</v>
      </c>
      <c r="F80" s="3">
        <v>6.2969170375783312</v>
      </c>
      <c r="G80" s="3">
        <v>-5.2176283370167029</v>
      </c>
      <c r="H80" s="3">
        <v>-3.3267997209500861</v>
      </c>
    </row>
    <row r="81" spans="1:8" x14ac:dyDescent="0.3">
      <c r="A81" s="2">
        <v>2024</v>
      </c>
      <c r="B81" s="3">
        <v>8</v>
      </c>
      <c r="C81" s="3">
        <v>13533</v>
      </c>
      <c r="D81" s="3">
        <v>-4.2792474183052764</v>
      </c>
      <c r="E81" s="3">
        <v>1040159</v>
      </c>
      <c r="F81" s="3">
        <v>-4.4701151969405721</v>
      </c>
      <c r="G81" s="3">
        <v>-4.7456839932466854</v>
      </c>
      <c r="H81" s="3">
        <v>-2.9943460776981636</v>
      </c>
    </row>
    <row r="82" spans="1:8" x14ac:dyDescent="0.3">
      <c r="A82" s="2">
        <v>2024</v>
      </c>
      <c r="B82" s="3">
        <v>9</v>
      </c>
      <c r="C82" s="3">
        <v>14385</v>
      </c>
      <c r="D82" s="3">
        <v>-1.8088737201365168</v>
      </c>
      <c r="E82" s="3">
        <v>1413683</v>
      </c>
      <c r="F82" s="3">
        <v>1.5427325717117801</v>
      </c>
      <c r="G82" s="3">
        <v>-4.2552161872491885</v>
      </c>
      <c r="H82" s="3">
        <v>-2.6498720068243533</v>
      </c>
    </row>
    <row r="83" spans="1:8" x14ac:dyDescent="0.3">
      <c r="A83" s="2">
        <v>2024</v>
      </c>
      <c r="B83" s="3">
        <v>10</v>
      </c>
      <c r="C83" s="3">
        <v>15009</v>
      </c>
      <c r="D83" s="3">
        <v>6.4619094907079067</v>
      </c>
      <c r="E83" s="3">
        <v>1527007</v>
      </c>
      <c r="F83" s="3">
        <v>9.3441956185186914</v>
      </c>
      <c r="G83" s="3">
        <v>-3.749377090455511</v>
      </c>
      <c r="H83" s="3">
        <v>-2.2955557012009695</v>
      </c>
    </row>
    <row r="84" spans="1:8" x14ac:dyDescent="0.3">
      <c r="A84" s="2">
        <v>2024</v>
      </c>
      <c r="B84" s="3">
        <v>11</v>
      </c>
      <c r="C84" s="3">
        <v>12413</v>
      </c>
      <c r="D84" s="3">
        <v>3.3039280958721662</v>
      </c>
      <c r="E84" s="3">
        <v>1301482</v>
      </c>
      <c r="F84" s="3">
        <v>-4.0412359276351006</v>
      </c>
      <c r="G84" s="3">
        <v>-3.2311489894034007</v>
      </c>
      <c r="H84" s="3">
        <v>-1.9332842006045949</v>
      </c>
    </row>
    <row r="85" spans="1:8" x14ac:dyDescent="0.3">
      <c r="A85" s="2">
        <v>2024</v>
      </c>
      <c r="B85" s="3">
        <v>12</v>
      </c>
      <c r="C85" s="3">
        <v>12242</v>
      </c>
      <c r="D85" s="3">
        <v>8.5091295869526675</v>
      </c>
      <c r="E85" s="3">
        <v>1182706</v>
      </c>
      <c r="F85" s="3">
        <v>5.9627129972324555</v>
      </c>
      <c r="G85" s="3">
        <v>-2.7028050535069141</v>
      </c>
      <c r="H85" s="3">
        <v>-1.5641362287479426</v>
      </c>
    </row>
    <row r="86" spans="1:8" x14ac:dyDescent="0.3">
      <c r="A86" s="2">
        <v>2025</v>
      </c>
      <c r="B86" s="3">
        <v>1</v>
      </c>
      <c r="C86" s="3">
        <v>11719</v>
      </c>
      <c r="D86" s="3">
        <v>-2.219440967876507</v>
      </c>
      <c r="E86" s="3">
        <v>1213905</v>
      </c>
      <c r="F86" s="3">
        <v>2.38739878542511</v>
      </c>
      <c r="G86" s="3">
        <v>-2.1661646273825195</v>
      </c>
      <c r="H86" s="3">
        <v>-1.1893368948803247</v>
      </c>
    </row>
    <row r="87" spans="1:8" x14ac:dyDescent="0.3">
      <c r="A87" s="2">
        <v>2025</v>
      </c>
      <c r="B87" s="3">
        <v>2</v>
      </c>
      <c r="C87" s="3">
        <v>10068</v>
      </c>
      <c r="D87" s="3">
        <v>-6.1521252796420622</v>
      </c>
      <c r="E87" s="3">
        <v>1098491</v>
      </c>
      <c r="F87" s="3">
        <v>-3.4214665462758753</v>
      </c>
      <c r="G87" s="3">
        <v>-1.6222684490744301</v>
      </c>
      <c r="H87" s="3">
        <v>-0.80958861038813834</v>
      </c>
    </row>
    <row r="88" spans="1:8" x14ac:dyDescent="0.3">
      <c r="A88" s="2">
        <v>2025</v>
      </c>
      <c r="B88" s="3">
        <v>3</v>
      </c>
      <c r="C88" s="3">
        <v>12524</v>
      </c>
      <c r="D88" s="3">
        <v>5.7680939109872487</v>
      </c>
      <c r="E88" s="3">
        <v>1166601</v>
      </c>
      <c r="F88" s="3">
        <v>3.8374241647440854</v>
      </c>
      <c r="G88" s="3">
        <v>-1.072160956372727</v>
      </c>
      <c r="H88" s="3">
        <v>-0.42534540223553702</v>
      </c>
    </row>
    <row r="89" spans="1:8" x14ac:dyDescent="0.3">
      <c r="A89" s="2">
        <v>2025</v>
      </c>
      <c r="B89" s="3">
        <v>4</v>
      </c>
      <c r="C89" s="3">
        <v>13551</v>
      </c>
      <c r="D89" s="3">
        <v>-1.8754525706010106</v>
      </c>
      <c r="E89" s="3">
        <v>1140733</v>
      </c>
      <c r="F89" s="3">
        <v>-9.9970807296597908</v>
      </c>
      <c r="G89" s="3">
        <v>-0.51720116045850284</v>
      </c>
      <c r="H89" s="3">
        <v>-3.7242677798888714E-2</v>
      </c>
    </row>
    <row r="90" spans="1:8" x14ac:dyDescent="0.3">
      <c r="A90" s="2">
        <v>2025</v>
      </c>
      <c r="B90" s="3">
        <v>5</v>
      </c>
      <c r="C90" s="3">
        <v>14876</v>
      </c>
      <c r="D90" s="3">
        <v>-1.5812107178299728</v>
      </c>
      <c r="E90" s="3">
        <v>1328983</v>
      </c>
      <c r="F90" s="3">
        <v>-0.79647490805454524</v>
      </c>
      <c r="G90" s="3">
        <v>4.1726945186272082E-2</v>
      </c>
      <c r="H90" s="3">
        <v>0.35438018120981224</v>
      </c>
    </row>
    <row r="91" spans="1:8" x14ac:dyDescent="0.3">
      <c r="A91" s="2">
        <v>2025</v>
      </c>
      <c r="B91" s="3">
        <v>6</v>
      </c>
      <c r="C91" s="3">
        <v>17862</v>
      </c>
      <c r="D91" s="3">
        <v>6.3340873913561246</v>
      </c>
      <c r="E91" s="3">
        <v>1496673</v>
      </c>
      <c r="F91" s="3">
        <v>8.4574731351492858</v>
      </c>
      <c r="G91" s="3">
        <v>0.60364504406503405</v>
      </c>
      <c r="H91" s="3">
        <v>0.74849213765830336</v>
      </c>
    </row>
    <row r="92" spans="1:8" x14ac:dyDescent="0.3">
      <c r="A92" s="2">
        <v>2025</v>
      </c>
      <c r="B92" s="3">
        <v>7</v>
      </c>
      <c r="C92" s="3">
        <v>21070</v>
      </c>
      <c r="D92" s="3">
        <v>2.1972158897996863</v>
      </c>
      <c r="E92" s="3">
        <v>1588983</v>
      </c>
      <c r="F92" s="3">
        <v>4.4341958940951054</v>
      </c>
      <c r="G92" s="3">
        <v>1.1674621156768432</v>
      </c>
      <c r="H92" s="3">
        <v>1.143982233922012</v>
      </c>
    </row>
    <row r="93" spans="1:8" x14ac:dyDescent="0.3">
      <c r="A93" s="2">
        <v>2025</v>
      </c>
      <c r="B93" s="3">
        <v>8</v>
      </c>
      <c r="C93" s="3">
        <v>13840</v>
      </c>
      <c r="D93" s="3">
        <v>2.2685287814970811</v>
      </c>
      <c r="E93" s="3">
        <v>1039962</v>
      </c>
      <c r="F93" s="3">
        <v>-1.8939412147567225E-2</v>
      </c>
      <c r="G93" s="3">
        <v>1.7324850869059885</v>
      </c>
      <c r="H93" s="3">
        <v>1.5402748582789694</v>
      </c>
    </row>
    <row r="94" spans="1:8" x14ac:dyDescent="0.3">
      <c r="A94" s="2">
        <v>2025</v>
      </c>
      <c r="B94" s="3">
        <v>9</v>
      </c>
      <c r="C94" s="3">
        <v>15926</v>
      </c>
      <c r="D94" s="3">
        <v>10.712547792839766</v>
      </c>
      <c r="E94" s="3">
        <v>1533773</v>
      </c>
      <c r="F94" s="3">
        <v>8.4948322926709849</v>
      </c>
      <c r="G94" s="3">
        <v>2.2980923953155172</v>
      </c>
      <c r="H94" s="3">
        <v>1.937022886066941</v>
      </c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59999389629810485"/>
  </sheetPr>
  <dimension ref="A1:H97"/>
  <sheetViews>
    <sheetView topLeftCell="A43" workbookViewId="0">
      <selection activeCell="A2" sqref="A2:H94"/>
    </sheetView>
  </sheetViews>
  <sheetFormatPr baseColWidth="10" defaultColWidth="11.42578125" defaultRowHeight="13.5" x14ac:dyDescent="0.3"/>
  <cols>
    <col min="1" max="1" width="4.42578125" style="2" bestFit="1" customWidth="1"/>
    <col min="2" max="2" width="5.140625" style="2" bestFit="1" customWidth="1"/>
    <col min="3" max="3" width="13.42578125" style="2" bestFit="1" customWidth="1"/>
    <col min="4" max="4" width="20.5703125" style="2" bestFit="1" customWidth="1"/>
    <col min="5" max="5" width="18" style="2" bestFit="1" customWidth="1"/>
    <col min="6" max="6" width="11.140625" style="2" bestFit="1" customWidth="1"/>
    <col min="7" max="7" width="18.28515625" style="2" bestFit="1" customWidth="1"/>
    <col min="8" max="8" width="15.570312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32</v>
      </c>
      <c r="D1" s="2" t="s">
        <v>33</v>
      </c>
      <c r="E1" s="2" t="s">
        <v>34</v>
      </c>
      <c r="F1" s="2" t="s">
        <v>35</v>
      </c>
      <c r="G1" s="2" t="s">
        <v>36</v>
      </c>
      <c r="H1" s="2" t="s">
        <v>37</v>
      </c>
    </row>
    <row r="2" spans="1:8" x14ac:dyDescent="0.3">
      <c r="A2" s="2">
        <v>2018</v>
      </c>
      <c r="B2" s="4">
        <v>1</v>
      </c>
      <c r="C2" s="4">
        <v>41062</v>
      </c>
      <c r="D2" s="4">
        <v>-10.258763877961364</v>
      </c>
      <c r="E2" s="4">
        <v>3476528</v>
      </c>
      <c r="F2" s="4">
        <v>-7.5448290277911116</v>
      </c>
      <c r="G2" s="4">
        <v>-7.1020382593496976</v>
      </c>
      <c r="H2" s="4">
        <v>-6.680221655104809</v>
      </c>
    </row>
    <row r="3" spans="1:8" x14ac:dyDescent="0.3">
      <c r="A3" s="2">
        <v>2018</v>
      </c>
      <c r="B3" s="4">
        <v>2</v>
      </c>
      <c r="C3" s="4">
        <v>41961</v>
      </c>
      <c r="D3" s="4">
        <v>-8.0387472879090094</v>
      </c>
      <c r="E3" s="4">
        <v>3470248</v>
      </c>
      <c r="F3" s="4">
        <v>-7.4816656162453814</v>
      </c>
      <c r="G3" s="4">
        <v>-6.8384997569930821</v>
      </c>
      <c r="H3" s="4">
        <v>-6.3575427678579812</v>
      </c>
    </row>
    <row r="4" spans="1:8" x14ac:dyDescent="0.3">
      <c r="A4" s="2">
        <v>2018</v>
      </c>
      <c r="B4" s="4">
        <v>3</v>
      </c>
      <c r="C4" s="4">
        <v>40229</v>
      </c>
      <c r="D4" s="4">
        <v>-9.4186255966855814</v>
      </c>
      <c r="E4" s="4">
        <v>3422551</v>
      </c>
      <c r="F4" s="4">
        <v>-7.5565112333708884</v>
      </c>
      <c r="G4" s="4">
        <v>-6.5516589716204576</v>
      </c>
      <c r="H4" s="4">
        <v>-6.0172424291526543</v>
      </c>
    </row>
    <row r="5" spans="1:8" x14ac:dyDescent="0.3">
      <c r="A5" s="2">
        <v>2018</v>
      </c>
      <c r="B5" s="4">
        <v>4</v>
      </c>
      <c r="C5" s="4">
        <v>38305</v>
      </c>
      <c r="D5" s="4">
        <v>-10.254908392296514</v>
      </c>
      <c r="E5" s="4">
        <v>3335868</v>
      </c>
      <c r="F5" s="4">
        <v>-6.6377164965592321</v>
      </c>
      <c r="G5" s="4">
        <v>-6.241857496313064</v>
      </c>
      <c r="H5" s="4">
        <v>-5.6599427394122852</v>
      </c>
    </row>
    <row r="6" spans="1:8" x14ac:dyDescent="0.3">
      <c r="A6" s="2">
        <v>2018</v>
      </c>
      <c r="B6" s="4">
        <v>5</v>
      </c>
      <c r="C6" s="4">
        <v>37141</v>
      </c>
      <c r="D6" s="4">
        <v>-10.115921686309626</v>
      </c>
      <c r="E6" s="4">
        <v>3252130</v>
      </c>
      <c r="F6" s="4">
        <v>-6.0384360243250228</v>
      </c>
      <c r="G6" s="4">
        <v>-5.9096360190566601</v>
      </c>
      <c r="H6" s="4">
        <v>-5.2863726927272907</v>
      </c>
    </row>
    <row r="7" spans="1:8" x14ac:dyDescent="0.3">
      <c r="A7" s="2">
        <v>2018</v>
      </c>
      <c r="B7" s="4">
        <v>6</v>
      </c>
      <c r="C7" s="4">
        <v>34620</v>
      </c>
      <c r="D7" s="4">
        <v>-10.752494135237555</v>
      </c>
      <c r="E7" s="4">
        <v>3162162</v>
      </c>
      <c r="F7" s="4">
        <v>-5.9667046408495743</v>
      </c>
      <c r="G7" s="4">
        <v>-5.5558139119270056</v>
      </c>
      <c r="H7" s="4">
        <v>-4.8973291841434463</v>
      </c>
    </row>
    <row r="8" spans="1:8" x14ac:dyDescent="0.3">
      <c r="A8" s="2">
        <v>2018</v>
      </c>
      <c r="B8" s="4">
        <v>7</v>
      </c>
      <c r="C8" s="4">
        <v>32589</v>
      </c>
      <c r="D8" s="4">
        <v>-10.146406021671394</v>
      </c>
      <c r="E8" s="4">
        <v>3135021</v>
      </c>
      <c r="F8" s="4">
        <v>-6.0224093834271963</v>
      </c>
      <c r="G8" s="4">
        <v>-5.1815026501711969</v>
      </c>
      <c r="H8" s="4">
        <v>-4.4936613353267774</v>
      </c>
    </row>
    <row r="9" spans="1:8" x14ac:dyDescent="0.3">
      <c r="A9" s="2">
        <v>2018</v>
      </c>
      <c r="B9" s="4">
        <v>8</v>
      </c>
      <c r="C9" s="4">
        <v>32830</v>
      </c>
      <c r="D9" s="4">
        <v>-7.3593317907331146</v>
      </c>
      <c r="E9" s="4">
        <v>3182068</v>
      </c>
      <c r="F9" s="4">
        <v>-5.9206628341932905</v>
      </c>
      <c r="G9" s="4">
        <v>-4.7881745896073937</v>
      </c>
      <c r="H9" s="4">
        <v>-4.0762925301278035</v>
      </c>
    </row>
    <row r="10" spans="1:8" x14ac:dyDescent="0.3">
      <c r="A10" s="2">
        <v>2018</v>
      </c>
      <c r="B10" s="4">
        <v>9</v>
      </c>
      <c r="C10" s="4">
        <v>34432</v>
      </c>
      <c r="D10" s="4">
        <v>-7.3137904115857744</v>
      </c>
      <c r="E10" s="4">
        <v>3202509</v>
      </c>
      <c r="F10" s="4">
        <v>-6.0897922750164035</v>
      </c>
      <c r="G10" s="4">
        <v>-4.3776468710101097</v>
      </c>
      <c r="H10" s="4">
        <v>-3.6462523154559388</v>
      </c>
    </row>
    <row r="11" spans="1:8" x14ac:dyDescent="0.3">
      <c r="A11" s="2">
        <v>2018</v>
      </c>
      <c r="B11" s="4">
        <v>10</v>
      </c>
      <c r="C11" s="4">
        <v>35882</v>
      </c>
      <c r="D11" s="4">
        <v>-6.9691470054446425</v>
      </c>
      <c r="E11" s="4">
        <v>3254703</v>
      </c>
      <c r="F11" s="4">
        <v>-6.1240671399637625</v>
      </c>
      <c r="G11" s="4">
        <v>-3.9519151877372702</v>
      </c>
      <c r="H11" s="4">
        <v>-3.2046983194917127</v>
      </c>
    </row>
    <row r="12" spans="1:8" x14ac:dyDescent="0.3">
      <c r="A12" s="2">
        <v>2018</v>
      </c>
      <c r="B12" s="4">
        <v>11</v>
      </c>
      <c r="C12" s="4">
        <v>36835</v>
      </c>
      <c r="D12" s="4">
        <v>-6.4792951989235075</v>
      </c>
      <c r="E12" s="4">
        <v>3252867</v>
      </c>
      <c r="F12" s="4">
        <v>-6.3729445027618681</v>
      </c>
      <c r="G12" s="4">
        <v>-3.5131791320037848</v>
      </c>
      <c r="H12" s="4">
        <v>-2.7529578606906253</v>
      </c>
    </row>
    <row r="13" spans="1:8" x14ac:dyDescent="0.3">
      <c r="A13" s="2">
        <v>2018</v>
      </c>
      <c r="B13" s="4">
        <v>12</v>
      </c>
      <c r="C13" s="4">
        <v>37553</v>
      </c>
      <c r="D13" s="4">
        <v>-2.4749389705500446</v>
      </c>
      <c r="E13" s="4">
        <v>3202297</v>
      </c>
      <c r="F13" s="4">
        <v>-6.1675214436554775</v>
      </c>
      <c r="G13" s="4">
        <v>-3.0638478260119038</v>
      </c>
      <c r="H13" s="4">
        <v>-2.2925609914540424</v>
      </c>
    </row>
    <row r="14" spans="1:8" x14ac:dyDescent="0.3">
      <c r="A14" s="2">
        <v>2019</v>
      </c>
      <c r="B14" s="4">
        <v>1</v>
      </c>
      <c r="C14" s="4">
        <v>39556</v>
      </c>
      <c r="D14" s="4">
        <v>-3.6676245677268571</v>
      </c>
      <c r="E14" s="4">
        <v>3285761</v>
      </c>
      <c r="F14" s="4">
        <v>-5.4872850153946722</v>
      </c>
      <c r="G14" s="4">
        <v>-2.6065363722463015</v>
      </c>
      <c r="H14" s="4">
        <v>-1.825289152144584</v>
      </c>
    </row>
    <row r="15" spans="1:8" x14ac:dyDescent="0.3">
      <c r="A15" s="2">
        <v>2019</v>
      </c>
      <c r="B15" s="4">
        <v>2</v>
      </c>
      <c r="C15" s="4">
        <v>39765</v>
      </c>
      <c r="D15" s="4">
        <v>-5.2334310431114588</v>
      </c>
      <c r="E15" s="4">
        <v>3289040</v>
      </c>
      <c r="F15" s="4">
        <v>-5.2217593670538793</v>
      </c>
      <c r="G15" s="4">
        <v>-2.1438189767433569</v>
      </c>
      <c r="H15" s="4">
        <v>-1.3531928776007176</v>
      </c>
    </row>
    <row r="16" spans="1:8" x14ac:dyDescent="0.3">
      <c r="A16" s="2">
        <v>2019</v>
      </c>
      <c r="B16" s="4">
        <v>3</v>
      </c>
      <c r="C16" s="4">
        <v>38704</v>
      </c>
      <c r="D16" s="4">
        <v>-3.7907976832633139</v>
      </c>
      <c r="E16" s="4">
        <v>3255084</v>
      </c>
      <c r="F16" s="4">
        <v>-4.8930461518323582</v>
      </c>
      <c r="G16" s="4">
        <v>-1.6783435322196896</v>
      </c>
      <c r="H16" s="4">
        <v>-0.87857700792919136</v>
      </c>
    </row>
    <row r="17" spans="1:8" x14ac:dyDescent="0.3">
      <c r="A17" s="2">
        <v>2019</v>
      </c>
      <c r="B17" s="4">
        <v>4</v>
      </c>
      <c r="C17" s="4">
        <v>36658</v>
      </c>
      <c r="D17" s="4">
        <v>-4.2996997780968549</v>
      </c>
      <c r="E17" s="4">
        <v>3163566</v>
      </c>
      <c r="F17" s="4">
        <v>-5.1651324332977255</v>
      </c>
      <c r="G17" s="4">
        <v>-1.2129724877854171</v>
      </c>
      <c r="H17" s="4">
        <v>-0.40401503368740993</v>
      </c>
    </row>
    <row r="18" spans="1:8" x14ac:dyDescent="0.3">
      <c r="A18" s="2">
        <v>2019</v>
      </c>
      <c r="B18" s="4">
        <v>5</v>
      </c>
      <c r="C18" s="4">
        <v>35311</v>
      </c>
      <c r="D18" s="4">
        <v>-4.9271694353948519</v>
      </c>
      <c r="E18" s="4">
        <v>3079491</v>
      </c>
      <c r="F18" s="4">
        <v>-5.3084901280084136</v>
      </c>
      <c r="G18" s="4">
        <v>-0.75071499075559034</v>
      </c>
      <c r="H18" s="4">
        <v>6.7640771987784162E-2</v>
      </c>
    </row>
    <row r="19" spans="1:8" x14ac:dyDescent="0.3">
      <c r="A19" s="2">
        <v>2019</v>
      </c>
      <c r="B19" s="4">
        <v>6</v>
      </c>
      <c r="C19" s="4">
        <v>33328</v>
      </c>
      <c r="D19" s="4">
        <v>-3.7319468515309095</v>
      </c>
      <c r="E19" s="4">
        <v>3015686</v>
      </c>
      <c r="F19" s="4">
        <v>-4.6321472460930213</v>
      </c>
      <c r="G19" s="4">
        <v>-0.29479454450708725</v>
      </c>
      <c r="H19" s="4">
        <v>0.53320750280679785</v>
      </c>
    </row>
    <row r="20" spans="1:8" x14ac:dyDescent="0.3">
      <c r="A20" s="2">
        <v>2019</v>
      </c>
      <c r="B20" s="4">
        <v>7</v>
      </c>
      <c r="C20" s="4">
        <v>31665</v>
      </c>
      <c r="D20" s="4">
        <v>-2.8353125287673753</v>
      </c>
      <c r="E20" s="4">
        <v>3011433</v>
      </c>
      <c r="F20" s="4">
        <v>-3.9421745500269334</v>
      </c>
      <c r="G20" s="4">
        <v>0.15127531602455874</v>
      </c>
      <c r="H20" s="4">
        <v>0.98912891005642722</v>
      </c>
    </row>
    <row r="21" spans="1:8" x14ac:dyDescent="0.3">
      <c r="A21" s="2">
        <v>2019</v>
      </c>
      <c r="B21" s="4">
        <v>8</v>
      </c>
      <c r="C21" s="4">
        <v>31948</v>
      </c>
      <c r="D21" s="4">
        <v>-2.68656716417911</v>
      </c>
      <c r="E21" s="4">
        <v>3065804</v>
      </c>
      <c r="F21" s="4">
        <v>-3.6537245589974843</v>
      </c>
      <c r="G21" s="4">
        <v>0.58374236477138208</v>
      </c>
      <c r="H21" s="4">
        <v>1.4314900398325725</v>
      </c>
    </row>
    <row r="22" spans="1:8" x14ac:dyDescent="0.3">
      <c r="A22" s="2">
        <v>2019</v>
      </c>
      <c r="B22" s="4">
        <v>9</v>
      </c>
      <c r="C22" s="4">
        <v>34111</v>
      </c>
      <c r="D22" s="4">
        <v>-0.93227230483271528</v>
      </c>
      <c r="E22" s="4">
        <v>3079711</v>
      </c>
      <c r="F22" s="4">
        <v>-3.8344310663920078</v>
      </c>
      <c r="G22" s="4">
        <v>0.99864697373175115</v>
      </c>
      <c r="H22" s="4">
        <v>1.8560334866019612</v>
      </c>
    </row>
    <row r="23" spans="1:8" x14ac:dyDescent="0.3">
      <c r="A23" s="2">
        <v>2019</v>
      </c>
      <c r="B23" s="4">
        <v>10</v>
      </c>
      <c r="C23" s="4">
        <v>35877</v>
      </c>
      <c r="D23" s="4">
        <v>-1.3934563290785018E-2</v>
      </c>
      <c r="E23" s="4">
        <v>3177659</v>
      </c>
      <c r="F23" s="4">
        <v>-2.3671591539996095</v>
      </c>
      <c r="G23" s="4">
        <v>1.391802410075635</v>
      </c>
      <c r="H23" s="4">
        <v>2.2581487049286246</v>
      </c>
    </row>
    <row r="24" spans="1:8" x14ac:dyDescent="0.3">
      <c r="A24" s="2">
        <v>2019</v>
      </c>
      <c r="B24" s="4">
        <v>11</v>
      </c>
      <c r="C24" s="4">
        <v>36699</v>
      </c>
      <c r="D24" s="4">
        <v>-0.36921406271209767</v>
      </c>
      <c r="E24" s="4">
        <v>3198184</v>
      </c>
      <c r="F24" s="4">
        <v>-1.6810708830087395</v>
      </c>
      <c r="G24" s="4">
        <v>1.7588878493564357</v>
      </c>
      <c r="H24" s="4">
        <v>2.6328299782270808</v>
      </c>
    </row>
    <row r="25" spans="1:8" x14ac:dyDescent="0.3">
      <c r="A25" s="2">
        <v>2019</v>
      </c>
      <c r="B25" s="4">
        <v>12</v>
      </c>
      <c r="C25" s="4">
        <v>36729</v>
      </c>
      <c r="D25" s="4">
        <v>-2.1942321518919949</v>
      </c>
      <c r="E25" s="4">
        <v>3163605</v>
      </c>
      <c r="F25" s="4">
        <v>-1.2082576975214976</v>
      </c>
      <c r="G25" s="4">
        <v>2.0954848465044051</v>
      </c>
      <c r="H25" s="4">
        <v>2.9747503879771999</v>
      </c>
    </row>
    <row r="26" spans="1:8" x14ac:dyDescent="0.3">
      <c r="A26" s="2">
        <v>2020</v>
      </c>
      <c r="B26" s="4">
        <v>1</v>
      </c>
      <c r="C26" s="4">
        <v>38850</v>
      </c>
      <c r="D26" s="4">
        <v>-1.7848114066134069</v>
      </c>
      <c r="E26" s="4">
        <v>3253853</v>
      </c>
      <c r="F26" s="4">
        <v>-0.97109923698041056</v>
      </c>
      <c r="G26" s="4">
        <v>2.39702717159479</v>
      </c>
      <c r="H26" s="4">
        <v>3.278283439210155</v>
      </c>
    </row>
    <row r="27" spans="1:8" x14ac:dyDescent="0.3">
      <c r="A27" s="2">
        <v>2020</v>
      </c>
      <c r="B27" s="4">
        <v>2</v>
      </c>
      <c r="C27" s="4">
        <v>38873</v>
      </c>
      <c r="D27" s="4">
        <v>-2.2431786747139415</v>
      </c>
      <c r="E27" s="4">
        <v>3246047</v>
      </c>
      <c r="F27" s="4">
        <v>-1.307159535913216</v>
      </c>
      <c r="G27" s="4">
        <v>2.6586506976890592</v>
      </c>
      <c r="H27" s="4">
        <v>3.5375121502845142</v>
      </c>
    </row>
    <row r="28" spans="1:8" x14ac:dyDescent="0.3">
      <c r="A28" s="2">
        <v>2020</v>
      </c>
      <c r="B28" s="4">
        <v>3</v>
      </c>
      <c r="C28" s="4">
        <v>40642</v>
      </c>
      <c r="D28" s="4">
        <v>5.0072343943778463</v>
      </c>
      <c r="E28" s="4">
        <v>3548312</v>
      </c>
      <c r="F28" s="4">
        <v>9.0083082341346543</v>
      </c>
      <c r="G28" s="4">
        <v>2.8752008923918617</v>
      </c>
      <c r="H28" s="4">
        <v>3.7462244435396661</v>
      </c>
    </row>
    <row r="29" spans="1:8" x14ac:dyDescent="0.3">
      <c r="A29" s="2">
        <v>2020</v>
      </c>
      <c r="B29" s="4">
        <v>4</v>
      </c>
      <c r="C29" s="4">
        <v>43669</v>
      </c>
      <c r="D29" s="4">
        <v>19.125429647007476</v>
      </c>
      <c r="E29" s="4">
        <v>3831203</v>
      </c>
      <c r="F29" s="4">
        <v>21.103937771489512</v>
      </c>
      <c r="G29" s="4">
        <v>3.0411828184903182</v>
      </c>
      <c r="H29" s="4">
        <v>3.8978718057812354</v>
      </c>
    </row>
    <row r="30" spans="1:8" x14ac:dyDescent="0.3">
      <c r="A30" s="2">
        <v>2020</v>
      </c>
      <c r="B30" s="4">
        <v>5</v>
      </c>
      <c r="C30" s="4">
        <v>43756</v>
      </c>
      <c r="D30" s="4">
        <v>23.916060151227668</v>
      </c>
      <c r="E30" s="4">
        <v>3857776</v>
      </c>
      <c r="F30" s="4">
        <v>25.273170144027056</v>
      </c>
      <c r="G30" s="4">
        <v>3.1512495966536322</v>
      </c>
      <c r="H30" s="4">
        <v>3.9862711463003051</v>
      </c>
    </row>
    <row r="31" spans="1:8" x14ac:dyDescent="0.3">
      <c r="A31" s="2">
        <v>2020</v>
      </c>
      <c r="B31" s="4">
        <v>6</v>
      </c>
      <c r="C31" s="4">
        <v>42578</v>
      </c>
      <c r="D31" s="4">
        <v>27.754440710513673</v>
      </c>
      <c r="E31" s="4">
        <v>3862883</v>
      </c>
      <c r="F31" s="4">
        <v>28.093011009766933</v>
      </c>
      <c r="G31" s="4">
        <v>3.201171309136321</v>
      </c>
      <c r="H31" s="4">
        <v>4.0064342400800212</v>
      </c>
    </row>
    <row r="32" spans="1:8" x14ac:dyDescent="0.3">
      <c r="A32" s="2">
        <v>2020</v>
      </c>
      <c r="B32" s="4">
        <v>7</v>
      </c>
      <c r="C32" s="4">
        <v>39707</v>
      </c>
      <c r="D32" s="4">
        <v>25.397126164534978</v>
      </c>
      <c r="E32" s="4">
        <v>3773034</v>
      </c>
      <c r="F32" s="4">
        <v>25.290318595831284</v>
      </c>
      <c r="G32" s="4">
        <v>3.188160038925858</v>
      </c>
      <c r="H32" s="4">
        <v>3.9548511189783726</v>
      </c>
    </row>
    <row r="33" spans="1:8" x14ac:dyDescent="0.3">
      <c r="A33" s="2">
        <v>2020</v>
      </c>
      <c r="B33" s="4">
        <v>8</v>
      </c>
      <c r="C33" s="4">
        <v>38944</v>
      </c>
      <c r="D33" s="4">
        <v>21.898084387129082</v>
      </c>
      <c r="E33" s="4">
        <v>3802814</v>
      </c>
      <c r="F33" s="4">
        <v>24.039697253966665</v>
      </c>
      <c r="G33" s="4">
        <v>3.1111329571625914</v>
      </c>
      <c r="H33" s="4">
        <v>3.8296844937956882</v>
      </c>
    </row>
    <row r="34" spans="1:8" x14ac:dyDescent="0.3">
      <c r="A34" s="2">
        <v>2020</v>
      </c>
      <c r="B34" s="4">
        <v>9</v>
      </c>
      <c r="C34" s="4">
        <v>39444</v>
      </c>
      <c r="D34" s="4">
        <v>15.634252880302535</v>
      </c>
      <c r="E34" s="4">
        <v>3776485</v>
      </c>
      <c r="F34" s="4">
        <v>22.624655365389799</v>
      </c>
      <c r="G34" s="4">
        <v>2.9705495243011484</v>
      </c>
      <c r="H34" s="4">
        <v>3.6305787050181895</v>
      </c>
    </row>
    <row r="35" spans="1:8" x14ac:dyDescent="0.3">
      <c r="A35" s="2">
        <v>2020</v>
      </c>
      <c r="B35" s="4">
        <v>10</v>
      </c>
      <c r="C35" s="4">
        <v>40711</v>
      </c>
      <c r="D35" s="4">
        <v>13.473813306575245</v>
      </c>
      <c r="E35" s="4">
        <v>3826043</v>
      </c>
      <c r="F35" s="4">
        <v>20.404454977705289</v>
      </c>
      <c r="G35" s="4">
        <v>2.768173850201014</v>
      </c>
      <c r="H35" s="4">
        <v>3.3585815662404435</v>
      </c>
    </row>
    <row r="36" spans="1:8" x14ac:dyDescent="0.3">
      <c r="A36" s="2">
        <v>2020</v>
      </c>
      <c r="B36" s="4">
        <v>11</v>
      </c>
      <c r="C36" s="4">
        <v>42053</v>
      </c>
      <c r="D36" s="4">
        <v>14.588953377476233</v>
      </c>
      <c r="E36" s="4">
        <v>3851312</v>
      </c>
      <c r="F36" s="4">
        <v>20.421839393856022</v>
      </c>
      <c r="G36" s="4">
        <v>2.5066494685658407</v>
      </c>
      <c r="H36" s="4">
        <v>3.0160599241584318</v>
      </c>
    </row>
    <row r="37" spans="1:8" x14ac:dyDescent="0.3">
      <c r="A37" s="2">
        <v>2020</v>
      </c>
      <c r="B37" s="4">
        <v>12</v>
      </c>
      <c r="C37" s="4">
        <v>42629</v>
      </c>
      <c r="D37" s="4">
        <v>16.063600969261337</v>
      </c>
      <c r="E37" s="4">
        <v>3888137</v>
      </c>
      <c r="F37" s="4">
        <v>22.902100609905474</v>
      </c>
      <c r="G37" s="4">
        <v>2.189363360283751</v>
      </c>
      <c r="H37" s="4">
        <v>2.6065643666772655</v>
      </c>
    </row>
    <row r="38" spans="1:8" x14ac:dyDescent="0.3">
      <c r="A38" s="2">
        <v>2021</v>
      </c>
      <c r="B38" s="4">
        <v>1</v>
      </c>
      <c r="C38" s="4">
        <v>43773</v>
      </c>
      <c r="D38" s="4">
        <v>12.671814671814662</v>
      </c>
      <c r="E38" s="4">
        <v>3964353</v>
      </c>
      <c r="F38" s="4">
        <v>21.835651456903559</v>
      </c>
      <c r="G38" s="4">
        <v>1.8205415551254311</v>
      </c>
      <c r="H38" s="4">
        <v>2.1348542163874513</v>
      </c>
    </row>
    <row r="39" spans="1:8" x14ac:dyDescent="0.3">
      <c r="A39" s="2">
        <v>2021</v>
      </c>
      <c r="B39" s="4">
        <v>2</v>
      </c>
      <c r="C39" s="4">
        <v>44486</v>
      </c>
      <c r="D39" s="4">
        <v>14.439328068325064</v>
      </c>
      <c r="E39" s="4">
        <v>4008789</v>
      </c>
      <c r="F39" s="4">
        <v>23.497564884303902</v>
      </c>
      <c r="G39" s="4">
        <v>1.4053735715844122</v>
      </c>
      <c r="H39" s="4">
        <v>1.6070982081186089</v>
      </c>
    </row>
    <row r="40" spans="1:8" x14ac:dyDescent="0.3">
      <c r="A40" s="2">
        <v>2021</v>
      </c>
      <c r="B40" s="4">
        <v>3</v>
      </c>
      <c r="C40" s="4">
        <v>42987</v>
      </c>
      <c r="D40" s="4">
        <v>5.7698932139166326</v>
      </c>
      <c r="E40" s="4">
        <v>3949640</v>
      </c>
      <c r="F40" s="4">
        <v>11.310392096298184</v>
      </c>
      <c r="G40" s="4">
        <v>0.94980248878732854</v>
      </c>
      <c r="H40" s="4">
        <v>1.0308331876198378</v>
      </c>
    </row>
    <row r="41" spans="1:8" x14ac:dyDescent="0.3">
      <c r="A41" s="2">
        <v>2021</v>
      </c>
      <c r="B41" s="4">
        <v>4</v>
      </c>
      <c r="C41" s="4">
        <v>43021</v>
      </c>
      <c r="D41" s="4">
        <v>-1.4838901738075116</v>
      </c>
      <c r="E41" s="4">
        <v>3910628</v>
      </c>
      <c r="F41" s="4">
        <v>2.0731086293260814</v>
      </c>
      <c r="G41" s="4">
        <v>0.46067652158975481</v>
      </c>
      <c r="H41" s="4">
        <v>0.41511617193719452</v>
      </c>
    </row>
    <row r="42" spans="1:8" x14ac:dyDescent="0.3">
      <c r="A42" s="2">
        <v>2021</v>
      </c>
      <c r="B42" s="4">
        <v>5</v>
      </c>
      <c r="C42" s="4">
        <v>41265</v>
      </c>
      <c r="D42" s="4">
        <v>-5.6929335405430104</v>
      </c>
      <c r="E42" s="4">
        <v>3781250</v>
      </c>
      <c r="F42" s="4">
        <v>-1.9836817897151082</v>
      </c>
      <c r="G42" s="4">
        <v>-5.482138663015565E-2</v>
      </c>
      <c r="H42" s="4">
        <v>-0.23028196362571704</v>
      </c>
    </row>
    <row r="43" spans="1:8" x14ac:dyDescent="0.3">
      <c r="A43" s="2">
        <v>2021</v>
      </c>
      <c r="B43" s="4">
        <v>6</v>
      </c>
      <c r="C43" s="4">
        <v>39210</v>
      </c>
      <c r="D43" s="4">
        <v>-7.9101883601860106</v>
      </c>
      <c r="E43" s="4">
        <v>3614339</v>
      </c>
      <c r="F43" s="4">
        <v>-6.4341581145481275</v>
      </c>
      <c r="G43" s="4">
        <v>-0.58964333184809659</v>
      </c>
      <c r="H43" s="4">
        <v>-0.89547520540019643</v>
      </c>
    </row>
    <row r="44" spans="1:8" x14ac:dyDescent="0.3">
      <c r="A44" s="2">
        <v>2021</v>
      </c>
      <c r="B44" s="4">
        <v>7</v>
      </c>
      <c r="C44" s="4">
        <v>37877</v>
      </c>
      <c r="D44" s="4">
        <v>-4.6087591608532481</v>
      </c>
      <c r="E44" s="4">
        <v>3416498</v>
      </c>
      <c r="F44" s="4">
        <v>-9.4495835447016887</v>
      </c>
      <c r="G44" s="4">
        <v>-1.1371329456060058</v>
      </c>
      <c r="H44" s="4">
        <v>-1.5706993035943551</v>
      </c>
    </row>
    <row r="45" spans="1:8" x14ac:dyDescent="0.3">
      <c r="A45" s="2">
        <v>2021</v>
      </c>
      <c r="B45" s="4">
        <v>8</v>
      </c>
      <c r="C45" s="4">
        <v>37507</v>
      </c>
      <c r="D45" s="4">
        <v>-3.689913722267868</v>
      </c>
      <c r="E45" s="4">
        <v>3333915</v>
      </c>
      <c r="F45" s="4">
        <v>-12.33031644461181</v>
      </c>
      <c r="G45" s="4">
        <v>-1.6911422306283446</v>
      </c>
      <c r="H45" s="4">
        <v>-2.2465746391738843</v>
      </c>
    </row>
    <row r="46" spans="1:8" x14ac:dyDescent="0.3">
      <c r="A46" s="2">
        <v>2021</v>
      </c>
      <c r="B46" s="4">
        <v>9</v>
      </c>
      <c r="C46" s="4">
        <v>38354</v>
      </c>
      <c r="D46" s="4">
        <v>-2.7634114187202075</v>
      </c>
      <c r="E46" s="4">
        <v>3257802</v>
      </c>
      <c r="F46" s="4">
        <v>-13.734544159449857</v>
      </c>
      <c r="G46" s="4">
        <v>-2.245764274793411</v>
      </c>
      <c r="H46" s="4">
        <v>-2.9142687378434413</v>
      </c>
    </row>
    <row r="47" spans="1:8" x14ac:dyDescent="0.3">
      <c r="A47" s="2">
        <v>2021</v>
      </c>
      <c r="B47" s="4">
        <v>10</v>
      </c>
      <c r="C47" s="4">
        <v>38505</v>
      </c>
      <c r="D47" s="4">
        <v>-5.4186829112524926</v>
      </c>
      <c r="E47" s="4">
        <v>3257068</v>
      </c>
      <c r="F47" s="4">
        <v>-14.871108348756145</v>
      </c>
      <c r="G47" s="4">
        <v>-2.7952309695553108</v>
      </c>
      <c r="H47" s="4">
        <v>-3.5656493851552824</v>
      </c>
    </row>
    <row r="48" spans="1:8" x14ac:dyDescent="0.3">
      <c r="A48" s="2">
        <v>2021</v>
      </c>
      <c r="B48" s="4">
        <v>11</v>
      </c>
      <c r="C48" s="4">
        <v>37454</v>
      </c>
      <c r="D48" s="4">
        <v>-10.936199557700998</v>
      </c>
      <c r="E48" s="4">
        <v>3182687</v>
      </c>
      <c r="F48" s="4">
        <v>-17.360966860124549</v>
      </c>
      <c r="G48" s="4">
        <v>-3.333810154086478</v>
      </c>
      <c r="H48" s="4">
        <v>-4.1933357746770534</v>
      </c>
    </row>
    <row r="49" spans="1:8" x14ac:dyDescent="0.3">
      <c r="A49" s="2">
        <v>2021</v>
      </c>
      <c r="B49" s="4">
        <v>12</v>
      </c>
      <c r="C49" s="4">
        <v>36814</v>
      </c>
      <c r="D49" s="4">
        <v>-13.640948649980055</v>
      </c>
      <c r="E49" s="4">
        <v>3105905</v>
      </c>
      <c r="F49" s="4">
        <v>-20.118426896994624</v>
      </c>
      <c r="G49" s="4">
        <v>-3.8559518517219646</v>
      </c>
      <c r="H49" s="4">
        <v>-4.7907322012933165</v>
      </c>
    </row>
    <row r="50" spans="1:8" x14ac:dyDescent="0.3">
      <c r="A50" s="2">
        <v>2022</v>
      </c>
      <c r="B50" s="4">
        <v>1</v>
      </c>
      <c r="C50" s="4">
        <v>37428</v>
      </c>
      <c r="D50" s="4">
        <v>-14.495236789801936</v>
      </c>
      <c r="E50" s="4">
        <v>3123078</v>
      </c>
      <c r="F50" s="4">
        <v>-21.220991168041792</v>
      </c>
      <c r="G50" s="4">
        <v>-4.3566340295054067</v>
      </c>
      <c r="H50" s="4">
        <v>-5.3521573787140113</v>
      </c>
    </row>
    <row r="51" spans="1:8" x14ac:dyDescent="0.3">
      <c r="A51" s="2">
        <v>2022</v>
      </c>
      <c r="B51" s="4">
        <v>2</v>
      </c>
      <c r="C51" s="4">
        <v>37531</v>
      </c>
      <c r="D51" s="4">
        <v>-15.63413208649912</v>
      </c>
      <c r="E51" s="4">
        <v>3111684</v>
      </c>
      <c r="F51" s="4">
        <v>-22.378453942075772</v>
      </c>
      <c r="G51" s="4">
        <v>-4.8315141681469855</v>
      </c>
      <c r="H51" s="4">
        <v>-5.8729944438918356</v>
      </c>
    </row>
    <row r="52" spans="1:8" x14ac:dyDescent="0.3">
      <c r="A52" s="2">
        <v>2022</v>
      </c>
      <c r="B52" s="4">
        <v>3</v>
      </c>
      <c r="C52" s="4">
        <v>36802</v>
      </c>
      <c r="D52" s="4">
        <v>-14.38807081210599</v>
      </c>
      <c r="E52" s="4">
        <v>3108763</v>
      </c>
      <c r="F52" s="4">
        <v>-21.289965667757059</v>
      </c>
      <c r="G52" s="4">
        <v>-5.2769538179930153</v>
      </c>
      <c r="H52" s="4">
        <v>-6.3497285361259683</v>
      </c>
    </row>
    <row r="53" spans="1:8" x14ac:dyDescent="0.3">
      <c r="A53" s="2">
        <v>2022</v>
      </c>
      <c r="B53" s="4">
        <v>4</v>
      </c>
      <c r="C53" s="4">
        <v>35386</v>
      </c>
      <c r="D53" s="4">
        <v>-17.747146742288646</v>
      </c>
      <c r="E53" s="4">
        <v>3022503</v>
      </c>
      <c r="F53" s="4">
        <v>-22.710546745944637</v>
      </c>
      <c r="G53" s="4">
        <v>-5.6900647111896951</v>
      </c>
      <c r="H53" s="4">
        <v>-6.7799910071807394</v>
      </c>
    </row>
    <row r="54" spans="1:8" x14ac:dyDescent="0.3">
      <c r="A54" s="2">
        <v>2022</v>
      </c>
      <c r="B54" s="4">
        <v>5</v>
      </c>
      <c r="C54" s="4">
        <v>34197</v>
      </c>
      <c r="D54" s="4">
        <v>-17.12831697564522</v>
      </c>
      <c r="E54" s="4">
        <v>2922991</v>
      </c>
      <c r="F54" s="4">
        <v>-22.697758677685954</v>
      </c>
      <c r="G54" s="4">
        <v>-6.0685912963411486</v>
      </c>
      <c r="H54" s="4">
        <v>-7.1624507252879548</v>
      </c>
    </row>
    <row r="55" spans="1:8" x14ac:dyDescent="0.3">
      <c r="A55" s="2">
        <v>2022</v>
      </c>
      <c r="B55" s="4">
        <v>6</v>
      </c>
      <c r="C55" s="4">
        <v>32917</v>
      </c>
      <c r="D55" s="4">
        <v>-16.049477174190262</v>
      </c>
      <c r="E55" s="4">
        <v>2880582</v>
      </c>
      <c r="F55" s="4">
        <v>-20.30127777167554</v>
      </c>
      <c r="G55" s="4">
        <v>-6.4111153194147716</v>
      </c>
      <c r="H55" s="4">
        <v>-7.4968828472723903</v>
      </c>
    </row>
    <row r="56" spans="1:8" x14ac:dyDescent="0.3">
      <c r="A56" s="2">
        <v>2022</v>
      </c>
      <c r="B56" s="4">
        <v>7</v>
      </c>
      <c r="C56" s="4">
        <v>32088</v>
      </c>
      <c r="D56" s="4">
        <v>-15.283681389761593</v>
      </c>
      <c r="E56" s="4">
        <v>2883812</v>
      </c>
      <c r="F56" s="4">
        <v>-15.591579447726877</v>
      </c>
      <c r="G56" s="4">
        <v>-6.7169865628834664</v>
      </c>
      <c r="H56" s="4">
        <v>-7.7841413707888485</v>
      </c>
    </row>
    <row r="57" spans="1:8" x14ac:dyDescent="0.3">
      <c r="A57" s="2">
        <v>2022</v>
      </c>
      <c r="B57" s="4">
        <v>8</v>
      </c>
      <c r="C57" s="4">
        <v>32441</v>
      </c>
      <c r="D57" s="4">
        <v>-13.506812061748475</v>
      </c>
      <c r="E57" s="4">
        <v>2924240</v>
      </c>
      <c r="F57" s="4">
        <v>-12.28810572555089</v>
      </c>
      <c r="G57" s="4">
        <v>-6.9862241399044924</v>
      </c>
      <c r="H57" s="4">
        <v>-8.0259694875841028</v>
      </c>
    </row>
    <row r="58" spans="1:8" x14ac:dyDescent="0.3">
      <c r="A58" s="2">
        <v>2022</v>
      </c>
      <c r="B58" s="4">
        <v>9</v>
      </c>
      <c r="C58" s="4">
        <v>33098</v>
      </c>
      <c r="D58" s="4">
        <v>-13.703916149554152</v>
      </c>
      <c r="E58" s="4">
        <v>2941919</v>
      </c>
      <c r="F58" s="4">
        <v>-9.6962000760021603</v>
      </c>
      <c r="G58" s="4">
        <v>-7.2194420729980884</v>
      </c>
      <c r="H58" s="4">
        <v>-8.2246525726047146</v>
      </c>
    </row>
    <row r="59" spans="1:8" x14ac:dyDescent="0.3">
      <c r="A59" s="2">
        <v>2022</v>
      </c>
      <c r="B59" s="4">
        <v>10</v>
      </c>
      <c r="C59" s="4">
        <v>32990</v>
      </c>
      <c r="D59" s="4">
        <v>-14.322815218802754</v>
      </c>
      <c r="E59" s="4">
        <v>2914892</v>
      </c>
      <c r="F59" s="4">
        <v>-10.505644954296322</v>
      </c>
      <c r="G59" s="4">
        <v>-7.4177072032901759</v>
      </c>
      <c r="H59" s="4">
        <v>-8.3827719824804383</v>
      </c>
    </row>
    <row r="60" spans="1:8" x14ac:dyDescent="0.3">
      <c r="A60" s="2">
        <v>2022</v>
      </c>
      <c r="B60" s="4">
        <v>11</v>
      </c>
      <c r="C60" s="4">
        <v>33348</v>
      </c>
      <c r="D60" s="4">
        <v>-10.962781011373956</v>
      </c>
      <c r="E60" s="4">
        <v>2881380</v>
      </c>
      <c r="F60" s="4">
        <v>-9.4670635221119745</v>
      </c>
      <c r="G60" s="4">
        <v>-7.5825366826064373</v>
      </c>
      <c r="H60" s="4">
        <v>-8.5030112646398734</v>
      </c>
    </row>
    <row r="61" spans="1:8" x14ac:dyDescent="0.3">
      <c r="A61" s="2">
        <v>2022</v>
      </c>
      <c r="B61" s="4">
        <v>12</v>
      </c>
      <c r="C61" s="4">
        <v>33485</v>
      </c>
      <c r="D61" s="4">
        <v>-9.0427554734611846</v>
      </c>
      <c r="E61" s="4">
        <v>2837653</v>
      </c>
      <c r="F61" s="4">
        <v>-8.6368385382038397</v>
      </c>
      <c r="G61" s="4">
        <v>-7.7159271841625205</v>
      </c>
      <c r="H61" s="4">
        <v>-8.5882013882457731</v>
      </c>
    </row>
    <row r="62" spans="1:8" x14ac:dyDescent="0.3">
      <c r="A62" s="2">
        <v>2023</v>
      </c>
      <c r="B62" s="4">
        <v>1</v>
      </c>
      <c r="C62" s="4">
        <v>34624</v>
      </c>
      <c r="D62" s="4">
        <v>-7.4917174308004704</v>
      </c>
      <c r="E62" s="4">
        <v>2908397</v>
      </c>
      <c r="F62" s="4">
        <v>-6.8740197971360324</v>
      </c>
      <c r="G62" s="4">
        <v>-7.8201101203635712</v>
      </c>
      <c r="H62" s="4">
        <v>-8.6412402705343272</v>
      </c>
    </row>
    <row r="63" spans="1:8" x14ac:dyDescent="0.3">
      <c r="A63" s="2">
        <v>2023</v>
      </c>
      <c r="B63" s="4">
        <v>2</v>
      </c>
      <c r="C63" s="4">
        <v>34879</v>
      </c>
      <c r="D63" s="4">
        <v>-7.0661586421891247</v>
      </c>
      <c r="E63" s="4">
        <v>2911015</v>
      </c>
      <c r="F63" s="4">
        <v>-6.448887483433408</v>
      </c>
      <c r="G63" s="4">
        <v>-7.8974090444681577</v>
      </c>
      <c r="H63" s="4">
        <v>-8.6650292063215826</v>
      </c>
    </row>
    <row r="64" spans="1:8" x14ac:dyDescent="0.3">
      <c r="A64" s="2">
        <v>2023</v>
      </c>
      <c r="B64" s="4">
        <v>3</v>
      </c>
      <c r="C64" s="4">
        <v>33525</v>
      </c>
      <c r="D64" s="4">
        <v>-8.9044073691647245</v>
      </c>
      <c r="E64" s="4">
        <v>2862260</v>
      </c>
      <c r="F64" s="4">
        <v>-7.9292953499510936</v>
      </c>
      <c r="G64" s="4">
        <v>-7.9501247046869628</v>
      </c>
      <c r="H64" s="4">
        <v>-8.6623467667795992</v>
      </c>
    </row>
    <row r="65" spans="1:8" x14ac:dyDescent="0.3">
      <c r="A65" s="2">
        <v>2023</v>
      </c>
      <c r="B65" s="4">
        <v>4</v>
      </c>
      <c r="C65" s="4">
        <v>32394</v>
      </c>
      <c r="D65" s="4">
        <v>-8.455321313513819</v>
      </c>
      <c r="E65" s="4">
        <v>2788370</v>
      </c>
      <c r="F65" s="4">
        <v>-7.7463281260597538</v>
      </c>
      <c r="G65" s="4">
        <v>-7.9805001235082873</v>
      </c>
      <c r="H65" s="4">
        <v>-8.6358176243496807</v>
      </c>
    </row>
    <row r="66" spans="1:8" x14ac:dyDescent="0.3">
      <c r="A66" s="2">
        <v>2023</v>
      </c>
      <c r="B66" s="4">
        <v>5</v>
      </c>
      <c r="C66" s="4">
        <v>31646</v>
      </c>
      <c r="D66" s="4">
        <v>-7.4597186887738642</v>
      </c>
      <c r="E66" s="4">
        <v>2739110</v>
      </c>
      <c r="F66" s="4">
        <v>-6.2908507073747399</v>
      </c>
      <c r="G66" s="4">
        <v>-7.9908445930499097</v>
      </c>
      <c r="H66" s="4">
        <v>-8.5880155451247386</v>
      </c>
    </row>
    <row r="67" spans="1:8" x14ac:dyDescent="0.3">
      <c r="A67" s="2">
        <v>2023</v>
      </c>
      <c r="B67" s="4">
        <v>6</v>
      </c>
      <c r="C67" s="4">
        <v>30266</v>
      </c>
      <c r="D67" s="4">
        <v>-8.0535893307409516</v>
      </c>
      <c r="E67" s="4">
        <v>2688842</v>
      </c>
      <c r="F67" s="4">
        <v>-6.6562937628576453</v>
      </c>
      <c r="G67" s="4">
        <v>-7.9835003791233579</v>
      </c>
      <c r="H67" s="4">
        <v>-8.5214525250936379</v>
      </c>
    </row>
    <row r="68" spans="1:8" x14ac:dyDescent="0.3">
      <c r="A68" s="2">
        <v>2023</v>
      </c>
      <c r="B68" s="4">
        <v>7</v>
      </c>
      <c r="C68" s="4">
        <v>29785</v>
      </c>
      <c r="D68" s="4">
        <v>-7.1771378708551437</v>
      </c>
      <c r="E68" s="4">
        <v>2677874</v>
      </c>
      <c r="F68" s="4">
        <v>-7.1411728642505112</v>
      </c>
      <c r="G68" s="4">
        <v>-7.9607728637968069</v>
      </c>
      <c r="H68" s="4">
        <v>-8.4384810349092856</v>
      </c>
    </row>
    <row r="69" spans="1:8" x14ac:dyDescent="0.3">
      <c r="A69" s="2">
        <v>2023</v>
      </c>
      <c r="B69" s="4">
        <v>8</v>
      </c>
      <c r="C69" s="4">
        <v>29996</v>
      </c>
      <c r="D69" s="4">
        <v>-7.5367590394870732</v>
      </c>
      <c r="E69" s="4">
        <v>2702700</v>
      </c>
      <c r="F69" s="4">
        <v>-7.5759855552211874</v>
      </c>
      <c r="G69" s="4">
        <v>-7.9249722964267395</v>
      </c>
      <c r="H69" s="4">
        <v>-8.3413240203105463</v>
      </c>
    </row>
    <row r="70" spans="1:8" x14ac:dyDescent="0.3">
      <c r="A70" s="2">
        <v>2023</v>
      </c>
      <c r="B70" s="4">
        <v>9</v>
      </c>
      <c r="C70" s="4">
        <v>30598</v>
      </c>
      <c r="D70" s="4">
        <v>-7.553326484983991</v>
      </c>
      <c r="E70" s="4">
        <v>2722468</v>
      </c>
      <c r="F70" s="4">
        <v>-7.4594507870543003</v>
      </c>
      <c r="G70" s="4">
        <v>-7.8783545072729062</v>
      </c>
      <c r="H70" s="4">
        <v>-8.2321143361911009</v>
      </c>
    </row>
    <row r="71" spans="1:8" x14ac:dyDescent="0.3">
      <c r="A71" s="2">
        <v>2023</v>
      </c>
      <c r="B71" s="4">
        <v>10</v>
      </c>
      <c r="C71" s="4">
        <v>31702</v>
      </c>
      <c r="D71" s="4">
        <v>-3.9042133979993898</v>
      </c>
      <c r="E71" s="4">
        <v>2759404</v>
      </c>
      <c r="F71" s="4">
        <v>-5.3342628131676895</v>
      </c>
      <c r="G71" s="4">
        <v>-7.8231483673411031</v>
      </c>
      <c r="H71" s="4">
        <v>-8.11293168894011</v>
      </c>
    </row>
    <row r="72" spans="1:8" x14ac:dyDescent="0.3">
      <c r="A72" s="2">
        <v>2023</v>
      </c>
      <c r="B72" s="4">
        <v>11</v>
      </c>
      <c r="C72" s="4">
        <v>32028</v>
      </c>
      <c r="D72" s="4">
        <v>-3.9582583663188231</v>
      </c>
      <c r="E72" s="4">
        <v>2734831</v>
      </c>
      <c r="F72" s="4">
        <v>-5.0860698692987372</v>
      </c>
      <c r="G72" s="4">
        <v>-7.7615601762466886</v>
      </c>
      <c r="H72" s="4">
        <v>-7.9858021277558198</v>
      </c>
    </row>
    <row r="73" spans="1:8" x14ac:dyDescent="0.3">
      <c r="A73" s="2">
        <v>2023</v>
      </c>
      <c r="B73" s="4">
        <v>12</v>
      </c>
      <c r="C73" s="4">
        <v>31809</v>
      </c>
      <c r="D73" s="4">
        <v>-5.0052262206958353</v>
      </c>
      <c r="E73" s="4">
        <v>2707456</v>
      </c>
      <c r="F73" s="4">
        <v>-4.5881931300268182</v>
      </c>
      <c r="G73" s="4">
        <v>-7.6955240853432629</v>
      </c>
      <c r="H73" s="4">
        <v>-7.8525587387201057</v>
      </c>
    </row>
    <row r="74" spans="1:8" x14ac:dyDescent="0.3">
      <c r="A74" s="2">
        <v>2024</v>
      </c>
      <c r="B74" s="4">
        <v>1</v>
      </c>
      <c r="C74" s="4">
        <v>32599</v>
      </c>
      <c r="D74" s="4">
        <v>-5.8485443622920519</v>
      </c>
      <c r="E74" s="4">
        <v>2767860</v>
      </c>
      <c r="F74" s="4">
        <v>-4.832111984711851</v>
      </c>
      <c r="G74" s="4">
        <v>-7.6267101278031806</v>
      </c>
      <c r="H74" s="4">
        <v>-7.7148332376191169</v>
      </c>
    </row>
    <row r="75" spans="1:8" x14ac:dyDescent="0.3">
      <c r="A75" s="2">
        <v>2024</v>
      </c>
      <c r="B75" s="4">
        <v>2</v>
      </c>
      <c r="C75" s="4">
        <v>32754</v>
      </c>
      <c r="D75" s="4">
        <v>-6.0924911838068807</v>
      </c>
      <c r="E75" s="4">
        <v>2760408</v>
      </c>
      <c r="F75" s="4">
        <v>-5.1736937116435344</v>
      </c>
      <c r="G75" s="4">
        <v>-7.5566015105581954</v>
      </c>
      <c r="H75" s="4">
        <v>-7.5740306481828412</v>
      </c>
    </row>
    <row r="76" spans="1:8" x14ac:dyDescent="0.3">
      <c r="A76" s="2">
        <v>2024</v>
      </c>
      <c r="B76" s="4">
        <v>3</v>
      </c>
      <c r="C76" s="4">
        <v>32026</v>
      </c>
      <c r="D76" s="4">
        <v>-4.4712900820283341</v>
      </c>
      <c r="E76" s="4">
        <v>2727003</v>
      </c>
      <c r="F76" s="4">
        <v>-4.7255315729528462</v>
      </c>
      <c r="G76" s="4">
        <v>-7.4865579568063456</v>
      </c>
      <c r="H76" s="4">
        <v>-7.4313558051653725</v>
      </c>
    </row>
    <row r="77" spans="1:8" x14ac:dyDescent="0.3">
      <c r="A77" s="2">
        <v>2024</v>
      </c>
      <c r="B77" s="4">
        <v>4</v>
      </c>
      <c r="C77" s="4">
        <v>31488</v>
      </c>
      <c r="D77" s="4">
        <v>-2.7968142248564587</v>
      </c>
      <c r="E77" s="4">
        <v>2666500</v>
      </c>
      <c r="F77" s="4">
        <v>-4.3706538228427405</v>
      </c>
      <c r="G77" s="4">
        <v>-7.417837515417423</v>
      </c>
      <c r="H77" s="4">
        <v>-7.2878468532557665</v>
      </c>
    </row>
    <row r="78" spans="1:8" x14ac:dyDescent="0.3">
      <c r="A78" s="2">
        <v>2024</v>
      </c>
      <c r="B78" s="4">
        <v>5</v>
      </c>
      <c r="C78" s="4">
        <v>30602</v>
      </c>
      <c r="D78" s="4">
        <v>-3.2989951336661827</v>
      </c>
      <c r="E78" s="4">
        <v>2607850</v>
      </c>
      <c r="F78" s="4">
        <v>-4.7920674963765624</v>
      </c>
      <c r="G78" s="4">
        <v>-7.3514888416588065</v>
      </c>
      <c r="H78" s="4">
        <v>-7.1443540326825108</v>
      </c>
    </row>
    <row r="79" spans="1:8" x14ac:dyDescent="0.3">
      <c r="A79" s="2">
        <v>2024</v>
      </c>
      <c r="B79" s="4">
        <v>6</v>
      </c>
      <c r="C79" s="4">
        <v>29600</v>
      </c>
      <c r="D79" s="4">
        <v>-2.2004889975550168</v>
      </c>
      <c r="E79" s="4">
        <v>2561067</v>
      </c>
      <c r="F79" s="4">
        <v>-4.7520456761684038</v>
      </c>
      <c r="G79" s="4">
        <v>-7.2882396864026981</v>
      </c>
      <c r="H79" s="4">
        <v>-7.0015250008247598</v>
      </c>
    </row>
    <row r="80" spans="1:8" x14ac:dyDescent="0.3">
      <c r="A80" s="2">
        <v>2024</v>
      </c>
      <c r="B80" s="4">
        <v>7</v>
      </c>
      <c r="C80" s="4">
        <v>28876</v>
      </c>
      <c r="D80" s="4">
        <v>-3.0518717475239265</v>
      </c>
      <c r="E80" s="4">
        <v>2550237</v>
      </c>
      <c r="F80" s="4">
        <v>-4.7663556985877653</v>
      </c>
      <c r="G80" s="4">
        <v>-7.2285363773471341</v>
      </c>
      <c r="H80" s="4">
        <v>-6.8598440618299801</v>
      </c>
    </row>
    <row r="81" spans="1:8" x14ac:dyDescent="0.3">
      <c r="A81" s="2">
        <v>2024</v>
      </c>
      <c r="B81" s="4">
        <v>8</v>
      </c>
      <c r="C81" s="4">
        <v>28848</v>
      </c>
      <c r="D81" s="4">
        <v>-3.8271769569275915</v>
      </c>
      <c r="E81" s="4">
        <v>2572121</v>
      </c>
      <c r="F81" s="4">
        <v>-4.8314278314278365</v>
      </c>
      <c r="G81" s="4">
        <v>-7.1724719261700924</v>
      </c>
      <c r="H81" s="4">
        <v>-6.719639306003649</v>
      </c>
    </row>
    <row r="82" spans="1:8" x14ac:dyDescent="0.3">
      <c r="A82" s="2">
        <v>2024</v>
      </c>
      <c r="B82" s="4">
        <v>9</v>
      </c>
      <c r="C82" s="4">
        <v>28930</v>
      </c>
      <c r="D82" s="4">
        <v>-5.451336688672459</v>
      </c>
      <c r="E82" s="4">
        <v>2575285</v>
      </c>
      <c r="F82" s="4">
        <v>-5.4062343432503157</v>
      </c>
      <c r="G82" s="4">
        <v>-7.1198492983947039</v>
      </c>
      <c r="H82" s="4">
        <v>-6.5810934425149101</v>
      </c>
    </row>
    <row r="83" spans="1:8" x14ac:dyDescent="0.3">
      <c r="A83" s="2">
        <v>2024</v>
      </c>
      <c r="B83" s="4">
        <v>10</v>
      </c>
      <c r="C83" s="4">
        <v>29491</v>
      </c>
      <c r="D83" s="4">
        <v>-6.9743233865371295</v>
      </c>
      <c r="E83" s="4">
        <v>2602054</v>
      </c>
      <c r="F83" s="4">
        <v>-5.702318326711131</v>
      </c>
      <c r="G83" s="4">
        <v>-7.0702391473934583</v>
      </c>
      <c r="H83" s="4">
        <v>-6.4442580547360615</v>
      </c>
    </row>
    <row r="84" spans="1:8" x14ac:dyDescent="0.3">
      <c r="A84" s="2">
        <v>2024</v>
      </c>
      <c r="B84" s="4">
        <v>11</v>
      </c>
      <c r="C84" s="4">
        <v>29527</v>
      </c>
      <c r="D84" s="4">
        <v>-7.8087923067316041</v>
      </c>
      <c r="E84" s="4">
        <v>2586018</v>
      </c>
      <c r="F84" s="4">
        <v>-5.4413965616156856</v>
      </c>
      <c r="G84" s="4">
        <v>-7.0230962576076141</v>
      </c>
      <c r="H84" s="4">
        <v>-6.3091031386019516</v>
      </c>
    </row>
    <row r="85" spans="1:8" x14ac:dyDescent="0.3">
      <c r="A85" s="2">
        <v>2024</v>
      </c>
      <c r="B85" s="4">
        <v>12</v>
      </c>
      <c r="C85" s="4">
        <v>29427</v>
      </c>
      <c r="D85" s="4">
        <v>-7.4884466660379179</v>
      </c>
      <c r="E85" s="4">
        <v>2560718</v>
      </c>
      <c r="F85" s="4">
        <v>-5.4197741348335882</v>
      </c>
      <c r="G85" s="4">
        <v>-6.9778687526617045</v>
      </c>
      <c r="H85" s="4">
        <v>-6.1755471664552051</v>
      </c>
    </row>
    <row r="86" spans="1:8" x14ac:dyDescent="0.3">
      <c r="A86" s="2">
        <v>2025</v>
      </c>
      <c r="B86" s="4">
        <v>1</v>
      </c>
      <c r="C86" s="4">
        <v>30239</v>
      </c>
      <c r="D86" s="4">
        <v>-7.2394858737998113</v>
      </c>
      <c r="E86" s="4">
        <v>2599443</v>
      </c>
      <c r="F86" s="4">
        <v>-6.0847369447876716</v>
      </c>
      <c r="G86" s="4">
        <v>-6.934059318405895</v>
      </c>
      <c r="H86" s="4">
        <v>-6.0434483532372667</v>
      </c>
    </row>
    <row r="87" spans="1:8" x14ac:dyDescent="0.3">
      <c r="A87" s="2">
        <v>2025</v>
      </c>
      <c r="B87" s="4">
        <v>2</v>
      </c>
      <c r="C87" s="4">
        <v>29980</v>
      </c>
      <c r="D87" s="4">
        <v>-8.4691946021859916</v>
      </c>
      <c r="E87" s="4">
        <v>2593449</v>
      </c>
      <c r="F87" s="4">
        <v>-6.0483450272568406</v>
      </c>
      <c r="G87" s="4">
        <v>-6.8912060974898903</v>
      </c>
      <c r="H87" s="4">
        <v>-5.9126124296512739</v>
      </c>
    </row>
    <row r="88" spans="1:8" x14ac:dyDescent="0.3">
      <c r="A88" s="2">
        <v>2025</v>
      </c>
      <c r="B88" s="4">
        <v>3</v>
      </c>
      <c r="C88" s="4">
        <v>29661</v>
      </c>
      <c r="D88" s="4">
        <v>-7.3846249921938441</v>
      </c>
      <c r="E88" s="4">
        <v>2580138</v>
      </c>
      <c r="F88" s="4">
        <v>-5.3855826341225104</v>
      </c>
      <c r="G88" s="4">
        <v>-6.8488684427408524</v>
      </c>
      <c r="H88" s="4">
        <v>-5.7828479936636645</v>
      </c>
    </row>
    <row r="89" spans="1:8" x14ac:dyDescent="0.3">
      <c r="A89" s="2">
        <v>2025</v>
      </c>
      <c r="B89" s="2">
        <v>4</v>
      </c>
      <c r="C89" s="4">
        <v>28766</v>
      </c>
      <c r="D89" s="4">
        <v>-8.6445630081300795</v>
      </c>
      <c r="E89" s="4">
        <v>2512718</v>
      </c>
      <c r="F89" s="4">
        <v>-5.7671854490905723</v>
      </c>
      <c r="G89" s="4">
        <v>-6.8067152895209926</v>
      </c>
      <c r="H89" s="4">
        <v>-5.653973069115712</v>
      </c>
    </row>
    <row r="90" spans="1:8" x14ac:dyDescent="0.3">
      <c r="A90" s="2">
        <v>2025</v>
      </c>
      <c r="B90" s="4">
        <v>5</v>
      </c>
      <c r="C90" s="4">
        <v>27889</v>
      </c>
      <c r="D90" s="4">
        <v>-8.8654336317887772</v>
      </c>
      <c r="E90" s="4">
        <v>2454883</v>
      </c>
      <c r="F90" s="4">
        <v>-5.8656364438138713</v>
      </c>
      <c r="G90" s="4">
        <v>-6.7644527785084554</v>
      </c>
      <c r="H90" s="4">
        <v>-5.5257780919764983</v>
      </c>
    </row>
    <row r="91" spans="1:8" x14ac:dyDescent="0.3">
      <c r="A91" s="2">
        <v>2025</v>
      </c>
      <c r="B91" s="4">
        <v>6</v>
      </c>
      <c r="C91" s="4">
        <v>27011</v>
      </c>
      <c r="D91" s="4">
        <v>-8.7466216216216193</v>
      </c>
      <c r="E91" s="4">
        <v>2405963</v>
      </c>
      <c r="F91" s="4">
        <v>-6.0562257840189311</v>
      </c>
      <c r="G91" s="4">
        <v>-6.7219146786951773</v>
      </c>
      <c r="H91" s="4">
        <v>-5.3980613601859355</v>
      </c>
    </row>
    <row r="92" spans="1:8" x14ac:dyDescent="0.3">
      <c r="A92" s="2">
        <v>2025</v>
      </c>
      <c r="B92" s="4">
        <v>7</v>
      </c>
      <c r="C92" s="4">
        <v>26971</v>
      </c>
      <c r="D92" s="4">
        <v>-6.5971741238398662</v>
      </c>
      <c r="E92" s="4">
        <v>2404606</v>
      </c>
      <c r="F92" s="4">
        <v>-5.7104888682894988</v>
      </c>
      <c r="G92" s="4">
        <v>-6.6790806605212385</v>
      </c>
      <c r="H92" s="4">
        <v>-5.2706447729583692</v>
      </c>
    </row>
    <row r="93" spans="1:8" x14ac:dyDescent="0.3">
      <c r="A93" s="2">
        <v>2025</v>
      </c>
      <c r="B93" s="4">
        <v>8</v>
      </c>
      <c r="C93" s="4">
        <v>27156</v>
      </c>
      <c r="D93" s="4">
        <v>-5.8652246256239549</v>
      </c>
      <c r="E93" s="4">
        <v>2426511</v>
      </c>
      <c r="F93" s="4">
        <v>-5.661086706263041</v>
      </c>
      <c r="G93" s="4">
        <v>-6.6360709990755353</v>
      </c>
      <c r="H93" s="4">
        <v>-5.1433959353709131</v>
      </c>
    </row>
    <row r="94" spans="1:8" x14ac:dyDescent="0.3">
      <c r="A94" s="2">
        <v>2025</v>
      </c>
      <c r="B94" s="4">
        <v>9</v>
      </c>
      <c r="C94" s="4">
        <v>27277</v>
      </c>
      <c r="D94" s="4">
        <v>-5.7137919115105458</v>
      </c>
      <c r="E94" s="4">
        <v>2421665</v>
      </c>
      <c r="F94" s="4">
        <v>-5.9651650205705398</v>
      </c>
      <c r="G94" s="4">
        <v>-6.593000281493028</v>
      </c>
      <c r="H94" s="4">
        <v>-5.0162129972295224</v>
      </c>
    </row>
    <row r="95" spans="1:8" x14ac:dyDescent="0.3">
      <c r="B95" s="4"/>
      <c r="C95" s="4"/>
      <c r="D95" s="4"/>
      <c r="E95" s="4"/>
      <c r="F95" s="4"/>
      <c r="G95" s="4"/>
      <c r="H95" s="4"/>
    </row>
    <row r="96" spans="1:8" x14ac:dyDescent="0.3">
      <c r="B96" s="4"/>
      <c r="C96" s="4"/>
      <c r="D96" s="4"/>
      <c r="E96" s="4"/>
      <c r="F96" s="4"/>
      <c r="G96" s="4"/>
      <c r="H96" s="4"/>
    </row>
    <row r="97" spans="2:8" x14ac:dyDescent="0.3">
      <c r="B97" s="4"/>
      <c r="C97" s="4"/>
      <c r="D97" s="4"/>
      <c r="E97" s="4"/>
      <c r="F97" s="4"/>
      <c r="G97" s="4"/>
      <c r="H97" s="4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97"/>
  <sheetViews>
    <sheetView topLeftCell="A76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855468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H1" s="2" t="s">
        <v>43</v>
      </c>
    </row>
    <row r="2" spans="1:8" x14ac:dyDescent="0.3">
      <c r="A2" s="2">
        <v>2018</v>
      </c>
      <c r="B2" s="3">
        <v>1</v>
      </c>
      <c r="C2" s="3">
        <f>[1]Emp!C206</f>
        <v>16600</v>
      </c>
      <c r="D2" s="3">
        <f>[1]Emp!D206</f>
        <v>0.68538848789956308</v>
      </c>
      <c r="E2" s="3">
        <f>[1]Emp!E206</f>
        <v>0.77587589808793822</v>
      </c>
      <c r="F2" s="3">
        <f>[1]Emp!F206</f>
        <v>1312263</v>
      </c>
      <c r="G2" s="3">
        <f>[1]Emp!G206</f>
        <v>1.2673632547228086</v>
      </c>
      <c r="H2" s="3">
        <f>[1]Emp!H206</f>
        <v>1.1371079617923407</v>
      </c>
    </row>
    <row r="3" spans="1:8" x14ac:dyDescent="0.3">
      <c r="A3" s="2">
        <f>A2</f>
        <v>2018</v>
      </c>
      <c r="B3" s="3">
        <v>2</v>
      </c>
      <c r="C3" s="3">
        <f>[1]Emp!C207</f>
        <v>16638</v>
      </c>
      <c r="D3" s="3">
        <f>[1]Emp!D207</f>
        <v>0.62292107650439021</v>
      </c>
      <c r="E3" s="3">
        <f>[1]Emp!E207</f>
        <v>0.72528407855450272</v>
      </c>
      <c r="F3" s="3">
        <f>[1]Emp!F207</f>
        <v>1307311</v>
      </c>
      <c r="G3" s="3">
        <f>[1]Emp!G207</f>
        <v>0.9016469992567222</v>
      </c>
      <c r="H3" s="3">
        <f>[1]Emp!H207</f>
        <v>1.0708287446181315</v>
      </c>
    </row>
    <row r="4" spans="1:8" x14ac:dyDescent="0.3">
      <c r="A4" s="2">
        <f t="shared" ref="A4:A13" si="0">A3</f>
        <v>2018</v>
      </c>
      <c r="B4" s="3">
        <v>3</v>
      </c>
      <c r="C4" s="3">
        <f>[1]Emp!C208</f>
        <v>17155</v>
      </c>
      <c r="D4" s="3">
        <f>[1]Emp!D208</f>
        <v>2.528089887640439</v>
      </c>
      <c r="E4" s="3">
        <f>[1]Emp!E208</f>
        <v>0.67214420044612566</v>
      </c>
      <c r="F4" s="3">
        <f>[1]Emp!F208</f>
        <v>1321602</v>
      </c>
      <c r="G4" s="3">
        <f>[1]Emp!G208</f>
        <v>1.6375338477238932</v>
      </c>
      <c r="H4" s="3">
        <f>[1]Emp!H208</f>
        <v>1.0018767596462579</v>
      </c>
    </row>
    <row r="5" spans="1:8" x14ac:dyDescent="0.3">
      <c r="A5" s="2">
        <f t="shared" si="0"/>
        <v>2018</v>
      </c>
      <c r="B5" s="3">
        <v>4</v>
      </c>
      <c r="C5" s="3">
        <f>[1]Emp!C209</f>
        <v>17258</v>
      </c>
      <c r="D5" s="3">
        <f>[1]Emp!D209</f>
        <v>1.0895032802249238</v>
      </c>
      <c r="E5" s="3">
        <f>[1]Emp!E209</f>
        <v>0.61642427525380339</v>
      </c>
      <c r="F5" s="3">
        <f>[1]Emp!F209</f>
        <v>1327859</v>
      </c>
      <c r="G5" s="3">
        <f>[1]Emp!G209</f>
        <v>0.69233329971509772</v>
      </c>
      <c r="H5" s="3">
        <f>[1]Emp!H209</f>
        <v>0.93028027415433368</v>
      </c>
    </row>
    <row r="6" spans="1:8" x14ac:dyDescent="0.3">
      <c r="A6" s="2">
        <f t="shared" si="0"/>
        <v>2018</v>
      </c>
      <c r="B6" s="3">
        <v>5</v>
      </c>
      <c r="C6" s="3">
        <f>[1]Emp!C210</f>
        <v>17247</v>
      </c>
      <c r="D6" s="3">
        <f>[1]Emp!D210</f>
        <v>0.94820017559262837</v>
      </c>
      <c r="E6" s="3">
        <f>[1]Emp!E210</f>
        <v>0.55822119958569849</v>
      </c>
      <c r="F6" s="3">
        <f>[1]Emp!F210</f>
        <v>1334776</v>
      </c>
      <c r="G6" s="3">
        <f>[1]Emp!G210</f>
        <v>1.01394150651819</v>
      </c>
      <c r="H6" s="3">
        <f>[1]Emp!H210</f>
        <v>0.85611169827331124</v>
      </c>
    </row>
    <row r="7" spans="1:8" x14ac:dyDescent="0.3">
      <c r="A7" s="2">
        <f t="shared" si="0"/>
        <v>2018</v>
      </c>
      <c r="B7" s="3">
        <v>6</v>
      </c>
      <c r="C7" s="3">
        <f>[1]Emp!C211</f>
        <v>17499</v>
      </c>
      <c r="D7" s="3">
        <f>[1]Emp!D211</f>
        <v>1.6143081121886116</v>
      </c>
      <c r="E7" s="3">
        <f>[1]Emp!E211</f>
        <v>0.49766472275865214</v>
      </c>
      <c r="F7" s="3">
        <f>[1]Emp!F211</f>
        <v>1342696</v>
      </c>
      <c r="G7" s="3">
        <f>[1]Emp!G211</f>
        <v>1.9827721745021787</v>
      </c>
      <c r="H7" s="3">
        <f>[1]Emp!H211</f>
        <v>0.7794269180386959</v>
      </c>
    </row>
    <row r="8" spans="1:8" x14ac:dyDescent="0.3">
      <c r="A8" s="2">
        <f t="shared" si="0"/>
        <v>2018</v>
      </c>
      <c r="B8" s="3">
        <v>7</v>
      </c>
      <c r="C8" s="3">
        <f>[1]Emp!C212</f>
        <v>17764</v>
      </c>
      <c r="D8" s="3">
        <f>[1]Emp!D212</f>
        <v>0.8401453224341493</v>
      </c>
      <c r="E8" s="3">
        <f>[1]Emp!E212</f>
        <v>0.43491167596283914</v>
      </c>
      <c r="F8" s="3">
        <f>[1]Emp!F212</f>
        <v>1325845</v>
      </c>
      <c r="G8" s="3">
        <f>[1]Emp!G212</f>
        <v>1.1770263144439852</v>
      </c>
      <c r="H8" s="3">
        <f>[1]Emp!H212</f>
        <v>0.70029277988934313</v>
      </c>
    </row>
    <row r="9" spans="1:8" x14ac:dyDescent="0.3">
      <c r="A9" s="2">
        <f t="shared" si="0"/>
        <v>2018</v>
      </c>
      <c r="B9" s="3">
        <v>8</v>
      </c>
      <c r="C9" s="3">
        <f>[1]Emp!C213</f>
        <v>17588</v>
      </c>
      <c r="D9" s="3">
        <f>[1]Emp!D213</f>
        <v>0.66968118596530957</v>
      </c>
      <c r="E9" s="3">
        <f>[1]Emp!E213</f>
        <v>0.37019643506825589</v>
      </c>
      <c r="F9" s="3">
        <f>[1]Emp!F213</f>
        <v>1311299</v>
      </c>
      <c r="G9" s="3">
        <f>[1]Emp!G213</f>
        <v>0.96001786222985608</v>
      </c>
      <c r="H9" s="3">
        <f>[1]Emp!H213</f>
        <v>0.61885969590691825</v>
      </c>
    </row>
    <row r="10" spans="1:8" x14ac:dyDescent="0.3">
      <c r="A10" s="2">
        <f t="shared" si="0"/>
        <v>2018</v>
      </c>
      <c r="B10" s="3">
        <v>9</v>
      </c>
      <c r="C10" s="3">
        <f>[1]Emp!C214</f>
        <v>17388</v>
      </c>
      <c r="D10" s="3">
        <f>[1]Emp!D214</f>
        <v>0.77079107505071409</v>
      </c>
      <c r="E10" s="3">
        <f>[1]Emp!E214</f>
        <v>0.30378151717034818</v>
      </c>
      <c r="F10" s="3">
        <f>[1]Emp!F214</f>
        <v>1335474</v>
      </c>
      <c r="G10" s="3">
        <f>[1]Emp!G214</f>
        <v>1.469301044876814</v>
      </c>
      <c r="H10" s="3">
        <f>[1]Emp!H214</f>
        <v>0.53531118466854188</v>
      </c>
    </row>
    <row r="11" spans="1:8" x14ac:dyDescent="0.3">
      <c r="A11" s="2">
        <f t="shared" si="0"/>
        <v>2018</v>
      </c>
      <c r="B11" s="3">
        <v>10</v>
      </c>
      <c r="C11" s="3">
        <f>[1]Emp!C215</f>
        <v>17144</v>
      </c>
      <c r="D11" s="3">
        <f>[1]Emp!D215</f>
        <v>0.79962370649107051</v>
      </c>
      <c r="E11" s="3">
        <f>[1]Emp!E215</f>
        <v>0.23595023691670736</v>
      </c>
      <c r="F11" s="3">
        <f>[1]Emp!F215</f>
        <v>1320683</v>
      </c>
      <c r="G11" s="3">
        <f>[1]Emp!G215</f>
        <v>1.0854947680866589</v>
      </c>
      <c r="H11" s="3">
        <f>[1]Emp!H215</f>
        <v>0.44985445629066251</v>
      </c>
    </row>
    <row r="12" spans="1:8" x14ac:dyDescent="0.3">
      <c r="A12" s="2">
        <f t="shared" si="0"/>
        <v>2018</v>
      </c>
      <c r="B12" s="3">
        <v>11</v>
      </c>
      <c r="C12" s="3">
        <f>[1]Emp!C216</f>
        <v>17059</v>
      </c>
      <c r="D12" s="3">
        <f>[1]Emp!D216</f>
        <v>0.86920529801324253</v>
      </c>
      <c r="E12" s="3">
        <f>[1]Emp!E216</f>
        <v>0.1670183401742221</v>
      </c>
      <c r="F12" s="3">
        <f>[1]Emp!F216</f>
        <v>1324883</v>
      </c>
      <c r="G12" s="3">
        <f>[1]Emp!G216</f>
        <v>1.0013356223908865</v>
      </c>
      <c r="H12" s="3">
        <f>[1]Emp!H216</f>
        <v>0.36276158129668762</v>
      </c>
    </row>
    <row r="13" spans="1:8" x14ac:dyDescent="0.3">
      <c r="A13" s="2">
        <f t="shared" si="0"/>
        <v>2018</v>
      </c>
      <c r="B13" s="3">
        <v>12</v>
      </c>
      <c r="C13" s="3">
        <f>[1]Emp!C217</f>
        <v>16938</v>
      </c>
      <c r="D13" s="3">
        <f>[1]Emp!D217</f>
        <v>0.73148974130241573</v>
      </c>
      <c r="E13" s="3">
        <f>[1]Emp!E217</f>
        <v>9.7340716800723676E-2</v>
      </c>
      <c r="F13" s="3">
        <f>[1]Emp!F217</f>
        <v>1346629</v>
      </c>
      <c r="G13" s="3">
        <f>[1]Emp!G217</f>
        <v>1.5434023470755065</v>
      </c>
      <c r="H13" s="3">
        <f>[1]Emp!H217</f>
        <v>0.27434877189834378</v>
      </c>
    </row>
    <row r="14" spans="1:8" x14ac:dyDescent="0.3">
      <c r="A14" s="2">
        <v>2019</v>
      </c>
      <c r="B14" s="3">
        <v>1</v>
      </c>
      <c r="C14" s="3">
        <f>[1]Emp!C218</f>
        <v>16724</v>
      </c>
      <c r="D14" s="3">
        <f>[1]Emp!D218</f>
        <v>0.74698795180723199</v>
      </c>
      <c r="E14" s="3">
        <f>[1]Emp!E218</f>
        <v>2.732101963722661E-2</v>
      </c>
      <c r="F14" s="3">
        <f>[1]Emp!F218</f>
        <v>1326961</v>
      </c>
      <c r="G14" s="3">
        <f>[1]Emp!G218</f>
        <v>1.1200498680523641</v>
      </c>
      <c r="H14" s="3">
        <f>[1]Emp!H218</f>
        <v>0.18497658572687792</v>
      </c>
    </row>
    <row r="15" spans="1:8" x14ac:dyDescent="0.3">
      <c r="A15" s="2">
        <f>A14</f>
        <v>2019</v>
      </c>
      <c r="B15" s="3">
        <v>2</v>
      </c>
      <c r="C15" s="3">
        <f>[1]Emp!C219</f>
        <v>16838</v>
      </c>
      <c r="D15" s="3">
        <f>[1]Emp!D219</f>
        <v>1.202067556196651</v>
      </c>
      <c r="E15" s="3">
        <f>[1]Emp!E219</f>
        <v>-4.2593060348553036E-2</v>
      </c>
      <c r="F15" s="3">
        <f>[1]Emp!F219</f>
        <v>1324997</v>
      </c>
      <c r="G15" s="3">
        <f>[1]Emp!G219</f>
        <v>1.352853299635659</v>
      </c>
      <c r="H15" s="3">
        <f>[1]Emp!H219</f>
        <v>9.5093709134035503E-2</v>
      </c>
    </row>
    <row r="16" spans="1:8" x14ac:dyDescent="0.3">
      <c r="A16" s="2">
        <f t="shared" ref="A16:A25" si="1">A15</f>
        <v>2019</v>
      </c>
      <c r="B16" s="3">
        <v>3</v>
      </c>
      <c r="C16" s="3">
        <f>[1]Emp!C220</f>
        <v>17126</v>
      </c>
      <c r="D16" s="3">
        <f>[1]Emp!D220</f>
        <v>-0.16904692509472907</v>
      </c>
      <c r="E16" s="3">
        <f>[1]Emp!E220</f>
        <v>-0.11190385531860964</v>
      </c>
      <c r="F16" s="3">
        <f>[1]Emp!F220</f>
        <v>1337695</v>
      </c>
      <c r="G16" s="3">
        <f>[1]Emp!G220</f>
        <v>1.2176888352166459</v>
      </c>
      <c r="H16" s="3">
        <f>[1]Emp!H220</f>
        <v>5.213764116167887E-3</v>
      </c>
    </row>
    <row r="17" spans="1:8" x14ac:dyDescent="0.3">
      <c r="A17" s="2">
        <f t="shared" si="1"/>
        <v>2019</v>
      </c>
      <c r="B17" s="3">
        <v>4</v>
      </c>
      <c r="C17" s="3">
        <f>[1]Emp!C221</f>
        <v>17265</v>
      </c>
      <c r="D17" s="3">
        <f>[1]Emp!D221</f>
        <v>4.0560899293073938E-2</v>
      </c>
      <c r="E17" s="3">
        <f>[1]Emp!E221</f>
        <v>-0.18002726266989968</v>
      </c>
      <c r="F17" s="3">
        <f>[1]Emp!F221</f>
        <v>1338348</v>
      </c>
      <c r="G17" s="3">
        <f>[1]Emp!G221</f>
        <v>0.78991820667706492</v>
      </c>
      <c r="H17" s="3">
        <f>[1]Emp!H221</f>
        <v>-8.4062282914366515E-2</v>
      </c>
    </row>
    <row r="18" spans="1:8" x14ac:dyDescent="0.3">
      <c r="A18" s="2">
        <f t="shared" si="1"/>
        <v>2019</v>
      </c>
      <c r="B18" s="3">
        <v>5</v>
      </c>
      <c r="C18" s="3">
        <f>[1]Emp!C222</f>
        <v>17356</v>
      </c>
      <c r="D18" s="3">
        <f>[1]Emp!D222</f>
        <v>0.63199396996578283</v>
      </c>
      <c r="E18" s="3">
        <f>[1]Emp!E222</f>
        <v>-0.24638314806811415</v>
      </c>
      <c r="F18" s="3">
        <f>[1]Emp!F222</f>
        <v>1344083</v>
      </c>
      <c r="G18" s="3">
        <f>[1]Emp!G222</f>
        <v>0.69727055326136433</v>
      </c>
      <c r="H18" s="3">
        <f>[1]Emp!H222</f>
        <v>-0.17204926588749397</v>
      </c>
    </row>
    <row r="19" spans="1:8" x14ac:dyDescent="0.3">
      <c r="A19" s="2">
        <f t="shared" si="1"/>
        <v>2019</v>
      </c>
      <c r="B19" s="3">
        <v>6</v>
      </c>
      <c r="C19" s="3">
        <f>[1]Emp!C223</f>
        <v>17606</v>
      </c>
      <c r="D19" s="3">
        <f>[1]Emp!D223</f>
        <v>0.61146351220069395</v>
      </c>
      <c r="E19" s="3">
        <f>[1]Emp!E223</f>
        <v>-0.31037605855658545</v>
      </c>
      <c r="F19" s="3">
        <f>[1]Emp!F223</f>
        <v>1349325</v>
      </c>
      <c r="G19" s="3">
        <f>[1]Emp!G223</f>
        <v>0.49370818115195281</v>
      </c>
      <c r="H19" s="3">
        <f>[1]Emp!H223</f>
        <v>-0.2580013256435858</v>
      </c>
    </row>
    <row r="20" spans="1:8" x14ac:dyDescent="0.3">
      <c r="A20" s="2">
        <f t="shared" si="1"/>
        <v>2019</v>
      </c>
      <c r="B20" s="3">
        <v>7</v>
      </c>
      <c r="C20" s="3">
        <f>[1]Emp!C224</f>
        <v>17800</v>
      </c>
      <c r="D20" s="3">
        <f>[1]Emp!D224</f>
        <v>0.20265705922088983</v>
      </c>
      <c r="E20" s="3">
        <f>[1]Emp!E224</f>
        <v>-0.37134954276767146</v>
      </c>
      <c r="F20" s="3">
        <f>[1]Emp!F224</f>
        <v>1328629</v>
      </c>
      <c r="G20" s="3">
        <f>[1]Emp!G224</f>
        <v>0.20997929622241784</v>
      </c>
      <c r="H20" s="3">
        <f>[1]Emp!H224</f>
        <v>-0.34111223359112797</v>
      </c>
    </row>
    <row r="21" spans="1:8" x14ac:dyDescent="0.3">
      <c r="A21" s="2">
        <f t="shared" si="1"/>
        <v>2019</v>
      </c>
      <c r="B21" s="3">
        <v>8</v>
      </c>
      <c r="C21" s="3">
        <f>[1]Emp!C225</f>
        <v>17752</v>
      </c>
      <c r="D21" s="3">
        <f>[1]Emp!D225</f>
        <v>0.93245394587218033</v>
      </c>
      <c r="E21" s="3">
        <f>[1]Emp!E225</f>
        <v>-0.42858313269687193</v>
      </c>
      <c r="F21" s="3">
        <f>[1]Emp!F225</f>
        <v>1323342</v>
      </c>
      <c r="G21" s="3">
        <f>[1]Emp!G225</f>
        <v>0.91840228658757184</v>
      </c>
      <c r="H21" s="3">
        <f>[1]Emp!H225</f>
        <v>-0.42052355908952344</v>
      </c>
    </row>
    <row r="22" spans="1:8" x14ac:dyDescent="0.3">
      <c r="A22" s="2">
        <f t="shared" si="1"/>
        <v>2019</v>
      </c>
      <c r="B22" s="3">
        <v>9</v>
      </c>
      <c r="C22" s="3">
        <f>[1]Emp!C226</f>
        <v>17217</v>
      </c>
      <c r="D22" s="3">
        <f>[1]Emp!D226</f>
        <v>-0.98343685300207317</v>
      </c>
      <c r="E22" s="3">
        <f>[1]Emp!E226</f>
        <v>-0.48131649877010413</v>
      </c>
      <c r="F22" s="3">
        <f>[1]Emp!F226</f>
        <v>1327869</v>
      </c>
      <c r="G22" s="3">
        <f>[1]Emp!G226</f>
        <v>-0.56946073079670034</v>
      </c>
      <c r="H22" s="3">
        <f>[1]Emp!H226</f>
        <v>-0.49533860125304935</v>
      </c>
    </row>
    <row r="23" spans="1:8" x14ac:dyDescent="0.3">
      <c r="A23" s="2">
        <f t="shared" si="1"/>
        <v>2019</v>
      </c>
      <c r="B23" s="3">
        <v>10</v>
      </c>
      <c r="C23" s="3">
        <f>[1]Emp!C227</f>
        <v>17072</v>
      </c>
      <c r="D23" s="3">
        <f>[1]Emp!D227</f>
        <v>-0.41997200186654204</v>
      </c>
      <c r="E23" s="3">
        <f>[1]Emp!E227</f>
        <v>-0.52869479494949589</v>
      </c>
      <c r="F23" s="3">
        <f>[1]Emp!F227</f>
        <v>1318915</v>
      </c>
      <c r="G23" s="3">
        <f>[1]Emp!G227</f>
        <v>-0.13387012629071382</v>
      </c>
      <c r="H23" s="3">
        <f>[1]Emp!H227</f>
        <v>-0.56456767823447751</v>
      </c>
    </row>
    <row r="24" spans="1:8" x14ac:dyDescent="0.3">
      <c r="A24" s="2">
        <f t="shared" si="1"/>
        <v>2019</v>
      </c>
      <c r="B24" s="3">
        <v>11</v>
      </c>
      <c r="C24" s="3">
        <f>[1]Emp!C228</f>
        <v>17062</v>
      </c>
      <c r="D24" s="3">
        <f>[1]Emp!D228</f>
        <v>1.7586024972149339E-2</v>
      </c>
      <c r="E24" s="3">
        <f>[1]Emp!E228</f>
        <v>-0.56989804466621885</v>
      </c>
      <c r="F24" s="3">
        <f>[1]Emp!F228</f>
        <v>1332983</v>
      </c>
      <c r="G24" s="3">
        <f>[1]Emp!G228</f>
        <v>0.61137474026007332</v>
      </c>
      <c r="H24" s="3">
        <f>[1]Emp!H228</f>
        <v>-0.62722625555668687</v>
      </c>
    </row>
    <row r="25" spans="1:8" x14ac:dyDescent="0.3">
      <c r="A25" s="2">
        <f t="shared" si="1"/>
        <v>2019</v>
      </c>
      <c r="B25" s="3">
        <v>12</v>
      </c>
      <c r="C25" s="3">
        <f>[1]Emp!C229</f>
        <v>16838</v>
      </c>
      <c r="D25" s="3">
        <f>[1]Emp!D229</f>
        <v>-0.59038847561695418</v>
      </c>
      <c r="E25" s="3">
        <f>[1]Emp!E229</f>
        <v>-0.60409872115748076</v>
      </c>
      <c r="F25" s="3">
        <f>[1]Emp!F229</f>
        <v>1340415</v>
      </c>
      <c r="G25" s="3">
        <f>[1]Emp!G229</f>
        <v>-0.46144855041737598</v>
      </c>
      <c r="H25" s="3">
        <f>[1]Emp!H229</f>
        <v>-0.68229988919033824</v>
      </c>
    </row>
    <row r="26" spans="1:8" x14ac:dyDescent="0.3">
      <c r="A26" s="2">
        <v>2020</v>
      </c>
      <c r="B26" s="3">
        <v>1</v>
      </c>
      <c r="C26" s="3">
        <f>[1]Emp!C230</f>
        <v>16730</v>
      </c>
      <c r="D26" s="3">
        <f>[1]Emp!D230</f>
        <v>3.5876584549154877E-2</v>
      </c>
      <c r="E26" s="3">
        <f>[1]Emp!E230</f>
        <v>-0.63042850015565322</v>
      </c>
      <c r="F26" s="3">
        <f>[1]Emp!F230</f>
        <v>1318325</v>
      </c>
      <c r="G26" s="3">
        <f>[1]Emp!G230</f>
        <v>-0.6508103855350722</v>
      </c>
      <c r="H26" s="3">
        <f>[1]Emp!H230</f>
        <v>-0.72868812114804959</v>
      </c>
    </row>
    <row r="27" spans="1:8" x14ac:dyDescent="0.3">
      <c r="A27" s="2">
        <f>A26</f>
        <v>2020</v>
      </c>
      <c r="B27" s="3">
        <v>2</v>
      </c>
      <c r="C27" s="3">
        <f>[1]Emp!C231</f>
        <v>16893</v>
      </c>
      <c r="D27" s="3">
        <f>[1]Emp!D231</f>
        <v>0.32664211901651807</v>
      </c>
      <c r="E27" s="3">
        <f>[1]Emp!E231</f>
        <v>-0.64801810529272319</v>
      </c>
      <c r="F27" s="3">
        <f>[1]Emp!F231</f>
        <v>1324427</v>
      </c>
      <c r="G27" s="3">
        <f>[1]Emp!G231</f>
        <v>-4.301896532595828E-2</v>
      </c>
      <c r="H27" s="3">
        <f>[1]Emp!H231</f>
        <v>-0.76527515654391287</v>
      </c>
    </row>
    <row r="28" spans="1:8" x14ac:dyDescent="0.3">
      <c r="A28" s="2">
        <f t="shared" ref="A28:A37" si="2">A27</f>
        <v>2020</v>
      </c>
      <c r="B28" s="3">
        <v>3</v>
      </c>
      <c r="C28" s="3">
        <f>[1]Emp!C232</f>
        <v>16150</v>
      </c>
      <c r="D28" s="3">
        <f>[1]Emp!D232</f>
        <v>-5.6989372883335276</v>
      </c>
      <c r="E28" s="3">
        <f>[1]Emp!E232</f>
        <v>-0.65595198901423968</v>
      </c>
      <c r="F28" s="3">
        <f>[1]Emp!F232</f>
        <v>1238554</v>
      </c>
      <c r="G28" s="3">
        <f>[1]Emp!G232</f>
        <v>-7.4113306844983295</v>
      </c>
      <c r="H28" s="3">
        <f>[1]Emp!H232</f>
        <v>-0.79093979231593581</v>
      </c>
    </row>
    <row r="29" spans="1:8" x14ac:dyDescent="0.3">
      <c r="A29" s="2">
        <f t="shared" si="2"/>
        <v>2020</v>
      </c>
      <c r="B29" s="3">
        <v>4</v>
      </c>
      <c r="C29" s="3">
        <f>[1]Emp!C233</f>
        <v>16053</v>
      </c>
      <c r="D29" s="3">
        <f>[1]Emp!D233</f>
        <v>-7.0199826238053875</v>
      </c>
      <c r="E29" s="3">
        <f>[1]Emp!E233</f>
        <v>-0.65324691902795251</v>
      </c>
      <c r="F29" s="3">
        <f>[1]Emp!F233</f>
        <v>1233187</v>
      </c>
      <c r="G29" s="3">
        <f>[1]Emp!G233</f>
        <v>-7.8575228565365691</v>
      </c>
      <c r="H29" s="3">
        <f>[1]Emp!H233</f>
        <v>-0.80451066872218058</v>
      </c>
    </row>
    <row r="30" spans="1:8" x14ac:dyDescent="0.3">
      <c r="A30" s="2">
        <f t="shared" si="2"/>
        <v>2020</v>
      </c>
      <c r="B30" s="3">
        <v>5</v>
      </c>
      <c r="C30" s="3">
        <f>[1]Emp!C234</f>
        <v>16366</v>
      </c>
      <c r="D30" s="3">
        <f>[1]Emp!D234</f>
        <v>-5.7040792809403111</v>
      </c>
      <c r="E30" s="3">
        <f>[1]Emp!E234</f>
        <v>-0.63926987035406424</v>
      </c>
      <c r="F30" s="3">
        <f>[1]Emp!F234</f>
        <v>1259417</v>
      </c>
      <c r="G30" s="3">
        <f>[1]Emp!G234</f>
        <v>-6.2991645605219304</v>
      </c>
      <c r="H30" s="3">
        <f>[1]Emp!H234</f>
        <v>-0.80527617538822183</v>
      </c>
    </row>
    <row r="31" spans="1:8" x14ac:dyDescent="0.3">
      <c r="A31" s="2">
        <f t="shared" si="2"/>
        <v>2020</v>
      </c>
      <c r="B31" s="3">
        <v>6</v>
      </c>
      <c r="C31" s="3">
        <f>[1]Emp!C235</f>
        <v>16748</v>
      </c>
      <c r="D31" s="3">
        <f>[1]Emp!D235</f>
        <v>-4.8733386345564007</v>
      </c>
      <c r="E31" s="3">
        <f>[1]Emp!E235</f>
        <v>-0.61382995243672023</v>
      </c>
      <c r="F31" s="3">
        <f>[1]Emp!F235</f>
        <v>1273339</v>
      </c>
      <c r="G31" s="3">
        <f>[1]Emp!G235</f>
        <v>-5.6314082967409584</v>
      </c>
      <c r="H31" s="3">
        <f>[1]Emp!H235</f>
        <v>-0.79301449445267702</v>
      </c>
    </row>
    <row r="32" spans="1:8" x14ac:dyDescent="0.3">
      <c r="A32" s="2">
        <f t="shared" si="2"/>
        <v>2020</v>
      </c>
      <c r="B32" s="3">
        <v>7</v>
      </c>
      <c r="C32" s="3">
        <f>[1]Emp!C236</f>
        <v>17310</v>
      </c>
      <c r="D32" s="3">
        <f>[1]Emp!D236</f>
        <v>-2.7528089887640439</v>
      </c>
      <c r="E32" s="3">
        <f>[1]Emp!E236</f>
        <v>-0.57708799759580109</v>
      </c>
      <c r="F32" s="3">
        <f>[1]Emp!F236</f>
        <v>1282346</v>
      </c>
      <c r="G32" s="3">
        <f>[1]Emp!G236</f>
        <v>-3.4835157143190409</v>
      </c>
      <c r="H32" s="3">
        <f>[1]Emp!H236</f>
        <v>-0.76788532808090904</v>
      </c>
    </row>
    <row r="33" spans="1:8" x14ac:dyDescent="0.3">
      <c r="A33" s="2">
        <f t="shared" si="2"/>
        <v>2020</v>
      </c>
      <c r="B33" s="3">
        <v>8</v>
      </c>
      <c r="C33" s="3">
        <f>[1]Emp!C237</f>
        <v>17166</v>
      </c>
      <c r="D33" s="3">
        <f>[1]Emp!D237</f>
        <v>-3.3010365029292443</v>
      </c>
      <c r="E33" s="3">
        <f>[1]Emp!E237</f>
        <v>-0.52950063736522357</v>
      </c>
      <c r="F33" s="3">
        <f>[1]Emp!F237</f>
        <v>1276979</v>
      </c>
      <c r="G33" s="3">
        <f>[1]Emp!G237</f>
        <v>-3.5034783147515958</v>
      </c>
      <c r="H33" s="3">
        <f>[1]Emp!H237</f>
        <v>-0.73038437800788403</v>
      </c>
    </row>
    <row r="34" spans="1:8" x14ac:dyDescent="0.3">
      <c r="A34" s="2">
        <f t="shared" si="2"/>
        <v>2020</v>
      </c>
      <c r="B34" s="3">
        <v>9</v>
      </c>
      <c r="C34" s="3">
        <f>[1]Emp!C238</f>
        <v>16782</v>
      </c>
      <c r="D34" s="3">
        <f>[1]Emp!D238</f>
        <v>-2.5265725736191014</v>
      </c>
      <c r="E34" s="3">
        <f>[1]Emp!E238</f>
        <v>-0.47167559501440215</v>
      </c>
      <c r="F34" s="3">
        <f>[1]Emp!F238</f>
        <v>1286659</v>
      </c>
      <c r="G34" s="3">
        <f>[1]Emp!G238</f>
        <v>-3.1034687909726077</v>
      </c>
      <c r="H34" s="3">
        <f>[1]Emp!H238</f>
        <v>-0.68119593141205703</v>
      </c>
    </row>
    <row r="35" spans="1:8" x14ac:dyDescent="0.3">
      <c r="A35" s="2">
        <f t="shared" si="2"/>
        <v>2020</v>
      </c>
      <c r="B35" s="3">
        <v>10</v>
      </c>
      <c r="C35" s="3">
        <f>[1]Emp!C239</f>
        <v>16788</v>
      </c>
      <c r="D35" s="3">
        <f>[1]Emp!D239</f>
        <v>-1.6635426429240874</v>
      </c>
      <c r="E35" s="3">
        <f>[1]Emp!E239</f>
        <v>-0.40441306158119328</v>
      </c>
      <c r="F35" s="3">
        <f>[1]Emp!F239</f>
        <v>1286436</v>
      </c>
      <c r="G35" s="3">
        <f>[1]Emp!G239</f>
        <v>-2.462554448163834</v>
      </c>
      <c r="H35" s="3">
        <f>[1]Emp!H239</f>
        <v>-0.62119685143971237</v>
      </c>
    </row>
    <row r="36" spans="1:8" x14ac:dyDescent="0.3">
      <c r="A36" s="2">
        <f t="shared" si="2"/>
        <v>2020</v>
      </c>
      <c r="B36" s="3">
        <v>11</v>
      </c>
      <c r="C36" s="3">
        <f>[1]Emp!C240</f>
        <v>16504</v>
      </c>
      <c r="D36" s="3">
        <f>[1]Emp!D240</f>
        <v>-3.2704255069745614</v>
      </c>
      <c r="E36" s="3">
        <f>[1]Emp!E240</f>
        <v>-0.32865592928252318</v>
      </c>
      <c r="F36" s="3">
        <f>[1]Emp!F240</f>
        <v>1287803</v>
      </c>
      <c r="G36" s="3">
        <f>[1]Emp!G240</f>
        <v>-3.3893905623702647</v>
      </c>
      <c r="H36" s="3">
        <f>[1]Emp!H240</f>
        <v>-0.55143221463015957</v>
      </c>
    </row>
    <row r="37" spans="1:8" x14ac:dyDescent="0.3">
      <c r="A37" s="2">
        <f t="shared" si="2"/>
        <v>2020</v>
      </c>
      <c r="B37" s="3">
        <v>12</v>
      </c>
      <c r="C37" s="3">
        <f>[1]Emp!C241</f>
        <v>16289</v>
      </c>
      <c r="D37" s="3">
        <f>[1]Emp!D241</f>
        <v>-3.2604822425466251</v>
      </c>
      <c r="E37" s="3">
        <f>[1]Emp!E241</f>
        <v>-0.24543452988957806</v>
      </c>
      <c r="F37" s="3">
        <f>[1]Emp!F241</f>
        <v>1295656</v>
      </c>
      <c r="G37" s="3">
        <f>[1]Emp!G241</f>
        <v>-3.3391897285542149</v>
      </c>
      <c r="H37" s="3">
        <f>[1]Emp!H241</f>
        <v>-0.47307496957803624</v>
      </c>
    </row>
    <row r="38" spans="1:8" x14ac:dyDescent="0.3">
      <c r="A38" s="2">
        <v>2021</v>
      </c>
      <c r="B38" s="3">
        <v>1</v>
      </c>
      <c r="C38" s="3">
        <f>[1]Emp!C242</f>
        <v>16154</v>
      </c>
      <c r="D38" s="3">
        <f>[1]Emp!D242</f>
        <v>-3.4429169157202621</v>
      </c>
      <c r="E38" s="3">
        <f>[1]Emp!E242</f>
        <v>-0.15598348472755039</v>
      </c>
      <c r="F38" s="3">
        <f>[1]Emp!F242</f>
        <v>1282944</v>
      </c>
      <c r="G38" s="3">
        <f>[1]Emp!G242</f>
        <v>-2.6837843475622458</v>
      </c>
      <c r="H38" s="3">
        <f>[1]Emp!H242</f>
        <v>-0.38749514531879514</v>
      </c>
    </row>
    <row r="39" spans="1:8" x14ac:dyDescent="0.3">
      <c r="A39" s="2">
        <f>A38</f>
        <v>2021</v>
      </c>
      <c r="B39" s="3">
        <v>2</v>
      </c>
      <c r="C39" s="3">
        <f>[1]Emp!C243</f>
        <v>16239</v>
      </c>
      <c r="D39" s="3">
        <f>[1]Emp!D243</f>
        <v>-3.8714260344521412</v>
      </c>
      <c r="E39" s="3">
        <f>[1]Emp!E243</f>
        <v>-6.1746793435011653E-2</v>
      </c>
      <c r="F39" s="3">
        <f>[1]Emp!F243</f>
        <v>1276090</v>
      </c>
      <c r="G39" s="3">
        <f>[1]Emp!G243</f>
        <v>-3.6496537748022306</v>
      </c>
      <c r="H39" s="3">
        <f>[1]Emp!H243</f>
        <v>-0.29626180663504009</v>
      </c>
    </row>
    <row r="40" spans="1:8" x14ac:dyDescent="0.3">
      <c r="A40" s="2">
        <f t="shared" ref="A40:A49" si="3">A39</f>
        <v>2021</v>
      </c>
      <c r="B40" s="3">
        <v>3</v>
      </c>
      <c r="C40" s="3">
        <f>[1]Emp!C244</f>
        <v>16508</v>
      </c>
      <c r="D40" s="3">
        <f>[1]Emp!D244</f>
        <v>2.2167182662538698</v>
      </c>
      <c r="E40" s="3">
        <f>[1]Emp!E244</f>
        <v>3.5603285083425515E-2</v>
      </c>
      <c r="F40" s="3">
        <f>[1]Emp!F244</f>
        <v>1275175</v>
      </c>
      <c r="G40" s="3">
        <f>[1]Emp!G244</f>
        <v>2.9567544087702347</v>
      </c>
      <c r="H40" s="3">
        <f>[1]Emp!H244</f>
        <v>-0.20110348283730853</v>
      </c>
    </row>
    <row r="41" spans="1:8" x14ac:dyDescent="0.3">
      <c r="A41" s="2">
        <f t="shared" si="3"/>
        <v>2021</v>
      </c>
      <c r="B41" s="3">
        <v>4</v>
      </c>
      <c r="C41" s="3">
        <f>[1]Emp!C245</f>
        <v>16613</v>
      </c>
      <c r="D41" s="3">
        <f>[1]Emp!D245</f>
        <v>3.4884445275026543</v>
      </c>
      <c r="E41" s="3">
        <f>[1]Emp!E245</f>
        <v>0.13412993086474448</v>
      </c>
      <c r="F41" s="3">
        <f>[1]Emp!F245</f>
        <v>1285054</v>
      </c>
      <c r="G41" s="3">
        <f>[1]Emp!G245</f>
        <v>4.2059314605165321</v>
      </c>
      <c r="H41" s="3">
        <f>[1]Emp!H245</f>
        <v>-0.10398157767837174</v>
      </c>
    </row>
    <row r="42" spans="1:8" x14ac:dyDescent="0.3">
      <c r="A42" s="2">
        <f t="shared" si="3"/>
        <v>2021</v>
      </c>
      <c r="B42" s="3">
        <v>5</v>
      </c>
      <c r="C42" s="3">
        <f>[1]Emp!C246</f>
        <v>16863</v>
      </c>
      <c r="D42" s="3">
        <f>[1]Emp!D246</f>
        <v>3.0367835757057371</v>
      </c>
      <c r="E42" s="3">
        <f>[1]Emp!E246</f>
        <v>0.23204779026406544</v>
      </c>
      <c r="F42" s="3">
        <f>[1]Emp!F246</f>
        <v>1298848</v>
      </c>
      <c r="G42" s="3">
        <f>[1]Emp!G246</f>
        <v>3.130893103713861</v>
      </c>
      <c r="H42" s="3">
        <f>[1]Emp!H246</f>
        <v>-6.6381992240838262E-3</v>
      </c>
    </row>
    <row r="43" spans="1:8" x14ac:dyDescent="0.3">
      <c r="A43" s="2">
        <f t="shared" si="3"/>
        <v>2021</v>
      </c>
      <c r="B43" s="3">
        <v>6</v>
      </c>
      <c r="C43" s="3">
        <f>[1]Emp!C247</f>
        <v>17238</v>
      </c>
      <c r="D43" s="3">
        <f>[1]Emp!D247</f>
        <v>2.9257224743252985</v>
      </c>
      <c r="E43" s="3">
        <f>[1]Emp!E247</f>
        <v>0.32780444815016402</v>
      </c>
      <c r="F43" s="3">
        <f>[1]Emp!F247</f>
        <v>1306988</v>
      </c>
      <c r="G43" s="3">
        <f>[1]Emp!G247</f>
        <v>2.6425798628644914</v>
      </c>
      <c r="H43" s="3">
        <f>[1]Emp!H247</f>
        <v>8.9483843976242441E-2</v>
      </c>
    </row>
    <row r="44" spans="1:8" x14ac:dyDescent="0.3">
      <c r="A44" s="2">
        <f t="shared" si="3"/>
        <v>2021</v>
      </c>
      <c r="B44" s="3">
        <v>7</v>
      </c>
      <c r="C44" s="3">
        <f>[1]Emp!C248</f>
        <v>17716</v>
      </c>
      <c r="D44" s="3">
        <f>[1]Emp!D248</f>
        <v>2.3454650491045559</v>
      </c>
      <c r="E44" s="3">
        <f>[1]Emp!E248</f>
        <v>0.42004226271024919</v>
      </c>
      <c r="F44" s="3">
        <f>[1]Emp!F248</f>
        <v>1312466</v>
      </c>
      <c r="G44" s="3">
        <f>[1]Emp!G248</f>
        <v>2.34882005324617</v>
      </c>
      <c r="H44" s="3">
        <f>[1]Emp!H248</f>
        <v>0.18315962749155384</v>
      </c>
    </row>
    <row r="45" spans="1:8" x14ac:dyDescent="0.3">
      <c r="A45" s="2">
        <f t="shared" si="3"/>
        <v>2021</v>
      </c>
      <c r="B45" s="3">
        <v>8</v>
      </c>
      <c r="C45" s="3">
        <f>[1]Emp!C249</f>
        <v>17518</v>
      </c>
      <c r="D45" s="3">
        <f>[1]Emp!D249</f>
        <v>2.050565070488175</v>
      </c>
      <c r="E45" s="3">
        <f>[1]Emp!E249</f>
        <v>0.50758400310556995</v>
      </c>
      <c r="F45" s="3">
        <f>[1]Emp!F249</f>
        <v>1296788</v>
      </c>
      <c r="G45" s="3">
        <f>[1]Emp!G249</f>
        <v>1.5512392921105178</v>
      </c>
      <c r="H45" s="3">
        <f>[1]Emp!H249</f>
        <v>0.27334152522544219</v>
      </c>
    </row>
    <row r="46" spans="1:8" x14ac:dyDescent="0.3">
      <c r="A46" s="2">
        <f t="shared" si="3"/>
        <v>2021</v>
      </c>
      <c r="B46" s="3">
        <v>9</v>
      </c>
      <c r="C46" s="3">
        <f>[1]Emp!C250</f>
        <v>17162</v>
      </c>
      <c r="D46" s="3">
        <f>[1]Emp!D250</f>
        <v>2.264330830651895</v>
      </c>
      <c r="E46" s="3">
        <f>[1]Emp!E250</f>
        <v>0.589386148413097</v>
      </c>
      <c r="F46" s="3">
        <f>[1]Emp!F250</f>
        <v>1309569</v>
      </c>
      <c r="G46" s="3">
        <f>[1]Emp!G250</f>
        <v>1.7805805578634315</v>
      </c>
      <c r="H46" s="3">
        <f>[1]Emp!H250</f>
        <v>0.35913230416662112</v>
      </c>
    </row>
    <row r="47" spans="1:8" x14ac:dyDescent="0.3">
      <c r="A47" s="2">
        <f t="shared" si="3"/>
        <v>2021</v>
      </c>
      <c r="B47" s="3">
        <v>10</v>
      </c>
      <c r="C47" s="3">
        <f>[1]Emp!C251</f>
        <v>17225</v>
      </c>
      <c r="D47" s="3">
        <f>[1]Emp!D251</f>
        <v>2.6030497974743882</v>
      </c>
      <c r="E47" s="3">
        <f>[1]Emp!E251</f>
        <v>0.66451232917281378</v>
      </c>
      <c r="F47" s="3">
        <f>[1]Emp!F251</f>
        <v>1318777</v>
      </c>
      <c r="G47" s="3">
        <f>[1]Emp!G251</f>
        <v>2.5139999191564844</v>
      </c>
      <c r="H47" s="3">
        <f>[1]Emp!H251</f>
        <v>0.43972347420428243</v>
      </c>
    </row>
    <row r="48" spans="1:8" x14ac:dyDescent="0.3">
      <c r="A48" s="2">
        <f t="shared" si="3"/>
        <v>2021</v>
      </c>
      <c r="B48" s="3">
        <v>11</v>
      </c>
      <c r="C48" s="3">
        <f>[1]Emp!C252</f>
        <v>17035</v>
      </c>
      <c r="D48" s="3">
        <f>[1]Emp!D252</f>
        <v>3.2174018419776962</v>
      </c>
      <c r="E48" s="3">
        <f>[1]Emp!E252</f>
        <v>0.73214249152763688</v>
      </c>
      <c r="F48" s="3">
        <f>[1]Emp!F252</f>
        <v>1322440</v>
      </c>
      <c r="G48" s="3">
        <f>[1]Emp!G252</f>
        <v>2.6896194526647266</v>
      </c>
      <c r="H48" s="3">
        <f>[1]Emp!H252</f>
        <v>0.51440525691190231</v>
      </c>
    </row>
    <row r="49" spans="1:8" x14ac:dyDescent="0.3">
      <c r="A49" s="2">
        <f t="shared" si="3"/>
        <v>2021</v>
      </c>
      <c r="B49" s="3">
        <v>12</v>
      </c>
      <c r="C49" s="3">
        <f>[1]Emp!C253</f>
        <v>16949</v>
      </c>
      <c r="D49" s="3">
        <f>[1]Emp!D253</f>
        <v>4.0518141076800296</v>
      </c>
      <c r="E49" s="3">
        <f>[1]Emp!E253</f>
        <v>0.79159120227800384</v>
      </c>
      <c r="F49" s="3">
        <f>[1]Emp!F253</f>
        <v>1332390</v>
      </c>
      <c r="G49" s="3">
        <f>[1]Emp!G253</f>
        <v>2.8351661243416482</v>
      </c>
      <c r="H49" s="3">
        <f>[1]Emp!H253</f>
        <v>0.58261192083830082</v>
      </c>
    </row>
    <row r="50" spans="1:8" x14ac:dyDescent="0.3">
      <c r="A50" s="2">
        <v>2022</v>
      </c>
      <c r="B50" s="3">
        <v>1</v>
      </c>
      <c r="C50" s="3">
        <f>[1]Emp!C254</f>
        <v>16784</v>
      </c>
      <c r="D50" s="3">
        <f>[1]Emp!D254</f>
        <v>3.8999628574965861</v>
      </c>
      <c r="E50" s="3">
        <f>[1]Emp!E254</f>
        <v>0.84234561567924449</v>
      </c>
      <c r="F50" s="3">
        <f>[1]Emp!F254</f>
        <v>1312611</v>
      </c>
      <c r="G50" s="3">
        <f>[1]Emp!G254</f>
        <v>2.3124158186171861</v>
      </c>
      <c r="H50" s="3">
        <f>[1]Emp!H254</f>
        <v>0.64392879107366985</v>
      </c>
    </row>
    <row r="51" spans="1:8" x14ac:dyDescent="0.3">
      <c r="A51" s="2">
        <f>A50</f>
        <v>2022</v>
      </c>
      <c r="B51" s="3">
        <v>2</v>
      </c>
      <c r="C51" s="3">
        <f>[1]Emp!C255</f>
        <v>16905</v>
      </c>
      <c r="D51" s="3">
        <f>[1]Emp!D255</f>
        <v>4.1012377609458639</v>
      </c>
      <c r="E51" s="3">
        <f>[1]Emp!E255</f>
        <v>0.8841192903551196</v>
      </c>
      <c r="F51" s="3">
        <f>[1]Emp!F255</f>
        <v>1314146</v>
      </c>
      <c r="G51" s="3">
        <f>[1]Emp!G255</f>
        <v>2.9822347953514239</v>
      </c>
      <c r="H51" s="3">
        <f>[1]Emp!H255</f>
        <v>0.69809762008344456</v>
      </c>
    </row>
    <row r="52" spans="1:8" x14ac:dyDescent="0.3">
      <c r="A52" s="2">
        <f t="shared" ref="A52:A61" si="4">A51</f>
        <v>2022</v>
      </c>
      <c r="B52" s="3">
        <v>3</v>
      </c>
      <c r="C52" s="3">
        <f>[1]Emp!C256</f>
        <v>17087</v>
      </c>
      <c r="D52" s="3">
        <f>[1]Emp!D256</f>
        <v>3.5073903561909425</v>
      </c>
      <c r="E52" s="3">
        <f>[1]Emp!E256</f>
        <v>0.91683811946007154</v>
      </c>
      <c r="F52" s="3">
        <f>[1]Emp!F256</f>
        <v>1313307</v>
      </c>
      <c r="G52" s="3">
        <f>[1]Emp!G256</f>
        <v>2.9903346599486236</v>
      </c>
      <c r="H52" s="3">
        <f>[1]Emp!H256</f>
        <v>0.74497602748775071</v>
      </c>
    </row>
    <row r="53" spans="1:8" x14ac:dyDescent="0.3">
      <c r="A53" s="2">
        <f t="shared" si="4"/>
        <v>2022</v>
      </c>
      <c r="B53" s="3">
        <v>4</v>
      </c>
      <c r="C53" s="3">
        <f>[1]Emp!C257</f>
        <v>17392</v>
      </c>
      <c r="D53" s="3">
        <f>[1]Emp!D257</f>
        <v>4.6890988984530146</v>
      </c>
      <c r="E53" s="3">
        <f>[1]Emp!E257</f>
        <v>0.94065140715344497</v>
      </c>
      <c r="F53" s="3">
        <f>[1]Emp!F257</f>
        <v>1330423</v>
      </c>
      <c r="G53" s="3">
        <f>[1]Emp!G257</f>
        <v>3.5305131146239788</v>
      </c>
      <c r="H53" s="3">
        <f>[1]Emp!H257</f>
        <v>0.7845802535438855</v>
      </c>
    </row>
    <row r="54" spans="1:8" x14ac:dyDescent="0.3">
      <c r="A54" s="2">
        <f t="shared" si="4"/>
        <v>2022</v>
      </c>
      <c r="B54" s="3">
        <v>5</v>
      </c>
      <c r="C54" s="3">
        <f>[1]Emp!C258</f>
        <v>17360</v>
      </c>
      <c r="D54" s="3">
        <f>[1]Emp!D258</f>
        <v>2.9472810294728147</v>
      </c>
      <c r="E54" s="3">
        <f>[1]Emp!E258</f>
        <v>0.9558883570554686</v>
      </c>
      <c r="F54" s="3">
        <f>[1]Emp!F258</f>
        <v>1332413</v>
      </c>
      <c r="G54" s="3">
        <f>[1]Emp!G258</f>
        <v>2.5842130872896663</v>
      </c>
      <c r="H54" s="3">
        <f>[1]Emp!H258</f>
        <v>0.81708246619195579</v>
      </c>
    </row>
    <row r="55" spans="1:8" x14ac:dyDescent="0.3">
      <c r="A55" s="2">
        <f t="shared" si="4"/>
        <v>2022</v>
      </c>
      <c r="B55" s="3">
        <v>6</v>
      </c>
      <c r="C55" s="3">
        <f>[1]Emp!C259</f>
        <v>17492</v>
      </c>
      <c r="D55" s="3">
        <f>[1]Emp!D259</f>
        <v>1.473488803805556</v>
      </c>
      <c r="E55" s="3">
        <f>[1]Emp!E259</f>
        <v>0.96313848163993365</v>
      </c>
      <c r="F55" s="3">
        <f>[1]Emp!F259</f>
        <v>1327991</v>
      </c>
      <c r="G55" s="3">
        <f>[1]Emp!G259</f>
        <v>1.6069772637545165</v>
      </c>
      <c r="H55" s="3">
        <f>[1]Emp!H259</f>
        <v>0.84284552315408801</v>
      </c>
    </row>
    <row r="56" spans="1:8" x14ac:dyDescent="0.3">
      <c r="A56" s="2">
        <f t="shared" si="4"/>
        <v>2022</v>
      </c>
      <c r="B56" s="3">
        <v>7</v>
      </c>
      <c r="C56" s="3">
        <f>[1]Emp!C260</f>
        <v>17833</v>
      </c>
      <c r="D56" s="3">
        <f>[1]Emp!D260</f>
        <v>0.66041995935877118</v>
      </c>
      <c r="E56" s="3">
        <f>[1]Emp!E260</f>
        <v>0.96312958453843811</v>
      </c>
      <c r="F56" s="3">
        <f>[1]Emp!F260</f>
        <v>1327434</v>
      </c>
      <c r="G56" s="3">
        <f>[1]Emp!G260</f>
        <v>1.1404485906682638</v>
      </c>
      <c r="H56" s="3">
        <f>[1]Emp!H260</f>
        <v>0.8623549995566514</v>
      </c>
    </row>
    <row r="57" spans="1:8" x14ac:dyDescent="0.3">
      <c r="A57" s="2">
        <f t="shared" si="4"/>
        <v>2022</v>
      </c>
      <c r="B57" s="3">
        <v>8</v>
      </c>
      <c r="C57" s="3">
        <f>[1]Emp!C261</f>
        <v>17612</v>
      </c>
      <c r="D57" s="3">
        <f>[1]Emp!D261</f>
        <v>0.53659093503823918</v>
      </c>
      <c r="E57" s="3">
        <f>[1]Emp!E261</f>
        <v>0.95662491037717468</v>
      </c>
      <c r="F57" s="3">
        <f>[1]Emp!F261</f>
        <v>1310699</v>
      </c>
      <c r="G57" s="3">
        <f>[1]Emp!G261</f>
        <v>1.0727273848925245</v>
      </c>
      <c r="H57" s="3">
        <f>[1]Emp!H261</f>
        <v>0.87614953523022354</v>
      </c>
    </row>
    <row r="58" spans="1:8" x14ac:dyDescent="0.3">
      <c r="A58" s="2">
        <f t="shared" si="4"/>
        <v>2022</v>
      </c>
      <c r="B58" s="3">
        <v>9</v>
      </c>
      <c r="C58" s="3">
        <f>[1]Emp!C262</f>
        <v>17265</v>
      </c>
      <c r="D58" s="3">
        <f>[1]Emp!D262</f>
        <v>0.6001631511478811</v>
      </c>
      <c r="E58" s="3">
        <f>[1]Emp!E262</f>
        <v>0.9443666822805874</v>
      </c>
      <c r="F58" s="3">
        <f>[1]Emp!F262</f>
        <v>1319895</v>
      </c>
      <c r="G58" s="3">
        <f>[1]Emp!G262</f>
        <v>0.7885036985450844</v>
      </c>
      <c r="H58" s="3">
        <f>[1]Emp!H262</f>
        <v>0.88478708206032031</v>
      </c>
    </row>
    <row r="59" spans="1:8" x14ac:dyDescent="0.3">
      <c r="A59" s="2">
        <f t="shared" si="4"/>
        <v>2022</v>
      </c>
      <c r="B59" s="3">
        <v>10</v>
      </c>
      <c r="C59" s="3">
        <f>[1]Emp!C263</f>
        <v>17203</v>
      </c>
      <c r="D59" s="3">
        <f>[1]Emp!D263</f>
        <v>-0.12772133526850471</v>
      </c>
      <c r="E59" s="3">
        <f>[1]Emp!E263</f>
        <v>0.92706795434705502</v>
      </c>
      <c r="F59" s="3">
        <f>[1]Emp!F263</f>
        <v>1318761</v>
      </c>
      <c r="G59" s="3">
        <f>[1]Emp!G263</f>
        <v>-1.2132453022783984E-3</v>
      </c>
      <c r="H59" s="3">
        <f>[1]Emp!H263</f>
        <v>0.88883924317201723</v>
      </c>
    </row>
    <row r="60" spans="1:8" x14ac:dyDescent="0.3">
      <c r="A60" s="2">
        <f t="shared" si="4"/>
        <v>2022</v>
      </c>
      <c r="B60" s="3">
        <v>11</v>
      </c>
      <c r="C60" s="3">
        <f>[1]Emp!C264</f>
        <v>17079</v>
      </c>
      <c r="D60" s="3">
        <f>[1]Emp!D264</f>
        <v>0.25829175227471968</v>
      </c>
      <c r="E60" s="3">
        <f>[1]Emp!E264</f>
        <v>0.90541787765196102</v>
      </c>
      <c r="F60" s="3">
        <f>[1]Emp!F264</f>
        <v>1322311</v>
      </c>
      <c r="G60" s="3">
        <f>[1]Emp!G264</f>
        <v>-9.7546958652161564E-3</v>
      </c>
      <c r="H60" s="3">
        <f>[1]Emp!H264</f>
        <v>0.88887093534431261</v>
      </c>
    </row>
    <row r="61" spans="1:8" x14ac:dyDescent="0.3">
      <c r="A61" s="2">
        <f t="shared" si="4"/>
        <v>2022</v>
      </c>
      <c r="B61" s="3">
        <v>12</v>
      </c>
      <c r="C61" s="3">
        <f>[1]Emp!C265</f>
        <v>16963</v>
      </c>
      <c r="D61" s="3">
        <f>[1]Emp!D265</f>
        <v>8.2600743406691102E-2</v>
      </c>
      <c r="E61" s="3">
        <f>[1]Emp!E265</f>
        <v>0.88003235401446556</v>
      </c>
      <c r="F61" s="3">
        <f>[1]Emp!F265</f>
        <v>1329897</v>
      </c>
      <c r="G61" s="3">
        <f>[1]Emp!G265</f>
        <v>-0.18710737847026371</v>
      </c>
      <c r="H61" s="3">
        <f>[1]Emp!H265</f>
        <v>0.88538526615561608</v>
      </c>
    </row>
    <row r="62" spans="1:8" x14ac:dyDescent="0.3">
      <c r="A62" s="2">
        <v>2023</v>
      </c>
      <c r="B62" s="3">
        <v>1</v>
      </c>
      <c r="C62" s="3">
        <f>[1]Emp!C266</f>
        <v>16743</v>
      </c>
      <c r="D62" s="3">
        <f>[1]Emp!D266</f>
        <v>-0.24428026692088212</v>
      </c>
      <c r="E62" s="3">
        <f>[1]Emp!E266</f>
        <v>0.85148234593946637</v>
      </c>
      <c r="F62" s="3">
        <f>[1]Emp!F266</f>
        <v>1313133</v>
      </c>
      <c r="G62" s="3">
        <f>[1]Emp!G266</f>
        <v>3.9768065329326419E-2</v>
      </c>
      <c r="H62" s="3">
        <f>[1]Emp!H266</f>
        <v>0.87882293862661442</v>
      </c>
    </row>
    <row r="63" spans="1:8" x14ac:dyDescent="0.3">
      <c r="A63" s="2">
        <f>A62</f>
        <v>2023</v>
      </c>
      <c r="B63" s="3">
        <v>2</v>
      </c>
      <c r="C63" s="3">
        <f>[1]Emp!C267</f>
        <v>16848</v>
      </c>
      <c r="D63" s="3">
        <f>[1]Emp!D267</f>
        <v>-0.33717834960070858</v>
      </c>
      <c r="E63" s="3">
        <f>[1]Emp!E267</f>
        <v>0.82028343873668008</v>
      </c>
      <c r="F63" s="3">
        <f>[1]Emp!F267</f>
        <v>1316527</v>
      </c>
      <c r="G63" s="3">
        <f>[1]Emp!G267</f>
        <v>0.18118230394492674</v>
      </c>
      <c r="H63" s="3">
        <f>[1]Emp!H267</f>
        <v>0.86955017712211746</v>
      </c>
    </row>
    <row r="64" spans="1:8" x14ac:dyDescent="0.3">
      <c r="A64" s="2">
        <f t="shared" ref="A64:A73" si="5">A63</f>
        <v>2023</v>
      </c>
      <c r="B64" s="3">
        <v>3</v>
      </c>
      <c r="C64" s="3">
        <f>[1]Emp!C268</f>
        <v>17145</v>
      </c>
      <c r="D64" s="3">
        <f>[1]Emp!D268</f>
        <v>0.33943933984901253</v>
      </c>
      <c r="E64" s="3">
        <f>[1]Emp!E268</f>
        <v>0.78687512308993035</v>
      </c>
      <c r="F64" s="3">
        <f>[1]Emp!F268</f>
        <v>1322734</v>
      </c>
      <c r="G64" s="3">
        <f>[1]Emp!G268</f>
        <v>0.71780627073487757</v>
      </c>
      <c r="H64" s="3">
        <f>[1]Emp!H268</f>
        <v>0.85787493830740069</v>
      </c>
    </row>
    <row r="65" spans="1:8" x14ac:dyDescent="0.3">
      <c r="A65" s="2">
        <f t="shared" si="5"/>
        <v>2023</v>
      </c>
      <c r="B65" s="3">
        <v>4</v>
      </c>
      <c r="C65" s="3">
        <f>[1]Emp!C269</f>
        <v>17404</v>
      </c>
      <c r="D65" s="3">
        <f>[1]Emp!D269</f>
        <v>6.8997240110402203E-2</v>
      </c>
      <c r="E65" s="3">
        <f>[1]Emp!E269</f>
        <v>0.75161651039218402</v>
      </c>
      <c r="F65" s="3">
        <f>[1]Emp!F269</f>
        <v>1338654</v>
      </c>
      <c r="G65" s="3">
        <f>[1]Emp!G269</f>
        <v>0.61867541375937307</v>
      </c>
      <c r="H65" s="3">
        <f>[1]Emp!H269</f>
        <v>0.84405737552321336</v>
      </c>
    </row>
    <row r="66" spans="1:8" x14ac:dyDescent="0.3">
      <c r="A66" s="2">
        <f t="shared" si="5"/>
        <v>2023</v>
      </c>
      <c r="B66" s="3">
        <v>5</v>
      </c>
      <c r="C66" s="3">
        <f>[1]Emp!C270</f>
        <v>17367</v>
      </c>
      <c r="D66" s="3">
        <f>[1]Emp!D270</f>
        <v>4.0322580645169026E-2</v>
      </c>
      <c r="E66" s="3">
        <f>[1]Emp!E270</f>
        <v>0.71483564010701617</v>
      </c>
      <c r="F66" s="3">
        <f>[1]Emp!F270</f>
        <v>1336531</v>
      </c>
      <c r="G66" s="3">
        <f>[1]Emp!G270</f>
        <v>0.3090633309641877</v>
      </c>
      <c r="H66" s="3">
        <f>[1]Emp!H270</f>
        <v>0.82834791511950101</v>
      </c>
    </row>
    <row r="67" spans="1:8" x14ac:dyDescent="0.3">
      <c r="A67" s="2">
        <f t="shared" si="5"/>
        <v>2023</v>
      </c>
      <c r="B67" s="3">
        <v>6</v>
      </c>
      <c r="C67" s="3">
        <f>[1]Emp!C271</f>
        <v>17522</v>
      </c>
      <c r="D67" s="3">
        <f>[1]Emp!D271</f>
        <v>0.17150697461696396</v>
      </c>
      <c r="E67" s="3">
        <f>[1]Emp!E271</f>
        <v>0.67681314758201028</v>
      </c>
      <c r="F67" s="3">
        <f>[1]Emp!F271</f>
        <v>1331470</v>
      </c>
      <c r="G67" s="3">
        <f>[1]Emp!G271</f>
        <v>0.26197466699700023</v>
      </c>
      <c r="H67" s="3">
        <f>[1]Emp!H271</f>
        <v>0.8109813319210869</v>
      </c>
    </row>
    <row r="68" spans="1:8" x14ac:dyDescent="0.3">
      <c r="A68" s="2">
        <f t="shared" si="5"/>
        <v>2023</v>
      </c>
      <c r="B68" s="3">
        <v>7</v>
      </c>
      <c r="C68" s="3">
        <f>[1]Emp!C272</f>
        <v>17796</v>
      </c>
      <c r="D68" s="3">
        <f>[1]Emp!D272</f>
        <v>-0.20748051365445663</v>
      </c>
      <c r="E68" s="3">
        <f>[1]Emp!E272</f>
        <v>0.63778282698006494</v>
      </c>
      <c r="F68" s="3">
        <f>[1]Emp!F272</f>
        <v>1325910</v>
      </c>
      <c r="G68" s="3">
        <f>[1]Emp!G272</f>
        <v>-0.11480796785376945</v>
      </c>
      <c r="H68" s="3">
        <f>[1]Emp!H272</f>
        <v>0.79215633932333906</v>
      </c>
    </row>
    <row r="69" spans="1:8" x14ac:dyDescent="0.3">
      <c r="A69" s="2">
        <f t="shared" si="5"/>
        <v>2023</v>
      </c>
      <c r="B69" s="3">
        <v>8</v>
      </c>
      <c r="C69" s="3">
        <f>[1]Emp!C273</f>
        <v>17623</v>
      </c>
      <c r="D69" s="3">
        <f>[1]Emp!D273</f>
        <v>6.2457415398586846E-2</v>
      </c>
      <c r="E69" s="3">
        <f>[1]Emp!E273</f>
        <v>0.59794338175762296</v>
      </c>
      <c r="F69" s="3">
        <f>[1]Emp!F273</f>
        <v>1317509</v>
      </c>
      <c r="G69" s="3">
        <f>[1]Emp!G273</f>
        <v>0.51957009198908555</v>
      </c>
      <c r="H69" s="3">
        <f>[1]Emp!H273</f>
        <v>0.77203352525878377</v>
      </c>
    </row>
    <row r="70" spans="1:8" x14ac:dyDescent="0.3">
      <c r="A70" s="2">
        <f t="shared" si="5"/>
        <v>2023</v>
      </c>
      <c r="B70" s="3">
        <v>9</v>
      </c>
      <c r="C70" s="3">
        <f>[1]Emp!C274</f>
        <v>17410</v>
      </c>
      <c r="D70" s="3">
        <f>[1]Emp!D274</f>
        <v>0.83984940631334215</v>
      </c>
      <c r="E70" s="3">
        <f>[1]Emp!E274</f>
        <v>0.55743481652802762</v>
      </c>
      <c r="F70" s="3">
        <f>[1]Emp!F274</f>
        <v>1333972</v>
      </c>
      <c r="G70" s="3">
        <f>[1]Emp!G274</f>
        <v>1.0665242310941458</v>
      </c>
      <c r="H70" s="3">
        <f>[1]Emp!H274</f>
        <v>0.75071049402750434</v>
      </c>
    </row>
    <row r="71" spans="1:8" x14ac:dyDescent="0.3">
      <c r="A71" s="2">
        <f t="shared" si="5"/>
        <v>2023</v>
      </c>
      <c r="B71" s="3">
        <v>10</v>
      </c>
      <c r="C71" s="3">
        <f>[1]Emp!C275</f>
        <v>17170</v>
      </c>
      <c r="D71" s="3">
        <f>[1]Emp!D275</f>
        <v>-0.19182700691739996</v>
      </c>
      <c r="E71" s="3">
        <f>[1]Emp!E275</f>
        <v>0.51635994937918062</v>
      </c>
      <c r="F71" s="3">
        <f>[1]Emp!F275</f>
        <v>1322573</v>
      </c>
      <c r="G71" s="3">
        <f>[1]Emp!G275</f>
        <v>0.2890592002644965</v>
      </c>
      <c r="H71" s="3">
        <f>[1]Emp!H275</f>
        <v>0.72826731774671827</v>
      </c>
    </row>
    <row r="72" spans="1:8" x14ac:dyDescent="0.3">
      <c r="A72" s="2">
        <f t="shared" si="5"/>
        <v>2023</v>
      </c>
      <c r="B72" s="3">
        <v>11</v>
      </c>
      <c r="C72" s="3">
        <f>[1]Emp!C276</f>
        <v>17068</v>
      </c>
      <c r="D72" s="3">
        <f>[1]Emp!D276</f>
        <v>-6.4406581181564171E-2</v>
      </c>
      <c r="E72" s="3">
        <f>[1]Emp!E276</f>
        <v>0.47484121052327427</v>
      </c>
      <c r="F72" s="3">
        <f>[1]Emp!F276</f>
        <v>1331640</v>
      </c>
      <c r="G72" s="3">
        <f>[1]Emp!G276</f>
        <v>0.70550725207609855</v>
      </c>
      <c r="H72" s="3">
        <f>[1]Emp!H276</f>
        <v>0.70480600004316163</v>
      </c>
    </row>
    <row r="73" spans="1:8" x14ac:dyDescent="0.3">
      <c r="A73" s="2">
        <f t="shared" si="5"/>
        <v>2023</v>
      </c>
      <c r="B73" s="3">
        <v>12</v>
      </c>
      <c r="C73" s="3">
        <f>[1]Emp!C277</f>
        <v>16963</v>
      </c>
      <c r="D73" s="3">
        <f>[1]Emp!D277</f>
        <v>0</v>
      </c>
      <c r="E73" s="3">
        <f>[1]Emp!E277</f>
        <v>0.4329518505227582</v>
      </c>
      <c r="F73" s="3">
        <f>[1]Emp!F277</f>
        <v>1338191</v>
      </c>
      <c r="G73" s="3">
        <f>[1]Emp!G277</f>
        <v>0.62365732083011771</v>
      </c>
      <c r="H73" s="3">
        <f>[1]Emp!H277</f>
        <v>0.68039804397985659</v>
      </c>
    </row>
    <row r="74" spans="1:8" x14ac:dyDescent="0.3">
      <c r="A74" s="2">
        <v>2024</v>
      </c>
      <c r="B74" s="3">
        <v>1</v>
      </c>
      <c r="C74" s="3">
        <f>[1]Emp!C278</f>
        <v>16771</v>
      </c>
      <c r="D74" s="3">
        <f>[1]Emp!D278</f>
        <v>0.16723406796870233</v>
      </c>
      <c r="E74" s="3">
        <f>[1]Emp!E278</f>
        <v>0.39072767217676924</v>
      </c>
      <c r="F74" s="3">
        <f>[1]Emp!F278</f>
        <v>1319327</v>
      </c>
      <c r="G74" s="3">
        <f>[1]Emp!G278</f>
        <v>0.47169631712857818</v>
      </c>
      <c r="H74" s="3">
        <f>[1]Emp!H278</f>
        <v>0.65511500131788314</v>
      </c>
    </row>
    <row r="75" spans="1:8" x14ac:dyDescent="0.3">
      <c r="A75" s="2">
        <f>+A74</f>
        <v>2024</v>
      </c>
      <c r="B75" s="3">
        <v>2</v>
      </c>
      <c r="C75" s="3">
        <f>[1]Emp!C279</f>
        <v>16885</v>
      </c>
      <c r="D75" s="3">
        <f>[1]Emp!D279</f>
        <v>0.21961063627731203</v>
      </c>
      <c r="E75" s="3">
        <f>[1]Emp!E279</f>
        <v>0.34817441218371337</v>
      </c>
      <c r="F75" s="3">
        <f>[1]Emp!F279</f>
        <v>1323368</v>
      </c>
      <c r="G75" s="3">
        <f>[1]Emp!G279</f>
        <v>0.51962473994076053</v>
      </c>
      <c r="H75" s="3">
        <f>[1]Emp!H279</f>
        <v>0.62902448349032469</v>
      </c>
    </row>
    <row r="76" spans="1:8" x14ac:dyDescent="0.3">
      <c r="A76" s="2">
        <f t="shared" ref="A76:A85" si="6">+A75</f>
        <v>2024</v>
      </c>
      <c r="B76" s="3">
        <v>3</v>
      </c>
      <c r="C76" s="3">
        <f>[1]Emp!C280</f>
        <v>17347</v>
      </c>
      <c r="D76" s="3">
        <f>[1]Emp!D280</f>
        <v>1.1781860600758254</v>
      </c>
      <c r="E76" s="3">
        <f>[1]Emp!E280</f>
        <v>0.30528228685281555</v>
      </c>
      <c r="F76" s="3">
        <f>[1]Emp!F280</f>
        <v>1338491</v>
      </c>
      <c r="G76" s="3">
        <f>[1]Emp!G280</f>
        <v>1.191244800541913</v>
      </c>
      <c r="H76" s="3">
        <f>[1]Emp!H280</f>
        <v>0.60218136452164051</v>
      </c>
    </row>
    <row r="77" spans="1:8" x14ac:dyDescent="0.3">
      <c r="A77" s="2">
        <f t="shared" si="6"/>
        <v>2024</v>
      </c>
      <c r="B77" s="3">
        <v>4</v>
      </c>
      <c r="C77" s="3">
        <f>[1]Emp!C281</f>
        <v>17335</v>
      </c>
      <c r="D77" s="3">
        <f>[1]Emp!D281</f>
        <v>-0.39646058377384996</v>
      </c>
      <c r="E77" s="3">
        <f>[1]Emp!E281</f>
        <v>0.26203258445330724</v>
      </c>
      <c r="F77" s="3">
        <f>[1]Emp!F281</f>
        <v>1340814</v>
      </c>
      <c r="G77" s="3">
        <f>[1]Emp!G281</f>
        <v>0.16135610844922876</v>
      </c>
      <c r="H77" s="3">
        <f>[1]Emp!H281</f>
        <v>0.5746329212318767</v>
      </c>
    </row>
    <row r="78" spans="1:8" x14ac:dyDescent="0.3">
      <c r="A78" s="2">
        <f t="shared" si="6"/>
        <v>2024</v>
      </c>
      <c r="B78" s="3">
        <v>5</v>
      </c>
      <c r="C78" s="3">
        <f>[1]Emp!C282</f>
        <v>17412</v>
      </c>
      <c r="D78" s="3">
        <f>[1]Emp!D282</f>
        <v>0.25911210917257677</v>
      </c>
      <c r="E78" s="3">
        <f>[1]Emp!E282</f>
        <v>0.21846721157200474</v>
      </c>
      <c r="F78" s="3">
        <f>[1]Emp!F282</f>
        <v>1342887</v>
      </c>
      <c r="G78" s="3">
        <f>[1]Emp!G282</f>
        <v>0.47555948945441351</v>
      </c>
      <c r="H78" s="3">
        <f>[1]Emp!H282</f>
        <v>0.54646733762413624</v>
      </c>
    </row>
    <row r="79" spans="1:8" x14ac:dyDescent="0.3">
      <c r="A79" s="2">
        <f t="shared" si="6"/>
        <v>2024</v>
      </c>
      <c r="B79" s="3">
        <v>6</v>
      </c>
      <c r="C79" s="3">
        <f>[1]Emp!C283</f>
        <v>17588</v>
      </c>
      <c r="D79" s="3">
        <f>[1]Emp!D283</f>
        <v>0.37666932998516867</v>
      </c>
      <c r="E79" s="3">
        <f>[1]Emp!E283</f>
        <v>0.17458234610348644</v>
      </c>
      <c r="F79" s="3">
        <f>[1]Emp!F283</f>
        <v>1344094</v>
      </c>
      <c r="G79" s="3">
        <f>[1]Emp!G283</f>
        <v>0.94812500469405592</v>
      </c>
      <c r="H79" s="3">
        <f>[1]Emp!H283</f>
        <v>0.51774409792285669</v>
      </c>
    </row>
    <row r="80" spans="1:8" x14ac:dyDescent="0.3">
      <c r="A80" s="2">
        <f t="shared" si="6"/>
        <v>2024</v>
      </c>
      <c r="B80" s="3">
        <v>7</v>
      </c>
      <c r="C80" s="3">
        <f>[1]Emp!C284</f>
        <v>17767</v>
      </c>
      <c r="D80" s="3">
        <f>[1]Emp!D284</f>
        <v>-0.1629579680827109</v>
      </c>
      <c r="E80" s="3">
        <f>[1]Emp!E284</f>
        <v>0.13037698850466409</v>
      </c>
      <c r="F80" s="3">
        <f>[1]Emp!F284</f>
        <v>1328221</v>
      </c>
      <c r="G80" s="3">
        <f>[1]Emp!G284</f>
        <v>0.17429538958149138</v>
      </c>
      <c r="H80" s="3">
        <f>[1]Emp!H284</f>
        <v>0.48851776219635273</v>
      </c>
    </row>
    <row r="81" spans="1:8" x14ac:dyDescent="0.3">
      <c r="A81" s="2">
        <f t="shared" si="6"/>
        <v>2024</v>
      </c>
      <c r="B81" s="3">
        <v>8</v>
      </c>
      <c r="C81" s="3">
        <f>[1]Emp!C285</f>
        <v>17757</v>
      </c>
      <c r="D81" s="3">
        <f>[1]Emp!D285</f>
        <v>0.76036997106054827</v>
      </c>
      <c r="E81" s="3">
        <f>[1]Emp!E285</f>
        <v>8.5864173050774525E-2</v>
      </c>
      <c r="F81" s="3">
        <f>[1]Emp!F285</f>
        <v>1325904</v>
      </c>
      <c r="G81" s="3">
        <f>[1]Emp!G285</f>
        <v>0.63718729815127606</v>
      </c>
      <c r="H81" s="3">
        <f>[1]Emp!H285</f>
        <v>0.45887277807590926</v>
      </c>
    </row>
    <row r="82" spans="1:8" x14ac:dyDescent="0.3">
      <c r="A82" s="2">
        <f t="shared" si="6"/>
        <v>2024</v>
      </c>
      <c r="B82" s="3">
        <v>9</v>
      </c>
      <c r="C82" s="3">
        <f>[1]Emp!C286</f>
        <v>17323</v>
      </c>
      <c r="D82" s="3">
        <f>[1]Emp!D286</f>
        <v>-0.49971280873061241</v>
      </c>
      <c r="E82" s="3">
        <f>[1]Emp!E286</f>
        <v>4.1036563533958237E-2</v>
      </c>
      <c r="F82" s="3">
        <f>[1]Emp!F286</f>
        <v>1330115</v>
      </c>
      <c r="G82" s="3">
        <f>[1]Emp!G286</f>
        <v>-0.28913650361477305</v>
      </c>
      <c r="H82" s="3">
        <f>[1]Emp!H286</f>
        <v>0.42887177219471284</v>
      </c>
    </row>
    <row r="83" spans="1:8" x14ac:dyDescent="0.3">
      <c r="A83" s="2">
        <f t="shared" si="6"/>
        <v>2024</v>
      </c>
      <c r="B83" s="3">
        <v>10</v>
      </c>
      <c r="C83" s="3">
        <f>[1]Emp!C287</f>
        <v>17184</v>
      </c>
      <c r="D83" s="3">
        <f>[1]Emp!D287</f>
        <v>8.1537565521250244E-2</v>
      </c>
      <c r="E83" s="3">
        <f>[1]Emp!E287</f>
        <v>-4.0663355732269398E-3</v>
      </c>
      <c r="F83" s="3">
        <f>[1]Emp!F287</f>
        <v>1325048</v>
      </c>
      <c r="G83" s="3">
        <f>[1]Emp!G287</f>
        <v>0.18713522807436433</v>
      </c>
      <c r="H83" s="3">
        <f>[1]Emp!H287</f>
        <v>0.3985897541387331</v>
      </c>
    </row>
    <row r="84" spans="1:8" x14ac:dyDescent="0.3">
      <c r="A84" s="2">
        <f t="shared" si="6"/>
        <v>2024</v>
      </c>
      <c r="B84" s="3">
        <v>11</v>
      </c>
      <c r="C84" s="3">
        <f>[1]Emp!C288</f>
        <v>17174</v>
      </c>
      <c r="D84" s="3">
        <f>[1]Emp!D288</f>
        <v>0.62104523084134389</v>
      </c>
      <c r="E84" s="3">
        <f>[1]Emp!E288</f>
        <v>-4.9442571837963765E-2</v>
      </c>
      <c r="F84" s="3">
        <f>[1]Emp!F288</f>
        <v>1343760</v>
      </c>
      <c r="G84" s="3">
        <f>[1]Emp!G288</f>
        <v>0.91015589799043894</v>
      </c>
      <c r="H84" s="3">
        <f>[1]Emp!H288</f>
        <v>0.36805187180811949</v>
      </c>
    </row>
    <row r="85" spans="1:8" x14ac:dyDescent="0.3">
      <c r="A85" s="2">
        <f t="shared" si="6"/>
        <v>2024</v>
      </c>
      <c r="B85" s="3">
        <v>12</v>
      </c>
      <c r="C85" s="3">
        <f>[1]Emp!C289</f>
        <v>16954</v>
      </c>
      <c r="D85" s="3">
        <f>[1]Emp!D289</f>
        <v>-5.3056652714733588E-2</v>
      </c>
      <c r="E85" s="3">
        <f>[1]Emp!E289</f>
        <v>-9.5084248112081216E-2</v>
      </c>
      <c r="F85" s="3">
        <f>[1]Emp!F289</f>
        <v>1344934</v>
      </c>
      <c r="G85" s="3">
        <f>[1]Emp!G289</f>
        <v>0.50388920565151984</v>
      </c>
      <c r="H85" s="3">
        <f>[1]Emp!H289</f>
        <v>0.33726858876093369</v>
      </c>
    </row>
    <row r="86" spans="1:8" x14ac:dyDescent="0.3">
      <c r="A86" s="2">
        <v>2025</v>
      </c>
      <c r="B86" s="3">
        <v>1</v>
      </c>
      <c r="C86" s="3">
        <f>[1]Emp!C290</f>
        <v>16782</v>
      </c>
      <c r="D86" s="3">
        <f>[1]Emp!D290</f>
        <v>6.5589410291577721E-2</v>
      </c>
      <c r="E86" s="3">
        <f>[1]Emp!E290</f>
        <v>-0.14093690559444444</v>
      </c>
      <c r="F86" s="3">
        <f>[1]Emp!F290</f>
        <v>1325760</v>
      </c>
      <c r="G86" s="3">
        <f>[1]Emp!G290</f>
        <v>0.48759708548373748</v>
      </c>
      <c r="H86" s="3">
        <f>[1]Emp!H290</f>
        <v>0.30628801466816674</v>
      </c>
    </row>
    <row r="87" spans="1:8" x14ac:dyDescent="0.3">
      <c r="A87" s="2">
        <f>A86</f>
        <v>2025</v>
      </c>
      <c r="B87" s="3">
        <v>2</v>
      </c>
      <c r="C87" s="3">
        <f>[1]Emp!C291</f>
        <v>16876</v>
      </c>
      <c r="D87" s="3">
        <f>[1]Emp!D291</f>
        <v>-5.3301747112821651E-2</v>
      </c>
      <c r="E87" s="3">
        <f>[1]Emp!E291</f>
        <v>-0.18694316690090487</v>
      </c>
      <c r="F87" s="3">
        <f>[1]Emp!F291</f>
        <v>1326486</v>
      </c>
      <c r="G87" s="3">
        <f>[1]Emp!G291</f>
        <v>0.23561095628730211</v>
      </c>
      <c r="H87" s="3">
        <f>[1]Emp!H291</f>
        <v>0.27516983007698265</v>
      </c>
    </row>
    <row r="88" spans="1:8" x14ac:dyDescent="0.3">
      <c r="A88" s="2">
        <f t="shared" ref="A88:A93" si="7">A87</f>
        <v>2025</v>
      </c>
      <c r="B88" s="3">
        <v>3</v>
      </c>
      <c r="C88" s="3">
        <f>[1]Emp!C292</f>
        <v>17084</v>
      </c>
      <c r="D88" s="3">
        <f>[1]Emp!D292</f>
        <v>-1.5161122960742457</v>
      </c>
      <c r="E88" s="3">
        <f>[1]Emp!E292</f>
        <v>-0.23303131254204404</v>
      </c>
      <c r="F88" s="3">
        <f>[1]Emp!F292</f>
        <v>1330155</v>
      </c>
      <c r="G88" s="3">
        <f>[1]Emp!G292</f>
        <v>-0.62279088914307668</v>
      </c>
      <c r="H88" s="3">
        <f>[1]Emp!H292</f>
        <v>0.2439863064422409</v>
      </c>
    </row>
    <row r="89" spans="1:8" x14ac:dyDescent="0.3">
      <c r="A89" s="2">
        <f t="shared" si="7"/>
        <v>2025</v>
      </c>
      <c r="B89" s="3">
        <v>4</v>
      </c>
      <c r="C89" s="3">
        <f>[1]Emp!C293</f>
        <v>17299</v>
      </c>
      <c r="D89" s="3">
        <f>[1]Emp!D293</f>
        <v>-0.20767233919815054</v>
      </c>
      <c r="E89" s="3">
        <f>[1]Emp!E293</f>
        <v>-0.27912034237429151</v>
      </c>
      <c r="F89" s="3">
        <f>[1]Emp!F293</f>
        <v>1341240</v>
      </c>
      <c r="G89" s="3">
        <f>[1]Emp!G293</f>
        <v>3.177174462676291E-2</v>
      </c>
      <c r="H89" s="3">
        <f>[1]Emp!H293</f>
        <v>0.21280696807478769</v>
      </c>
    </row>
    <row r="90" spans="1:8" x14ac:dyDescent="0.3">
      <c r="A90" s="2">
        <f t="shared" si="7"/>
        <v>2025</v>
      </c>
      <c r="B90" s="3">
        <v>5</v>
      </c>
      <c r="C90" s="3">
        <f>[1]Emp!C294</f>
        <v>17416</v>
      </c>
      <c r="D90" s="3">
        <f>[1]Emp!D294</f>
        <v>2.2972662531595134E-2</v>
      </c>
      <c r="E90" s="3">
        <f>[1]Emp!E294</f>
        <v>-0.32521835910015551</v>
      </c>
      <c r="F90" s="3">
        <f>[1]Emp!F294</f>
        <v>1350011</v>
      </c>
      <c r="G90" s="3">
        <f>[1]Emp!G294</f>
        <v>0.53049884316402895</v>
      </c>
      <c r="H90" s="3">
        <f>[1]Emp!H294</f>
        <v>0.18164114642466478</v>
      </c>
    </row>
    <row r="91" spans="1:8" x14ac:dyDescent="0.3">
      <c r="A91" s="2">
        <f t="shared" si="7"/>
        <v>2025</v>
      </c>
      <c r="B91" s="3">
        <v>6</v>
      </c>
      <c r="C91" s="3">
        <f>[1]Emp!C295</f>
        <v>17462</v>
      </c>
      <c r="D91" s="3">
        <f>[1]Emp!D295</f>
        <v>-0.71639754377984532</v>
      </c>
      <c r="E91" s="3">
        <f>[1]Emp!E295</f>
        <v>-0.371328503755257</v>
      </c>
      <c r="F91" s="3">
        <f>[1]Emp!F295</f>
        <v>1338590</v>
      </c>
      <c r="G91" s="3">
        <f>[1]Emp!G295</f>
        <v>-0.40949516923667328</v>
      </c>
      <c r="H91" s="3">
        <f>[1]Emp!H295</f>
        <v>0.15048560105139669</v>
      </c>
    </row>
    <row r="92" spans="1:8" x14ac:dyDescent="0.3">
      <c r="A92" s="2">
        <f t="shared" si="7"/>
        <v>2025</v>
      </c>
      <c r="B92" s="3">
        <v>7</v>
      </c>
      <c r="C92" s="3">
        <f>[1]Emp!C296</f>
        <v>17685</v>
      </c>
      <c r="D92" s="3">
        <f>[1]Emp!D296</f>
        <v>-0.46152980244272834</v>
      </c>
      <c r="E92" s="3">
        <f>[1]Emp!E296</f>
        <v>-0.41742973744315925</v>
      </c>
      <c r="F92" s="3">
        <f>[1]Emp!F296</f>
        <v>1330675</v>
      </c>
      <c r="G92" s="3">
        <f>[1]Emp!G296</f>
        <v>0.1847584099332833</v>
      </c>
      <c r="H92" s="3">
        <f>[1]Emp!H296</f>
        <v>0.11936131774344819</v>
      </c>
    </row>
    <row r="93" spans="1:8" x14ac:dyDescent="0.3">
      <c r="A93" s="2">
        <f t="shared" si="7"/>
        <v>2025</v>
      </c>
      <c r="B93" s="3">
        <v>8</v>
      </c>
      <c r="C93" s="3">
        <f>[1]Emp!C297</f>
        <v>17690</v>
      </c>
      <c r="D93" s="3">
        <f>[1]Emp!D297</f>
        <v>-0.37731598806104438</v>
      </c>
      <c r="E93" s="3">
        <f>[1]Emp!E297</f>
        <v>-0.46352498439520495</v>
      </c>
      <c r="F93" s="3">
        <f>[1]Emp!F297</f>
        <v>1329625</v>
      </c>
      <c r="G93" s="3">
        <f>[1]Emp!G297</f>
        <v>0.28063871894195014</v>
      </c>
      <c r="H93" s="3">
        <f>[1]Emp!H297</f>
        <v>8.8250394735791785E-2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97"/>
  <sheetViews>
    <sheetView topLeftCell="A82" workbookViewId="0">
      <selection activeCell="E94" sqref="E94"/>
    </sheetView>
  </sheetViews>
  <sheetFormatPr baseColWidth="10" defaultColWidth="11.42578125" defaultRowHeight="13.5" x14ac:dyDescent="0.3"/>
  <cols>
    <col min="1" max="1" width="4.42578125" style="2" bestFit="1" customWidth="1"/>
    <col min="2" max="2" width="11.28515625" style="2" bestFit="1" customWidth="1"/>
    <col min="3" max="3" width="13.7109375" style="2" bestFit="1" customWidth="1"/>
    <col min="4" max="4" width="20.7109375" style="2" bestFit="1" customWidth="1"/>
    <col min="5" max="5" width="18.28515625" style="2" bestFit="1" customWidth="1"/>
    <col min="6" max="6" width="14.42578125" style="2" bestFit="1" customWidth="1"/>
    <col min="7" max="7" width="18.5703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44</v>
      </c>
      <c r="D1" s="2" t="s">
        <v>45</v>
      </c>
      <c r="E1" s="2" t="s">
        <v>46</v>
      </c>
      <c r="F1" s="2" t="s">
        <v>47</v>
      </c>
      <c r="G1" s="2" t="s">
        <v>48</v>
      </c>
      <c r="H1" s="2" t="s">
        <v>49</v>
      </c>
    </row>
    <row r="2" spans="1:8" x14ac:dyDescent="0.3">
      <c r="A2" s="2">
        <v>2018</v>
      </c>
      <c r="B2" s="3">
        <v>1</v>
      </c>
      <c r="C2" s="3">
        <f>[1]Emp_fi!C206</f>
        <v>6698</v>
      </c>
      <c r="D2" s="3">
        <f>[1]Emp_fi!D206</f>
        <v>-0.32738095238095122</v>
      </c>
      <c r="E2" s="3">
        <f>[1]Emp_fi!E206</f>
        <v>1.2248751201079482</v>
      </c>
      <c r="F2" s="3">
        <f>[1]Emp_fi!F206</f>
        <v>499660</v>
      </c>
      <c r="G2" s="3">
        <f>[1]Emp_fi!G206</f>
        <v>0.78219862762263226</v>
      </c>
      <c r="H2" s="3">
        <f>[1]Emp_fi!H206</f>
        <v>1.1028292485048379</v>
      </c>
    </row>
    <row r="3" spans="1:8" x14ac:dyDescent="0.3">
      <c r="A3" s="2">
        <f>A2</f>
        <v>2018</v>
      </c>
      <c r="B3" s="3">
        <v>2</v>
      </c>
      <c r="C3" s="3">
        <f>[1]Emp_fi!C207</f>
        <v>6723</v>
      </c>
      <c r="D3" s="3">
        <f>[1]Emp_fi!D207</f>
        <v>-0.17817371937639548</v>
      </c>
      <c r="E3" s="3">
        <f>[1]Emp_fi!E207</f>
        <v>1.0858557755069829</v>
      </c>
      <c r="F3" s="3">
        <f>[1]Emp_fi!F207</f>
        <v>491707</v>
      </c>
      <c r="G3" s="3">
        <f>[1]Emp_fi!G207</f>
        <v>4.7204842565751193E-2</v>
      </c>
      <c r="H3" s="3">
        <f>[1]Emp_fi!H207</f>
        <v>0.98321960124651153</v>
      </c>
    </row>
    <row r="4" spans="1:8" x14ac:dyDescent="0.3">
      <c r="A4" s="2">
        <f t="shared" ref="A4:A13" si="0">A3</f>
        <v>2018</v>
      </c>
      <c r="B4" s="3">
        <v>3</v>
      </c>
      <c r="C4" s="3">
        <f>[1]Emp_fi!C208</f>
        <v>7054</v>
      </c>
      <c r="D4" s="3">
        <f>[1]Emp_fi!D208</f>
        <v>3.0382705229331064</v>
      </c>
      <c r="E4" s="3">
        <f>[1]Emp_fi!E208</f>
        <v>0.94610534440881044</v>
      </c>
      <c r="F4" s="3">
        <f>[1]Emp_fi!F208</f>
        <v>499450</v>
      </c>
      <c r="G4" s="3">
        <f>[1]Emp_fi!G208</f>
        <v>1.5840150347189663</v>
      </c>
      <c r="H4" s="3">
        <f>[1]Emp_fi!H208</f>
        <v>0.86041016706521689</v>
      </c>
    </row>
    <row r="5" spans="1:8" x14ac:dyDescent="0.3">
      <c r="A5" s="2">
        <f t="shared" si="0"/>
        <v>2018</v>
      </c>
      <c r="B5" s="3">
        <v>4</v>
      </c>
      <c r="C5" s="3">
        <f>[1]Emp_fi!C209</f>
        <v>7140</v>
      </c>
      <c r="D5" s="3">
        <f>[1]Emp_fi!D209</f>
        <v>1.0615711252653925</v>
      </c>
      <c r="E5" s="3">
        <f>[1]Emp_fi!E209</f>
        <v>0.80565065309457606</v>
      </c>
      <c r="F5" s="3">
        <f>[1]Emp_fi!F209</f>
        <v>502173</v>
      </c>
      <c r="G5" s="3">
        <f>[1]Emp_fi!G209</f>
        <v>-4.4984165971673207E-2</v>
      </c>
      <c r="H5" s="3">
        <f>[1]Emp_fi!H209</f>
        <v>0.73448936129306686</v>
      </c>
    </row>
    <row r="6" spans="1:8" x14ac:dyDescent="0.3">
      <c r="A6" s="2">
        <f t="shared" si="0"/>
        <v>2018</v>
      </c>
      <c r="B6" s="3">
        <v>5</v>
      </c>
      <c r="C6" s="3">
        <f>[1]Emp_fi!C210</f>
        <v>7120</v>
      </c>
      <c r="D6" s="3">
        <f>[1]Emp_fi!D210</f>
        <v>0.66449879824685976</v>
      </c>
      <c r="E6" s="3">
        <f>[1]Emp_fi!E210</f>
        <v>0.66466381709393352</v>
      </c>
      <c r="F6" s="3">
        <f>[1]Emp_fi!F210</f>
        <v>505878</v>
      </c>
      <c r="G6" s="3">
        <f>[1]Emp_fi!G210</f>
        <v>0.53119503979490723</v>
      </c>
      <c r="H6" s="3">
        <f>[1]Emp_fi!H210</f>
        <v>0.60559584960020585</v>
      </c>
    </row>
    <row r="7" spans="1:8" x14ac:dyDescent="0.3">
      <c r="A7" s="2">
        <f t="shared" si="0"/>
        <v>2018</v>
      </c>
      <c r="B7" s="3">
        <v>6</v>
      </c>
      <c r="C7" s="3">
        <f>[1]Emp_fi!C211</f>
        <v>7293</v>
      </c>
      <c r="D7" s="3">
        <f>[1]Emp_fi!D211</f>
        <v>1.4325452016689777</v>
      </c>
      <c r="E7" s="3">
        <f>[1]Emp_fi!E211</f>
        <v>0.52333472419154836</v>
      </c>
      <c r="F7" s="3">
        <f>[1]Emp_fi!F211</f>
        <v>510608</v>
      </c>
      <c r="G7" s="3">
        <f>[1]Emp_fi!G211</f>
        <v>1.9849401801585786</v>
      </c>
      <c r="H7" s="3">
        <f>[1]Emp_fi!H211</f>
        <v>0.4738141675507182</v>
      </c>
    </row>
    <row r="8" spans="1:8" x14ac:dyDescent="0.3">
      <c r="A8" s="2">
        <f t="shared" si="0"/>
        <v>2018</v>
      </c>
      <c r="B8" s="3">
        <v>7</v>
      </c>
      <c r="C8" s="3">
        <f>[1]Emp_fi!C212</f>
        <v>7526</v>
      </c>
      <c r="D8" s="3">
        <f>[1]Emp_fi!D212</f>
        <v>0.76315437140179743</v>
      </c>
      <c r="E8" s="3">
        <f>[1]Emp_fi!E212</f>
        <v>0.38185325071244391</v>
      </c>
      <c r="F8" s="3">
        <f>[1]Emp_fi!F212</f>
        <v>501333</v>
      </c>
      <c r="G8" s="3">
        <f>[1]Emp_fi!G212</f>
        <v>0.82740200997950542</v>
      </c>
      <c r="H8" s="3">
        <f>[1]Emp_fi!H212</f>
        <v>0.33922368398578495</v>
      </c>
    </row>
    <row r="9" spans="1:8" x14ac:dyDescent="0.3">
      <c r="A9" s="2">
        <f t="shared" si="0"/>
        <v>2018</v>
      </c>
      <c r="B9" s="3">
        <v>8</v>
      </c>
      <c r="C9" s="3">
        <f>[1]Emp_fi!C213</f>
        <v>7399</v>
      </c>
      <c r="D9" s="3">
        <f>[1]Emp_fi!D213</f>
        <v>0.36625067824198609</v>
      </c>
      <c r="E9" s="3">
        <f>[1]Emp_fi!E213</f>
        <v>0.24047241259813493</v>
      </c>
      <c r="F9" s="3">
        <f>[1]Emp_fi!F213</f>
        <v>492332</v>
      </c>
      <c r="G9" s="3">
        <f>[1]Emp_fi!G213</f>
        <v>0.42550066701207978</v>
      </c>
      <c r="H9" s="3">
        <f>[1]Emp_fi!H213</f>
        <v>0.20200870705301824</v>
      </c>
    </row>
    <row r="10" spans="1:8" x14ac:dyDescent="0.3">
      <c r="A10" s="2">
        <f t="shared" si="0"/>
        <v>2018</v>
      </c>
      <c r="B10" s="3">
        <v>9</v>
      </c>
      <c r="C10" s="3">
        <f>[1]Emp_fi!C214</f>
        <v>7223</v>
      </c>
      <c r="D10" s="3">
        <f>[1]Emp_fi!D214</f>
        <v>0.92217409529131711</v>
      </c>
      <c r="E10" s="3">
        <f>[1]Emp_fi!E214</f>
        <v>9.9471705034628516E-2</v>
      </c>
      <c r="F10" s="3">
        <f>[1]Emp_fi!F214</f>
        <v>507595</v>
      </c>
      <c r="G10" s="3">
        <f>[1]Emp_fi!G214</f>
        <v>1.7591515977707362</v>
      </c>
      <c r="H10" s="3">
        <f>[1]Emp_fi!H214</f>
        <v>6.2387446172668698E-2</v>
      </c>
    </row>
    <row r="11" spans="1:8" x14ac:dyDescent="0.3">
      <c r="A11" s="2">
        <f t="shared" si="0"/>
        <v>2018</v>
      </c>
      <c r="B11" s="3">
        <v>10</v>
      </c>
      <c r="C11" s="3">
        <f>[1]Emp_fi!C215</f>
        <v>7044</v>
      </c>
      <c r="D11" s="3">
        <f>[1]Emp_fi!D215</f>
        <v>1.018213107701138</v>
      </c>
      <c r="E11" s="3">
        <f>[1]Emp_fi!E215</f>
        <v>-4.086064219028742E-2</v>
      </c>
      <c r="F11" s="3">
        <f>[1]Emp_fi!F215</f>
        <v>494875</v>
      </c>
      <c r="G11" s="3">
        <f>[1]Emp_fi!G215</f>
        <v>0.93330804264337708</v>
      </c>
      <c r="H11" s="3">
        <f>[1]Emp_fi!H215</f>
        <v>-7.9406368960015961E-2</v>
      </c>
    </row>
    <row r="12" spans="1:8" x14ac:dyDescent="0.3">
      <c r="A12" s="2">
        <f t="shared" si="0"/>
        <v>2018</v>
      </c>
      <c r="B12" s="3">
        <v>11</v>
      </c>
      <c r="C12" s="3">
        <f>[1]Emp_fi!C216</f>
        <v>7005</v>
      </c>
      <c r="D12" s="3">
        <f>[1]Emp_fi!D216</f>
        <v>1.1990754117307212</v>
      </c>
      <c r="E12" s="3">
        <f>[1]Emp_fi!E216</f>
        <v>-0.18017926717839053</v>
      </c>
      <c r="F12" s="3">
        <f>[1]Emp_fi!F216</f>
        <v>498669</v>
      </c>
      <c r="G12" s="3">
        <f>[1]Emp_fi!G216</f>
        <v>0.77643297556519997</v>
      </c>
      <c r="H12" s="3">
        <f>[1]Emp_fi!H216</f>
        <v>-0.22302117780592706</v>
      </c>
    </row>
    <row r="13" spans="1:8" x14ac:dyDescent="0.3">
      <c r="A13" s="2">
        <f t="shared" si="0"/>
        <v>2018</v>
      </c>
      <c r="B13" s="3">
        <v>12</v>
      </c>
      <c r="C13" s="3">
        <f>[1]Emp_fi!C217</f>
        <v>6944</v>
      </c>
      <c r="D13" s="3">
        <f>[1]Emp_fi!D217</f>
        <v>1.1065812463599389</v>
      </c>
      <c r="E13" s="3">
        <f>[1]Emp_fi!E217</f>
        <v>-0.31806526124327156</v>
      </c>
      <c r="F13" s="3">
        <f>[1]Emp_fi!F217</f>
        <v>521024</v>
      </c>
      <c r="G13" s="3">
        <f>[1]Emp_fi!G217</f>
        <v>1.9251422680331753</v>
      </c>
      <c r="H13" s="3">
        <f>[1]Emp_fi!H217</f>
        <v>-0.36803509243626126</v>
      </c>
    </row>
    <row r="14" spans="1:8" x14ac:dyDescent="0.3">
      <c r="A14" s="2">
        <v>2019</v>
      </c>
      <c r="B14" s="3">
        <v>1</v>
      </c>
      <c r="C14" s="3">
        <f>[1]Emp_fi!C218</f>
        <v>6769</v>
      </c>
      <c r="D14" s="3">
        <f>[1]Emp_fi!D218</f>
        <v>1.0600179157957523</v>
      </c>
      <c r="E14" s="3">
        <f>[1]Emp_fi!E218</f>
        <v>-0.45400393412359696</v>
      </c>
      <c r="F14" s="3">
        <f>[1]Emp_fi!F218</f>
        <v>504707</v>
      </c>
      <c r="G14" s="3">
        <f>[1]Emp_fi!G218</f>
        <v>1.0100868590641632</v>
      </c>
      <c r="H14" s="3">
        <f>[1]Emp_fi!H218</f>
        <v>-0.5139568183837866</v>
      </c>
    </row>
    <row r="15" spans="1:8" x14ac:dyDescent="0.3">
      <c r="A15" s="2">
        <f>A14</f>
        <v>2019</v>
      </c>
      <c r="B15" s="3">
        <v>2</v>
      </c>
      <c r="C15" s="3">
        <f>[1]Emp_fi!C219</f>
        <v>6810</v>
      </c>
      <c r="D15" s="3">
        <f>[1]Emp_fi!D219</f>
        <v>1.2940651494868449</v>
      </c>
      <c r="E15" s="3">
        <f>[1]Emp_fi!E219</f>
        <v>-0.58738166177278306</v>
      </c>
      <c r="F15" s="3">
        <f>[1]Emp_fi!F219</f>
        <v>498754</v>
      </c>
      <c r="G15" s="3">
        <f>[1]Emp_fi!G219</f>
        <v>1.4331705670246775</v>
      </c>
      <c r="H15" s="3">
        <f>[1]Emp_fi!H219</f>
        <v>-0.66013581275346078</v>
      </c>
    </row>
    <row r="16" spans="1:8" x14ac:dyDescent="0.3">
      <c r="A16" s="2">
        <f t="shared" ref="A16:A25" si="1">A15</f>
        <v>2019</v>
      </c>
      <c r="B16" s="3">
        <v>3</v>
      </c>
      <c r="C16" s="3">
        <f>[1]Emp_fi!C220</f>
        <v>6968</v>
      </c>
      <c r="D16" s="3">
        <f>[1]Emp_fi!D220</f>
        <v>-1.219166430394103</v>
      </c>
      <c r="E16" s="3">
        <f>[1]Emp_fi!E220</f>
        <v>-0.71747967973800175</v>
      </c>
      <c r="F16" s="3">
        <f>[1]Emp_fi!F220</f>
        <v>504308</v>
      </c>
      <c r="G16" s="3">
        <f>[1]Emp_fi!G220</f>
        <v>0.97266993693061465</v>
      </c>
      <c r="H16" s="3">
        <f>[1]Emp_fi!H220</f>
        <v>-0.80581569628375216</v>
      </c>
    </row>
    <row r="17" spans="1:8" x14ac:dyDescent="0.3">
      <c r="A17" s="2">
        <f t="shared" si="1"/>
        <v>2019</v>
      </c>
      <c r="B17" s="3">
        <v>4</v>
      </c>
      <c r="C17" s="3">
        <f>[1]Emp_fi!C221</f>
        <v>7069</v>
      </c>
      <c r="D17" s="3">
        <f>[1]Emp_fi!D221</f>
        <v>-0.99439775910363792</v>
      </c>
      <c r="E17" s="3">
        <f>[1]Emp_fi!E221</f>
        <v>-0.84344856753786512</v>
      </c>
      <c r="F17" s="3">
        <f>[1]Emp_fi!F221</f>
        <v>503538</v>
      </c>
      <c r="G17" s="3">
        <f>[1]Emp_fi!G221</f>
        <v>0.27181867603396359</v>
      </c>
      <c r="H17" s="3">
        <f>[1]Emp_fi!H221</f>
        <v>-0.9500947212145332</v>
      </c>
    </row>
    <row r="18" spans="1:8" x14ac:dyDescent="0.3">
      <c r="A18" s="2">
        <f t="shared" si="1"/>
        <v>2019</v>
      </c>
      <c r="B18" s="3">
        <v>5</v>
      </c>
      <c r="C18" s="3">
        <f>[1]Emp_fi!C222</f>
        <v>7128</v>
      </c>
      <c r="D18" s="3">
        <f>[1]Emp_fi!D222</f>
        <v>0.11235955056179137</v>
      </c>
      <c r="E18" s="3">
        <f>[1]Emp_fi!E222</f>
        <v>-0.96447374404866992</v>
      </c>
      <c r="F18" s="3">
        <f>[1]Emp_fi!F222</f>
        <v>507129</v>
      </c>
      <c r="G18" s="3">
        <f>[1]Emp_fi!G222</f>
        <v>0.24729282554292187</v>
      </c>
      <c r="H18" s="3">
        <f>[1]Emp_fi!H222</f>
        <v>-1.0919476338389256</v>
      </c>
    </row>
    <row r="19" spans="1:8" x14ac:dyDescent="0.3">
      <c r="A19" s="2">
        <f t="shared" si="1"/>
        <v>2019</v>
      </c>
      <c r="B19" s="3">
        <v>6</v>
      </c>
      <c r="C19" s="3">
        <f>[1]Emp_fi!C223</f>
        <v>7309</v>
      </c>
      <c r="D19" s="3">
        <f>[1]Emp_fi!D223</f>
        <v>0.21938845468256751</v>
      </c>
      <c r="E19" s="3">
        <f>[1]Emp_fi!E223</f>
        <v>-1.0797511107294604</v>
      </c>
      <c r="F19" s="3">
        <f>[1]Emp_fi!F223</f>
        <v>509973</v>
      </c>
      <c r="G19" s="3">
        <f>[1]Emp_fi!G223</f>
        <v>-0.12436154545170108</v>
      </c>
      <c r="H19" s="3">
        <f>[1]Emp_fi!H223</f>
        <v>-1.2302643253530197</v>
      </c>
    </row>
    <row r="20" spans="1:8" x14ac:dyDescent="0.3">
      <c r="A20" s="2">
        <f t="shared" si="1"/>
        <v>2019</v>
      </c>
      <c r="B20" s="3">
        <v>7</v>
      </c>
      <c r="C20" s="3">
        <f>[1]Emp_fi!C224</f>
        <v>7471</v>
      </c>
      <c r="D20" s="3">
        <f>[1]Emp_fi!D224</f>
        <v>-0.73079989370183895</v>
      </c>
      <c r="E20" s="3">
        <f>[1]Emp_fi!E224</f>
        <v>-1.1884017889493774</v>
      </c>
      <c r="F20" s="3">
        <f>[1]Emp_fi!F224</f>
        <v>498116</v>
      </c>
      <c r="G20" s="3">
        <f>[1]Emp_fi!G224</f>
        <v>-0.64168925644232377</v>
      </c>
      <c r="H20" s="3">
        <f>[1]Emp_fi!H224</f>
        <v>-1.3638416841432268</v>
      </c>
    </row>
    <row r="21" spans="1:8" x14ac:dyDescent="0.3">
      <c r="A21" s="2">
        <f t="shared" si="1"/>
        <v>2019</v>
      </c>
      <c r="B21" s="3">
        <v>8</v>
      </c>
      <c r="C21" s="3">
        <f>[1]Emp_fi!C225</f>
        <v>7456</v>
      </c>
      <c r="D21" s="3">
        <f>[1]Emp_fi!D225</f>
        <v>0.77037437491553895</v>
      </c>
      <c r="E21" s="3">
        <f>[1]Emp_fi!E225</f>
        <v>-1.2894566820521862</v>
      </c>
      <c r="F21" s="3">
        <f>[1]Emp_fi!F225</f>
        <v>495298</v>
      </c>
      <c r="G21" s="3">
        <f>[1]Emp_fi!G225</f>
        <v>0.60243900457415123</v>
      </c>
      <c r="H21" s="3">
        <f>[1]Emp_fi!H225</f>
        <v>-1.4913997997917985</v>
      </c>
    </row>
    <row r="22" spans="1:8" x14ac:dyDescent="0.3">
      <c r="A22" s="2">
        <f t="shared" si="1"/>
        <v>2019</v>
      </c>
      <c r="B22" s="3">
        <v>9</v>
      </c>
      <c r="C22" s="3">
        <f>[1]Emp_fi!C226</f>
        <v>7059</v>
      </c>
      <c r="D22" s="3">
        <f>[1]Emp_fi!D226</f>
        <v>-2.2705247127232431</v>
      </c>
      <c r="E22" s="3">
        <f>[1]Emp_fi!E226</f>
        <v>-1.3819149154722599</v>
      </c>
      <c r="F22" s="3">
        <f>[1]Emp_fi!F226</f>
        <v>497439</v>
      </c>
      <c r="G22" s="3">
        <f>[1]Emp_fi!G226</f>
        <v>-2.0008077305726069</v>
      </c>
      <c r="H22" s="3">
        <f>[1]Emp_fi!H226</f>
        <v>-1.6116086124068407</v>
      </c>
    </row>
    <row r="23" spans="1:8" x14ac:dyDescent="0.3">
      <c r="A23" s="2">
        <f t="shared" si="1"/>
        <v>2019</v>
      </c>
      <c r="B23" s="3">
        <v>10</v>
      </c>
      <c r="C23" s="3">
        <f>[1]Emp_fi!C227</f>
        <v>6939</v>
      </c>
      <c r="D23" s="3">
        <f>[1]Emp_fi!D227</f>
        <v>-1.4906303236797314</v>
      </c>
      <c r="E23" s="3">
        <f>[1]Emp_fi!E227</f>
        <v>-1.4646325708205712</v>
      </c>
      <c r="F23" s="3">
        <f>[1]Emp_fi!F227</f>
        <v>489323</v>
      </c>
      <c r="G23" s="3">
        <f>[1]Emp_fi!G227</f>
        <v>-1.1218994695630258</v>
      </c>
      <c r="H23" s="3">
        <f>[1]Emp_fi!H227</f>
        <v>-1.7229926566239342</v>
      </c>
    </row>
    <row r="24" spans="1:8" x14ac:dyDescent="0.3">
      <c r="A24" s="2">
        <f t="shared" si="1"/>
        <v>2019</v>
      </c>
      <c r="B24" s="3">
        <v>11</v>
      </c>
      <c r="C24" s="3">
        <f>[1]Emp_fi!C228</f>
        <v>6938</v>
      </c>
      <c r="D24" s="3">
        <f>[1]Emp_fi!D228</f>
        <v>-0.95645967166310131</v>
      </c>
      <c r="E24" s="3">
        <f>[1]Emp_fi!E228</f>
        <v>-1.5365274387217909</v>
      </c>
      <c r="F24" s="3">
        <f>[1]Emp_fi!F228</f>
        <v>499589</v>
      </c>
      <c r="G24" s="3">
        <f>[1]Emp_fi!G228</f>
        <v>0.18449111534906137</v>
      </c>
      <c r="H24" s="3">
        <f>[1]Emp_fi!H228</f>
        <v>-1.8241034947951986</v>
      </c>
    </row>
    <row r="25" spans="1:8" x14ac:dyDescent="0.3">
      <c r="A25" s="2">
        <f t="shared" si="1"/>
        <v>2019</v>
      </c>
      <c r="B25" s="3">
        <v>12</v>
      </c>
      <c r="C25" s="3">
        <f>[1]Emp_fi!C229</f>
        <v>6811</v>
      </c>
      <c r="D25" s="3">
        <f>[1]Emp_fi!D229</f>
        <v>-1.9153225806451624</v>
      </c>
      <c r="E25" s="3">
        <f>[1]Emp_fi!E229</f>
        <v>-1.5965191152000939</v>
      </c>
      <c r="F25" s="3">
        <f>[1]Emp_fi!F229</f>
        <v>511878</v>
      </c>
      <c r="G25" s="3">
        <f>[1]Emp_fi!G229</f>
        <v>-1.7553893870531856</v>
      </c>
      <c r="H25" s="3">
        <f>[1]Emp_fi!H229</f>
        <v>-1.9134509466903196</v>
      </c>
    </row>
    <row r="26" spans="1:8" x14ac:dyDescent="0.3">
      <c r="A26" s="2">
        <v>2020</v>
      </c>
      <c r="B26" s="3">
        <v>1</v>
      </c>
      <c r="C26" s="3">
        <f>[1]Emp_fi!C230</f>
        <v>6723</v>
      </c>
      <c r="D26" s="3">
        <f>[1]Emp_fi!D230</f>
        <v>-0.67956862165755583</v>
      </c>
      <c r="E26" s="3">
        <f>[1]Emp_fi!E230</f>
        <v>-1.6434869137958321</v>
      </c>
      <c r="F26" s="3">
        <f>[1]Emp_fi!F230</f>
        <v>493652</v>
      </c>
      <c r="G26" s="3">
        <f>[1]Emp_fi!G230</f>
        <v>-2.190379764893291</v>
      </c>
      <c r="H26" s="3">
        <f>[1]Emp_fi!H230</f>
        <v>-1.989405346342167</v>
      </c>
    </row>
    <row r="27" spans="1:8" x14ac:dyDescent="0.3">
      <c r="A27" s="2">
        <f>A26</f>
        <v>2020</v>
      </c>
      <c r="B27" s="3">
        <v>2</v>
      </c>
      <c r="C27" s="3">
        <f>[1]Emp_fi!C231</f>
        <v>6797</v>
      </c>
      <c r="D27" s="3">
        <f>[1]Emp_fi!D231</f>
        <v>-0.19089574155652933</v>
      </c>
      <c r="E27" s="3">
        <f>[1]Emp_fi!E231</f>
        <v>-1.6763322871789015</v>
      </c>
      <c r="F27" s="3">
        <f>[1]Emp_fi!F231</f>
        <v>494188</v>
      </c>
      <c r="G27" s="3">
        <f>[1]Emp_fi!G231</f>
        <v>-0.91548137959795994</v>
      </c>
      <c r="H27" s="3">
        <f>[1]Emp_fi!H231</f>
        <v>-2.0503260512864134</v>
      </c>
    </row>
    <row r="28" spans="1:8" x14ac:dyDescent="0.3">
      <c r="A28" s="2">
        <f t="shared" ref="A28:A37" si="2">A27</f>
        <v>2020</v>
      </c>
      <c r="B28" s="3">
        <v>3</v>
      </c>
      <c r="C28" s="3">
        <f>[1]Emp_fi!C232</f>
        <v>6305</v>
      </c>
      <c r="D28" s="3">
        <f>[1]Emp_fi!D232</f>
        <v>-9.5149253731343304</v>
      </c>
      <c r="E28" s="3">
        <f>[1]Emp_fi!E232</f>
        <v>-1.6938897492489109</v>
      </c>
      <c r="F28" s="3">
        <f>[1]Emp_fi!F232</f>
        <v>438860</v>
      </c>
      <c r="G28" s="3">
        <f>[1]Emp_fi!G232</f>
        <v>-12.97778341806991</v>
      </c>
      <c r="H28" s="3">
        <f>[1]Emp_fi!H232</f>
        <v>-2.0945863756155751</v>
      </c>
    </row>
    <row r="29" spans="1:8" x14ac:dyDescent="0.3">
      <c r="A29" s="2">
        <f t="shared" si="2"/>
        <v>2020</v>
      </c>
      <c r="B29" s="3">
        <v>4</v>
      </c>
      <c r="C29" s="3">
        <f>[1]Emp_fi!C233</f>
        <v>6242</v>
      </c>
      <c r="D29" s="3">
        <f>[1]Emp_fi!D233</f>
        <v>-11.698967322110621</v>
      </c>
      <c r="E29" s="3">
        <f>[1]Emp_fi!E233</f>
        <v>-1.6948906585898009</v>
      </c>
      <c r="F29" s="3">
        <f>[1]Emp_fi!F233</f>
        <v>435814</v>
      </c>
      <c r="G29" s="3">
        <f>[1]Emp_fi!G233</f>
        <v>-13.449630415182167</v>
      </c>
      <c r="H29" s="3">
        <f>[1]Emp_fi!H233</f>
        <v>-2.1204808247644129</v>
      </c>
    </row>
    <row r="30" spans="1:8" x14ac:dyDescent="0.3">
      <c r="A30" s="2">
        <f t="shared" si="2"/>
        <v>2020</v>
      </c>
      <c r="B30" s="3">
        <v>5</v>
      </c>
      <c r="C30" s="3">
        <f>[1]Emp_fi!C234</f>
        <v>6456</v>
      </c>
      <c r="D30" s="3">
        <f>[1]Emp_fi!D234</f>
        <v>-9.4276094276094291</v>
      </c>
      <c r="E30" s="3">
        <f>[1]Emp_fi!E234</f>
        <v>-1.6786095012593931</v>
      </c>
      <c r="F30" s="3">
        <f>[1]Emp_fi!F234</f>
        <v>452713</v>
      </c>
      <c r="G30" s="3">
        <f>[1]Emp_fi!G234</f>
        <v>-10.730208684575327</v>
      </c>
      <c r="H30" s="3">
        <f>[1]Emp_fi!H234</f>
        <v>-2.1270596817400795</v>
      </c>
    </row>
    <row r="31" spans="1:8" x14ac:dyDescent="0.3">
      <c r="A31" s="2">
        <f t="shared" si="2"/>
        <v>2020</v>
      </c>
      <c r="B31" s="3">
        <v>6</v>
      </c>
      <c r="C31" s="3">
        <f>[1]Emp_fi!C235</f>
        <v>6730</v>
      </c>
      <c r="D31" s="3">
        <f>[1]Emp_fi!D235</f>
        <v>-7.921740320153237</v>
      </c>
      <c r="E31" s="3">
        <f>[1]Emp_fi!E235</f>
        <v>-1.6450154908615868</v>
      </c>
      <c r="F31" s="3">
        <f>[1]Emp_fi!F235</f>
        <v>461663</v>
      </c>
      <c r="G31" s="3">
        <f>[1]Emp_fi!G235</f>
        <v>-9.4730505340478786</v>
      </c>
      <c r="H31" s="3">
        <f>[1]Emp_fi!H235</f>
        <v>-2.1141599760490628</v>
      </c>
    </row>
    <row r="32" spans="1:8" x14ac:dyDescent="0.3">
      <c r="A32" s="2">
        <f t="shared" si="2"/>
        <v>2020</v>
      </c>
      <c r="B32" s="3">
        <v>7</v>
      </c>
      <c r="C32" s="3">
        <f>[1]Emp_fi!C236</f>
        <v>7144</v>
      </c>
      <c r="D32" s="3">
        <f>[1]Emp_fi!D236</f>
        <v>-4.3769241065453102</v>
      </c>
      <c r="E32" s="3">
        <f>[1]Emp_fi!E236</f>
        <v>-1.5946159659951671</v>
      </c>
      <c r="F32" s="3">
        <f>[1]Emp_fi!F236</f>
        <v>468467</v>
      </c>
      <c r="G32" s="3">
        <f>[1]Emp_fi!G236</f>
        <v>-5.9522279950854795</v>
      </c>
      <c r="H32" s="3">
        <f>[1]Emp_fi!H236</f>
        <v>-2.082216178100825</v>
      </c>
    </row>
    <row r="33" spans="1:8" x14ac:dyDescent="0.3">
      <c r="A33" s="2">
        <f t="shared" si="2"/>
        <v>2020</v>
      </c>
      <c r="B33" s="3">
        <v>8</v>
      </c>
      <c r="C33" s="3">
        <f>[1]Emp_fi!C237</f>
        <v>7020</v>
      </c>
      <c r="D33" s="3">
        <f>[1]Emp_fi!D237</f>
        <v>-5.84763948497854</v>
      </c>
      <c r="E33" s="3">
        <f>[1]Emp_fi!E237</f>
        <v>-1.5283541489276196</v>
      </c>
      <c r="F33" s="3">
        <f>[1]Emp_fi!F237</f>
        <v>465367</v>
      </c>
      <c r="G33" s="3">
        <f>[1]Emp_fi!G237</f>
        <v>-6.0430286413431951</v>
      </c>
      <c r="H33" s="3">
        <f>[1]Emp_fi!H237</f>
        <v>-2.0321737923713563</v>
      </c>
    </row>
    <row r="34" spans="1:8" x14ac:dyDescent="0.3">
      <c r="A34" s="2">
        <f t="shared" si="2"/>
        <v>2020</v>
      </c>
      <c r="B34" s="3">
        <v>9</v>
      </c>
      <c r="C34" s="3">
        <f>[1]Emp_fi!C238</f>
        <v>6757</v>
      </c>
      <c r="D34" s="3">
        <f>[1]Emp_fi!D238</f>
        <v>-4.2782263776738887</v>
      </c>
      <c r="E34" s="3">
        <f>[1]Emp_fi!E238</f>
        <v>-1.4473664777695239</v>
      </c>
      <c r="F34" s="3">
        <f>[1]Emp_fi!F238</f>
        <v>470729</v>
      </c>
      <c r="G34" s="3">
        <f>[1]Emp_fi!G238</f>
        <v>-5.3695025922776418</v>
      </c>
      <c r="H34" s="3">
        <f>[1]Emp_fi!H238</f>
        <v>-1.9652470741572707</v>
      </c>
    </row>
    <row r="35" spans="1:8" x14ac:dyDescent="0.3">
      <c r="A35" s="2">
        <f t="shared" si="2"/>
        <v>2020</v>
      </c>
      <c r="B35" s="3">
        <v>10</v>
      </c>
      <c r="C35" s="3">
        <f>[1]Emp_fi!C239</f>
        <v>6767</v>
      </c>
      <c r="D35" s="3">
        <f>[1]Emp_fi!D239</f>
        <v>-2.4787433347744581</v>
      </c>
      <c r="E35" s="3">
        <f>[1]Emp_fi!E239</f>
        <v>-1.3530893410020186</v>
      </c>
      <c r="F35" s="3">
        <f>[1]Emp_fi!F239</f>
        <v>468668</v>
      </c>
      <c r="G35" s="3">
        <f>[1]Emp_fi!G239</f>
        <v>-4.2211381847981784</v>
      </c>
      <c r="H35" s="3">
        <f>[1]Emp_fi!H239</f>
        <v>-1.8829288103419164</v>
      </c>
    </row>
    <row r="36" spans="1:8" x14ac:dyDescent="0.3">
      <c r="A36" s="2">
        <f t="shared" si="2"/>
        <v>2020</v>
      </c>
      <c r="B36" s="3">
        <v>11</v>
      </c>
      <c r="C36" s="3">
        <f>[1]Emp_fi!C240</f>
        <v>6561</v>
      </c>
      <c r="D36" s="3">
        <f>[1]Emp_fi!D240</f>
        <v>-5.4338426059383105</v>
      </c>
      <c r="E36" s="3">
        <f>[1]Emp_fi!E240</f>
        <v>-1.2471557145992915</v>
      </c>
      <c r="F36" s="3">
        <f>[1]Emp_fi!F240</f>
        <v>473150</v>
      </c>
      <c r="G36" s="3">
        <f>[1]Emp_fi!G240</f>
        <v>-5.2921501474211823</v>
      </c>
      <c r="H36" s="3">
        <f>[1]Emp_fi!H240</f>
        <v>-1.7869481944418446</v>
      </c>
    </row>
    <row r="37" spans="1:8" x14ac:dyDescent="0.3">
      <c r="A37" s="2">
        <f t="shared" si="2"/>
        <v>2020</v>
      </c>
      <c r="B37" s="3">
        <v>12</v>
      </c>
      <c r="C37" s="3">
        <f>[1]Emp_fi!C241</f>
        <v>6422</v>
      </c>
      <c r="D37" s="3">
        <f>[1]Emp_fi!D241</f>
        <v>-5.711349287916601</v>
      </c>
      <c r="E37" s="3">
        <f>[1]Emp_fi!E241</f>
        <v>-1.1312767449517644</v>
      </c>
      <c r="F37" s="3">
        <f>[1]Emp_fi!F241</f>
        <v>482429</v>
      </c>
      <c r="G37" s="3">
        <f>[1]Emp_fi!G241</f>
        <v>-5.7531286751921318</v>
      </c>
      <c r="H37" s="3">
        <f>[1]Emp_fi!H241</f>
        <v>-1.6791967956246103</v>
      </c>
    </row>
    <row r="38" spans="1:8" x14ac:dyDescent="0.3">
      <c r="A38" s="2">
        <v>2021</v>
      </c>
      <c r="B38" s="3">
        <v>1</v>
      </c>
      <c r="C38" s="3">
        <f>[1]Emp_fi!C242</f>
        <v>6330</v>
      </c>
      <c r="D38" s="3">
        <f>[1]Emp_fi!D242</f>
        <v>-5.8456046407853623</v>
      </c>
      <c r="E38" s="3">
        <f>[1]Emp_fi!E242</f>
        <v>-1.0074543205950908</v>
      </c>
      <c r="F38" s="3">
        <f>[1]Emp_fi!F242</f>
        <v>472686</v>
      </c>
      <c r="G38" s="3">
        <f>[1]Emp_fi!G242</f>
        <v>-4.2471214539797302</v>
      </c>
      <c r="H38" s="3">
        <f>[1]Emp_fi!H242</f>
        <v>-1.5618095998600587</v>
      </c>
    </row>
    <row r="39" spans="1:8" x14ac:dyDescent="0.3">
      <c r="A39" s="2">
        <f>A38</f>
        <v>2021</v>
      </c>
      <c r="B39" s="3">
        <v>2</v>
      </c>
      <c r="C39" s="3">
        <f>[1]Emp_fi!C243</f>
        <v>6365</v>
      </c>
      <c r="D39" s="3">
        <f>[1]Emp_fi!D243</f>
        <v>-6.3557451816978023</v>
      </c>
      <c r="E39" s="3">
        <f>[1]Emp_fi!E243</f>
        <v>-0.87800839065818548</v>
      </c>
      <c r="F39" s="3">
        <f>[1]Emp_fi!F243</f>
        <v>463576</v>
      </c>
      <c r="G39" s="3">
        <f>[1]Emp_fi!G243</f>
        <v>-6.1944037491804771</v>
      </c>
      <c r="H39" s="3">
        <f>[1]Emp_fi!H243</f>
        <v>-1.4372045050541158</v>
      </c>
    </row>
    <row r="40" spans="1:8" x14ac:dyDescent="0.3">
      <c r="A40" s="2">
        <f t="shared" ref="A40:A49" si="3">A39</f>
        <v>2021</v>
      </c>
      <c r="B40" s="3">
        <v>3</v>
      </c>
      <c r="C40" s="3">
        <f>[1]Emp_fi!C244</f>
        <v>6541</v>
      </c>
      <c r="D40" s="3">
        <f>[1]Emp_fi!D244</f>
        <v>3.7430610626487004</v>
      </c>
      <c r="E40" s="3">
        <f>[1]Emp_fi!E244</f>
        <v>-0.74559488693108777</v>
      </c>
      <c r="F40" s="3">
        <f>[1]Emp_fi!F244</f>
        <v>459182</v>
      </c>
      <c r="G40" s="3">
        <f>[1]Emp_fi!G244</f>
        <v>4.6306339151437781</v>
      </c>
      <c r="H40" s="3">
        <f>[1]Emp_fi!H244</f>
        <v>-1.3079858891025768</v>
      </c>
    </row>
    <row r="41" spans="1:8" x14ac:dyDescent="0.3">
      <c r="A41" s="2">
        <f t="shared" si="3"/>
        <v>2021</v>
      </c>
      <c r="B41" s="3">
        <v>4</v>
      </c>
      <c r="C41" s="3">
        <f>[1]Emp_fi!C245</f>
        <v>6586</v>
      </c>
      <c r="D41" s="3">
        <f>[1]Emp_fi!D245</f>
        <v>5.5110541493111231</v>
      </c>
      <c r="E41" s="3">
        <f>[1]Emp_fi!E245</f>
        <v>-0.6132501395921035</v>
      </c>
      <c r="F41" s="3">
        <f>[1]Emp_fi!F245</f>
        <v>463458</v>
      </c>
      <c r="G41" s="3">
        <f>[1]Emp_fi!G245</f>
        <v>6.3430729623187965</v>
      </c>
      <c r="H41" s="3">
        <f>[1]Emp_fi!H245</f>
        <v>-1.1770884909598573</v>
      </c>
    </row>
    <row r="42" spans="1:8" x14ac:dyDescent="0.3">
      <c r="A42" s="2">
        <f t="shared" si="3"/>
        <v>2021</v>
      </c>
      <c r="B42" s="3">
        <v>5</v>
      </c>
      <c r="C42" s="3">
        <f>[1]Emp_fi!C246</f>
        <v>6734</v>
      </c>
      <c r="D42" s="3">
        <f>[1]Emp_fi!D246</f>
        <v>4.3060718711276369</v>
      </c>
      <c r="E42" s="3">
        <f>[1]Emp_fi!E246</f>
        <v>-0.48369876660081773</v>
      </c>
      <c r="F42" s="3">
        <f>[1]Emp_fi!F246</f>
        <v>470940</v>
      </c>
      <c r="G42" s="3">
        <f>[1]Emp_fi!G246</f>
        <v>4.0261711061975181</v>
      </c>
      <c r="H42" s="3">
        <f>[1]Emp_fi!H246</f>
        <v>-1.0470346454273001</v>
      </c>
    </row>
    <row r="43" spans="1:8" x14ac:dyDescent="0.3">
      <c r="A43" s="2">
        <f t="shared" si="3"/>
        <v>2021</v>
      </c>
      <c r="B43" s="3">
        <v>6</v>
      </c>
      <c r="C43" s="3">
        <f>[1]Emp_fi!C247</f>
        <v>6979</v>
      </c>
      <c r="D43" s="3">
        <f>[1]Emp_fi!D247</f>
        <v>3.699851411589905</v>
      </c>
      <c r="E43" s="3">
        <f>[1]Emp_fi!E247</f>
        <v>-0.35924008700786392</v>
      </c>
      <c r="F43" s="3">
        <f>[1]Emp_fi!F247</f>
        <v>475533</v>
      </c>
      <c r="G43" s="3">
        <f>[1]Emp_fi!G247</f>
        <v>3.0043559912750206</v>
      </c>
      <c r="H43" s="3">
        <f>[1]Emp_fi!H247</f>
        <v>-0.91982445387199208</v>
      </c>
    </row>
    <row r="44" spans="1:8" x14ac:dyDescent="0.3">
      <c r="A44" s="2">
        <f t="shared" si="3"/>
        <v>2021</v>
      </c>
      <c r="B44" s="3">
        <v>7</v>
      </c>
      <c r="C44" s="3">
        <f>[1]Emp_fi!C248</f>
        <v>7324</v>
      </c>
      <c r="D44" s="3">
        <f>[1]Emp_fi!D248</f>
        <v>2.519596864501672</v>
      </c>
      <c r="E44" s="3">
        <f>[1]Emp_fi!E248</f>
        <v>-0.24184079690292201</v>
      </c>
      <c r="F44" s="3">
        <f>[1]Emp_fi!F248</f>
        <v>479285</v>
      </c>
      <c r="G44" s="3">
        <f>[1]Emp_fi!G248</f>
        <v>2.3092341616378631</v>
      </c>
      <c r="H44" s="3">
        <f>[1]Emp_fi!H248</f>
        <v>-0.79710571170604627</v>
      </c>
    </row>
    <row r="45" spans="1:8" x14ac:dyDescent="0.3">
      <c r="A45" s="2">
        <f t="shared" si="3"/>
        <v>2021</v>
      </c>
      <c r="B45" s="3">
        <v>8</v>
      </c>
      <c r="C45" s="3">
        <f>[1]Emp_fi!C249</f>
        <v>7186</v>
      </c>
      <c r="D45" s="3">
        <f>[1]Emp_fi!D249</f>
        <v>2.3646723646723711</v>
      </c>
      <c r="E45" s="3">
        <f>[1]Emp_fi!E249</f>
        <v>-0.13318571102160273</v>
      </c>
      <c r="F45" s="3">
        <f>[1]Emp_fi!F249</f>
        <v>469835</v>
      </c>
      <c r="G45" s="3">
        <f>[1]Emp_fi!G249</f>
        <v>0.96010245677067285</v>
      </c>
      <c r="H45" s="3">
        <f>[1]Emp_fi!H249</f>
        <v>-0.6802537018106628</v>
      </c>
    </row>
    <row r="46" spans="1:8" x14ac:dyDescent="0.3">
      <c r="A46" s="2">
        <f t="shared" si="3"/>
        <v>2021</v>
      </c>
      <c r="B46" s="3">
        <v>9</v>
      </c>
      <c r="C46" s="3">
        <f>[1]Emp_fi!C250</f>
        <v>6919</v>
      </c>
      <c r="D46" s="3">
        <f>[1]Emp_fi!D250</f>
        <v>2.3975136895071802</v>
      </c>
      <c r="E46" s="3">
        <f>[1]Emp_fi!E250</f>
        <v>-3.4767877595252572E-2</v>
      </c>
      <c r="F46" s="3">
        <f>[1]Emp_fi!F250</f>
        <v>476291</v>
      </c>
      <c r="G46" s="3">
        <f>[1]Emp_fi!G250</f>
        <v>1.1815715624063916</v>
      </c>
      <c r="H46" s="3">
        <f>[1]Emp_fi!H250</f>
        <v>-0.57042798902028169</v>
      </c>
    </row>
    <row r="47" spans="1:8" x14ac:dyDescent="0.3">
      <c r="A47" s="2">
        <f t="shared" si="3"/>
        <v>2021</v>
      </c>
      <c r="B47" s="3">
        <v>10</v>
      </c>
      <c r="C47" s="3">
        <f>[1]Emp_fi!C251</f>
        <v>6942</v>
      </c>
      <c r="D47" s="3">
        <f>[1]Emp_fi!D251</f>
        <v>2.586079503472738</v>
      </c>
      <c r="E47" s="3">
        <f>[1]Emp_fi!E251</f>
        <v>5.2093117511149624E-2</v>
      </c>
      <c r="F47" s="3">
        <f>[1]Emp_fi!F251</f>
        <v>480265</v>
      </c>
      <c r="G47" s="3">
        <f>[1]Emp_fi!G251</f>
        <v>2.4744595321208207</v>
      </c>
      <c r="H47" s="3">
        <f>[1]Emp_fi!H251</f>
        <v>-0.4686742245472193</v>
      </c>
    </row>
    <row r="48" spans="1:8" x14ac:dyDescent="0.3">
      <c r="A48" s="2">
        <f t="shared" si="3"/>
        <v>2021</v>
      </c>
      <c r="B48" s="3">
        <v>11</v>
      </c>
      <c r="C48" s="3">
        <f>[1]Emp_fi!C252</f>
        <v>6833</v>
      </c>
      <c r="D48" s="3">
        <f>[1]Emp_fi!D252</f>
        <v>4.1457094955037244</v>
      </c>
      <c r="E48" s="3">
        <f>[1]Emp_fi!E252</f>
        <v>0.12624659687478493</v>
      </c>
      <c r="F48" s="3">
        <f>[1]Emp_fi!F252</f>
        <v>485902</v>
      </c>
      <c r="G48" s="3">
        <f>[1]Emp_fi!G252</f>
        <v>2.6951283948007942</v>
      </c>
      <c r="H48" s="3">
        <f>[1]Emp_fi!H252</f>
        <v>-0.37591639296827611</v>
      </c>
    </row>
    <row r="49" spans="1:8" x14ac:dyDescent="0.3">
      <c r="A49" s="2">
        <f t="shared" si="3"/>
        <v>2021</v>
      </c>
      <c r="B49" s="3">
        <v>12</v>
      </c>
      <c r="C49" s="3">
        <f>[1]Emp_fi!C253</f>
        <v>6775</v>
      </c>
      <c r="D49" s="3">
        <f>[1]Emp_fi!D253</f>
        <v>5.4967299906571121</v>
      </c>
      <c r="E49" s="3">
        <f>[1]Emp_fi!E253</f>
        <v>0.18671785434963728</v>
      </c>
      <c r="F49" s="3">
        <f>[1]Emp_fi!F253</f>
        <v>497534</v>
      </c>
      <c r="G49" s="3">
        <f>[1]Emp_fi!G253</f>
        <v>3.1310306801622723</v>
      </c>
      <c r="H49" s="3">
        <f>[1]Emp_fi!H253</f>
        <v>-0.29287409457159502</v>
      </c>
    </row>
    <row r="50" spans="1:8" x14ac:dyDescent="0.3">
      <c r="A50" s="2">
        <v>2022</v>
      </c>
      <c r="B50" s="3">
        <v>1</v>
      </c>
      <c r="C50" s="3">
        <f>[1]Emp_fi!C254</f>
        <v>6657</v>
      </c>
      <c r="D50" s="3">
        <f>[1]Emp_fi!D254</f>
        <v>5.1658767772511771</v>
      </c>
      <c r="E50" s="3">
        <f>[1]Emp_fi!E254</f>
        <v>0.23281131315765097</v>
      </c>
      <c r="F50" s="3">
        <f>[1]Emp_fi!F254</f>
        <v>481166</v>
      </c>
      <c r="G50" s="3">
        <f>[1]Emp_fi!G254</f>
        <v>1.7940027840892325</v>
      </c>
      <c r="H50" s="3">
        <f>[1]Emp_fi!H254</f>
        <v>-0.22005366264616835</v>
      </c>
    </row>
    <row r="51" spans="1:8" x14ac:dyDescent="0.3">
      <c r="A51" s="2">
        <f>A50</f>
        <v>2022</v>
      </c>
      <c r="B51" s="3">
        <v>2</v>
      </c>
      <c r="C51" s="3">
        <f>[1]Emp_fi!C255</f>
        <v>6711</v>
      </c>
      <c r="D51" s="3">
        <f>[1]Emp_fi!D255</f>
        <v>5.4359780047132711</v>
      </c>
      <c r="E51" s="3">
        <f>[1]Emp_fi!E255</f>
        <v>0.26420014736356945</v>
      </c>
      <c r="F51" s="3">
        <f>[1]Emp_fi!F255</f>
        <v>477987</v>
      </c>
      <c r="G51" s="3">
        <f>[1]Emp_fi!G255</f>
        <v>3.1086596372547293</v>
      </c>
      <c r="H51" s="3">
        <f>[1]Emp_fi!H255</f>
        <v>-0.1577236593160764</v>
      </c>
    </row>
    <row r="52" spans="1:8" x14ac:dyDescent="0.3">
      <c r="A52" s="2">
        <f t="shared" ref="A52:A61" si="4">A51</f>
        <v>2022</v>
      </c>
      <c r="B52" s="3">
        <v>3</v>
      </c>
      <c r="C52" s="3">
        <f>[1]Emp_fi!C256</f>
        <v>6822</v>
      </c>
      <c r="D52" s="3">
        <f>[1]Emp_fi!D256</f>
        <v>4.2959792080721648</v>
      </c>
      <c r="E52" s="3">
        <f>[1]Emp_fi!E256</f>
        <v>0.28090010502269824</v>
      </c>
      <c r="F52" s="3">
        <f>[1]Emp_fi!F256</f>
        <v>473673</v>
      </c>
      <c r="G52" s="3">
        <f>[1]Emp_fi!G256</f>
        <v>3.1558292790222708</v>
      </c>
      <c r="H52" s="3">
        <f>[1]Emp_fi!H256</f>
        <v>-0.10601278167437619</v>
      </c>
    </row>
    <row r="53" spans="1:8" x14ac:dyDescent="0.3">
      <c r="A53" s="2">
        <f t="shared" si="4"/>
        <v>2022</v>
      </c>
      <c r="B53" s="3">
        <v>4</v>
      </c>
      <c r="C53" s="3">
        <f>[1]Emp_fi!C257</f>
        <v>7002</v>
      </c>
      <c r="D53" s="3">
        <f>[1]Emp_fi!D257</f>
        <v>6.3164287883388903</v>
      </c>
      <c r="E53" s="3">
        <f>[1]Emp_fi!E257</f>
        <v>0.2832860854304366</v>
      </c>
      <c r="F53" s="3">
        <f>[1]Emp_fi!F257</f>
        <v>482911</v>
      </c>
      <c r="G53" s="3">
        <f>[1]Emp_fi!G257</f>
        <v>4.1973598470627316</v>
      </c>
      <c r="H53" s="3">
        <f>[1]Emp_fi!H257</f>
        <v>-6.4822894640751749E-2</v>
      </c>
    </row>
    <row r="54" spans="1:8" x14ac:dyDescent="0.3">
      <c r="A54" s="2">
        <f t="shared" si="4"/>
        <v>2022</v>
      </c>
      <c r="B54" s="3">
        <v>5</v>
      </c>
      <c r="C54" s="3">
        <f>[1]Emp_fi!C258</f>
        <v>6989</v>
      </c>
      <c r="D54" s="3">
        <f>[1]Emp_fi!D258</f>
        <v>3.7867537867537937</v>
      </c>
      <c r="E54" s="3">
        <f>[1]Emp_fi!E258</f>
        <v>0.2720118128198955</v>
      </c>
      <c r="F54" s="3">
        <f>[1]Emp_fi!F258</f>
        <v>483588</v>
      </c>
      <c r="G54" s="3">
        <f>[1]Emp_fi!G258</f>
        <v>2.6856924448974473</v>
      </c>
      <c r="H54" s="3">
        <f>[1]Emp_fi!H258</f>
        <v>-3.3829346325116499E-2</v>
      </c>
    </row>
    <row r="55" spans="1:8" x14ac:dyDescent="0.3">
      <c r="A55" s="2">
        <f t="shared" si="4"/>
        <v>2022</v>
      </c>
      <c r="B55" s="3">
        <v>6</v>
      </c>
      <c r="C55" s="3">
        <f>[1]Emp_fi!C259</f>
        <v>7081</v>
      </c>
      <c r="D55" s="3">
        <f>[1]Emp_fi!D259</f>
        <v>1.461527439461241</v>
      </c>
      <c r="E55" s="3">
        <f>[1]Emp_fi!E259</f>
        <v>0.24814997966744351</v>
      </c>
      <c r="F55" s="3">
        <f>[1]Emp_fi!F259</f>
        <v>480692</v>
      </c>
      <c r="G55" s="3">
        <f>[1]Emp_fi!G259</f>
        <v>1.0848879047300697</v>
      </c>
      <c r="H55" s="3">
        <f>[1]Emp_fi!H259</f>
        <v>-1.241149992476559E-2</v>
      </c>
    </row>
    <row r="56" spans="1:8" x14ac:dyDescent="0.3">
      <c r="A56" s="2">
        <f t="shared" si="4"/>
        <v>2022</v>
      </c>
      <c r="B56" s="3">
        <v>7</v>
      </c>
      <c r="C56" s="3">
        <f>[1]Emp_fi!C260</f>
        <v>7313</v>
      </c>
      <c r="D56" s="3">
        <f>[1]Emp_fi!D260</f>
        <v>-0.15019115237575598</v>
      </c>
      <c r="E56" s="3">
        <f>[1]Emp_fi!E260</f>
        <v>0.21301735775319458</v>
      </c>
      <c r="F56" s="3">
        <f>[1]Emp_fi!F260</f>
        <v>480535</v>
      </c>
      <c r="G56" s="3">
        <f>[1]Emp_fi!G260</f>
        <v>0.26080515768280854</v>
      </c>
      <c r="H56" s="3">
        <f>[1]Emp_fi!H260</f>
        <v>2.4013704295185127E-4</v>
      </c>
    </row>
    <row r="57" spans="1:8" x14ac:dyDescent="0.3">
      <c r="A57" s="2">
        <f t="shared" si="4"/>
        <v>2022</v>
      </c>
      <c r="B57" s="3">
        <v>8</v>
      </c>
      <c r="C57" s="3">
        <f>[1]Emp_fi!C261</f>
        <v>7154</v>
      </c>
      <c r="D57" s="3">
        <f>[1]Emp_fi!D261</f>
        <v>-0.44531032563317474</v>
      </c>
      <c r="E57" s="3">
        <f>[1]Emp_fi!E261</f>
        <v>0.16801498118085945</v>
      </c>
      <c r="F57" s="3">
        <f>[1]Emp_fi!F261</f>
        <v>470558</v>
      </c>
      <c r="G57" s="3">
        <f>[1]Emp_fi!G261</f>
        <v>0.15388381027381381</v>
      </c>
      <c r="H57" s="3">
        <f>[1]Emp_fi!H261</f>
        <v>5.0112584082321705E-3</v>
      </c>
    </row>
    <row r="58" spans="1:8" x14ac:dyDescent="0.3">
      <c r="A58" s="2">
        <f t="shared" si="4"/>
        <v>2022</v>
      </c>
      <c r="B58" s="3">
        <v>9</v>
      </c>
      <c r="C58" s="3">
        <f>[1]Emp_fi!C262</f>
        <v>6882</v>
      </c>
      <c r="D58" s="3">
        <f>[1]Emp_fi!D262</f>
        <v>-0.53475935828877219</v>
      </c>
      <c r="E58" s="3">
        <f>[1]Emp_fi!E262</f>
        <v>0.11451866124094545</v>
      </c>
      <c r="F58" s="3">
        <f>[1]Emp_fi!F262</f>
        <v>475355</v>
      </c>
      <c r="G58" s="3">
        <f>[1]Emp_fi!G262</f>
        <v>-0.19651851494149053</v>
      </c>
      <c r="H58" s="3">
        <f>[1]Emp_fi!H262</f>
        <v>2.8056527943717022E-3</v>
      </c>
    </row>
    <row r="59" spans="1:8" x14ac:dyDescent="0.3">
      <c r="A59" s="2">
        <f t="shared" si="4"/>
        <v>2022</v>
      </c>
      <c r="B59" s="3">
        <v>10</v>
      </c>
      <c r="C59" s="3">
        <f>[1]Emp_fi!C263</f>
        <v>6830</v>
      </c>
      <c r="D59" s="3">
        <f>[1]Emp_fi!D263</f>
        <v>-1.6133679055027383</v>
      </c>
      <c r="E59" s="3">
        <f>[1]Emp_fi!E263</f>
        <v>5.3861617188764477E-2</v>
      </c>
      <c r="F59" s="3">
        <f>[1]Emp_fi!F263</f>
        <v>472635</v>
      </c>
      <c r="G59" s="3">
        <f>[1]Emp_fi!G263</f>
        <v>-1.5887062350993686</v>
      </c>
      <c r="H59" s="3">
        <f>[1]Emp_fi!H263</f>
        <v>-5.4625528036758896E-3</v>
      </c>
    </row>
    <row r="60" spans="1:8" x14ac:dyDescent="0.3">
      <c r="A60" s="2">
        <f t="shared" si="4"/>
        <v>2022</v>
      </c>
      <c r="B60" s="3">
        <v>11</v>
      </c>
      <c r="C60" s="3">
        <f>[1]Emp_fi!C264</f>
        <v>6704</v>
      </c>
      <c r="D60" s="3">
        <f>[1]Emp_fi!D264</f>
        <v>-1.8878969705839355</v>
      </c>
      <c r="E60" s="3">
        <f>[1]Emp_fi!E264</f>
        <v>-1.2668020471727826E-2</v>
      </c>
      <c r="F60" s="3">
        <f>[1]Emp_fi!F264</f>
        <v>476615</v>
      </c>
      <c r="G60" s="3">
        <f>[1]Emp_fi!G264</f>
        <v>-1.9112907541026791</v>
      </c>
      <c r="H60" s="3">
        <f>[1]Emp_fi!H264</f>
        <v>-1.8893073347049708E-2</v>
      </c>
    </row>
    <row r="61" spans="1:8" x14ac:dyDescent="0.3">
      <c r="A61" s="2">
        <f t="shared" si="4"/>
        <v>2022</v>
      </c>
      <c r="B61" s="3">
        <v>12</v>
      </c>
      <c r="C61" s="3">
        <f>[1]Emp_fi!C265</f>
        <v>6639</v>
      </c>
      <c r="D61" s="3">
        <f>[1]Emp_fi!D265</f>
        <v>-2.0073800738007352</v>
      </c>
      <c r="E61" s="3">
        <f>[1]Emp_fi!E265</f>
        <v>-8.3897901064540495E-2</v>
      </c>
      <c r="F61" s="3">
        <f>[1]Emp_fi!F265</f>
        <v>485738</v>
      </c>
      <c r="G61" s="3">
        <f>[1]Emp_fi!G265</f>
        <v>-2.3708932454867382</v>
      </c>
      <c r="H61" s="3">
        <f>[1]Emp_fi!H265</f>
        <v>-3.6695571274826061E-2</v>
      </c>
    </row>
    <row r="62" spans="1:8" x14ac:dyDescent="0.3">
      <c r="A62" s="2">
        <v>2023</v>
      </c>
      <c r="B62" s="3">
        <v>1</v>
      </c>
      <c r="C62" s="3">
        <f>[1]Emp_fi!C266</f>
        <v>6492</v>
      </c>
      <c r="D62" s="3">
        <f>[1]Emp_fi!D266</f>
        <v>-2.4785939612438024</v>
      </c>
      <c r="E62" s="3">
        <f>[1]Emp_fi!E266</f>
        <v>-0.15878589814632924</v>
      </c>
      <c r="F62" s="3">
        <f>[1]Emp_fi!F266</f>
        <v>471700</v>
      </c>
      <c r="G62" s="3">
        <f>[1]Emp_fi!G266</f>
        <v>-1.9673044230057779</v>
      </c>
      <c r="H62" s="3">
        <f>[1]Emp_fi!H266</f>
        <v>-5.8211125531689278E-2</v>
      </c>
    </row>
    <row r="63" spans="1:8" x14ac:dyDescent="0.3">
      <c r="A63" s="2">
        <f>A62</f>
        <v>2023</v>
      </c>
      <c r="B63" s="3">
        <v>2</v>
      </c>
      <c r="C63" s="3">
        <f>[1]Emp_fi!C267</f>
        <v>6532</v>
      </c>
      <c r="D63" s="3">
        <f>[1]Emp_fi!D267</f>
        <v>-2.6672627030248863</v>
      </c>
      <c r="E63" s="3">
        <f>[1]Emp_fi!E267</f>
        <v>-0.23642346042463419</v>
      </c>
      <c r="F63" s="3">
        <f>[1]Emp_fi!F267</f>
        <v>471396</v>
      </c>
      <c r="G63" s="3">
        <f>[1]Emp_fi!G267</f>
        <v>-1.3789077945634554</v>
      </c>
      <c r="H63" s="3">
        <f>[1]Emp_fi!H267</f>
        <v>-8.2942912123032841E-2</v>
      </c>
    </row>
    <row r="64" spans="1:8" x14ac:dyDescent="0.3">
      <c r="A64" s="2">
        <f t="shared" ref="A64:A73" si="5">A63</f>
        <v>2023</v>
      </c>
      <c r="B64" s="3">
        <v>3</v>
      </c>
      <c r="C64" s="3">
        <f>[1]Emp_fi!C268</f>
        <v>6690</v>
      </c>
      <c r="D64" s="3">
        <f>[1]Emp_fi!D268</f>
        <v>-1.9349164467898028</v>
      </c>
      <c r="E64" s="3">
        <f>[1]Emp_fi!E268</f>
        <v>-0.31606313438915506</v>
      </c>
      <c r="F64" s="3">
        <f>[1]Emp_fi!F268</f>
        <v>472704</v>
      </c>
      <c r="G64" s="3">
        <f>[1]Emp_fi!G268</f>
        <v>-0.2045715081923638</v>
      </c>
      <c r="H64" s="3">
        <f>[1]Emp_fi!H268</f>
        <v>-0.11052668297768595</v>
      </c>
    </row>
    <row r="65" spans="1:8" x14ac:dyDescent="0.3">
      <c r="A65" s="2">
        <f t="shared" si="5"/>
        <v>2023</v>
      </c>
      <c r="B65" s="3">
        <v>4</v>
      </c>
      <c r="C65" s="3">
        <f>[1]Emp_fi!C269</f>
        <v>6867</v>
      </c>
      <c r="D65" s="3">
        <f>[1]Emp_fi!D269</f>
        <v>-1.9280205655527016</v>
      </c>
      <c r="E65" s="3">
        <f>[1]Emp_fi!E269</f>
        <v>-0.3971262748103277</v>
      </c>
      <c r="F65" s="3">
        <f>[1]Emp_fi!F269</f>
        <v>481540</v>
      </c>
      <c r="G65" s="3">
        <f>[1]Emp_fi!G269</f>
        <v>-0.28390324511141651</v>
      </c>
      <c r="H65" s="3">
        <f>[1]Emp_fi!H269</f>
        <v>-0.14068818758575838</v>
      </c>
    </row>
    <row r="66" spans="1:8" x14ac:dyDescent="0.3">
      <c r="A66" s="2">
        <f t="shared" si="5"/>
        <v>2023</v>
      </c>
      <c r="B66" s="3">
        <v>5</v>
      </c>
      <c r="C66" s="3">
        <f>[1]Emp_fi!C270</f>
        <v>6838</v>
      </c>
      <c r="D66" s="3">
        <f>[1]Emp_fi!D270</f>
        <v>-2.1605379882672748</v>
      </c>
      <c r="E66" s="3">
        <f>[1]Emp_fi!E270</f>
        <v>-0.47914665682750462</v>
      </c>
      <c r="F66" s="3">
        <f>[1]Emp_fi!F270</f>
        <v>478962</v>
      </c>
      <c r="G66" s="3">
        <f>[1]Emp_fi!G270</f>
        <v>-0.95659941934043147</v>
      </c>
      <c r="H66" s="3">
        <f>[1]Emp_fi!H270</f>
        <v>-0.17315970632799982</v>
      </c>
    </row>
    <row r="67" spans="1:8" x14ac:dyDescent="0.3">
      <c r="A67" s="2">
        <f t="shared" si="5"/>
        <v>2023</v>
      </c>
      <c r="B67" s="3">
        <v>6</v>
      </c>
      <c r="C67" s="3">
        <f>[1]Emp_fi!C271</f>
        <v>6956</v>
      </c>
      <c r="D67" s="3">
        <f>[1]Emp_fi!D271</f>
        <v>-1.7652873887868958</v>
      </c>
      <c r="E67" s="3">
        <f>[1]Emp_fi!E271</f>
        <v>-0.56176436768356219</v>
      </c>
      <c r="F67" s="3">
        <f>[1]Emp_fi!F271</f>
        <v>475640</v>
      </c>
      <c r="G67" s="3">
        <f>[1]Emp_fi!G271</f>
        <v>-1.0509848302031277</v>
      </c>
      <c r="H67" s="3">
        <f>[1]Emp_fi!H271</f>
        <v>-0.20768346507526592</v>
      </c>
    </row>
    <row r="68" spans="1:8" x14ac:dyDescent="0.3">
      <c r="A68" s="2">
        <f t="shared" si="5"/>
        <v>2023</v>
      </c>
      <c r="B68" s="3">
        <v>7</v>
      </c>
      <c r="C68" s="3">
        <f>[1]Emp_fi!C272</f>
        <v>7154</v>
      </c>
      <c r="D68" s="3">
        <f>[1]Emp_fi!D272</f>
        <v>-2.1742103104061217</v>
      </c>
      <c r="E68" s="3">
        <f>[1]Emp_fi!E272</f>
        <v>-0.64473625790828237</v>
      </c>
      <c r="F68" s="3">
        <f>[1]Emp_fi!F272</f>
        <v>472664</v>
      </c>
      <c r="G68" s="3">
        <f>[1]Emp_fi!G272</f>
        <v>-1.6379660170435018</v>
      </c>
      <c r="H68" s="3">
        <f>[1]Emp_fi!H272</f>
        <v>-0.24405609523403821</v>
      </c>
    </row>
    <row r="69" spans="1:8" x14ac:dyDescent="0.3">
      <c r="A69" s="2">
        <f t="shared" si="5"/>
        <v>2023</v>
      </c>
      <c r="B69" s="3">
        <v>8</v>
      </c>
      <c r="C69" s="3">
        <f>[1]Emp_fi!C273</f>
        <v>7010</v>
      </c>
      <c r="D69" s="3">
        <f>[1]Emp_fi!D273</f>
        <v>-2.0128599384959478</v>
      </c>
      <c r="E69" s="3">
        <f>[1]Emp_fi!E273</f>
        <v>-0.72790275601902377</v>
      </c>
      <c r="F69" s="3">
        <f>[1]Emp_fi!F273</f>
        <v>467245</v>
      </c>
      <c r="G69" s="3">
        <f>[1]Emp_fi!G273</f>
        <v>-0.70405773570951791</v>
      </c>
      <c r="H69" s="3">
        <f>[1]Emp_fi!H273</f>
        <v>-0.28213279080559878</v>
      </c>
    </row>
    <row r="70" spans="1:8" x14ac:dyDescent="0.3">
      <c r="A70" s="2">
        <f t="shared" si="5"/>
        <v>2023</v>
      </c>
      <c r="B70" s="3">
        <v>9</v>
      </c>
      <c r="C70" s="3">
        <f>[1]Emp_fi!C274</f>
        <v>6854</v>
      </c>
      <c r="D70" s="3">
        <f>[1]Emp_fi!D274</f>
        <v>-0.40685847137460485</v>
      </c>
      <c r="E70" s="3">
        <f>[1]Emp_fi!E274</f>
        <v>-0.81121050400901296</v>
      </c>
      <c r="F70" s="3">
        <f>[1]Emp_fi!F274</f>
        <v>476526</v>
      </c>
      <c r="G70" s="3">
        <f>[1]Emp_fi!G274</f>
        <v>0.24634220740289425</v>
      </c>
      <c r="H70" s="3">
        <f>[1]Emp_fi!H274</f>
        <v>-0.3218655450913554</v>
      </c>
    </row>
    <row r="71" spans="1:8" x14ac:dyDescent="0.3">
      <c r="A71" s="2">
        <f t="shared" si="5"/>
        <v>2023</v>
      </c>
      <c r="B71" s="3">
        <v>10</v>
      </c>
      <c r="C71" s="3">
        <f>[1]Emp_fi!C275</f>
        <v>6692</v>
      </c>
      <c r="D71" s="3">
        <f>[1]Emp_fi!D275</f>
        <v>-2.0204978038067312</v>
      </c>
      <c r="E71" s="3">
        <f>[1]Emp_fi!E275</f>
        <v>-0.89469537700914858</v>
      </c>
      <c r="F71" s="3">
        <f>[1]Emp_fi!F275</f>
        <v>468109</v>
      </c>
      <c r="G71" s="3">
        <f>[1]Emp_fi!G275</f>
        <v>-0.95760999502787492</v>
      </c>
      <c r="H71" s="3">
        <f>[1]Emp_fi!H275</f>
        <v>-0.363235651736112</v>
      </c>
    </row>
    <row r="72" spans="1:8" x14ac:dyDescent="0.3">
      <c r="A72" s="2">
        <f t="shared" si="5"/>
        <v>2023</v>
      </c>
      <c r="B72" s="3">
        <v>11</v>
      </c>
      <c r="C72" s="3">
        <f>[1]Emp_fi!C276</f>
        <v>6632</v>
      </c>
      <c r="D72" s="3">
        <f>[1]Emp_fi!D276</f>
        <v>-1.0739856801909253</v>
      </c>
      <c r="E72" s="3">
        <f>[1]Emp_fi!E276</f>
        <v>-0.97836517014806312</v>
      </c>
      <c r="F72" s="3">
        <f>[1]Emp_fi!F276</f>
        <v>476789</v>
      </c>
      <c r="G72" s="3">
        <f>[1]Emp_fi!G276</f>
        <v>3.6507453605105766E-2</v>
      </c>
      <c r="H72" s="3">
        <f>[1]Emp_fi!H276</f>
        <v>-0.40618494551297152</v>
      </c>
    </row>
    <row r="73" spans="1:8" x14ac:dyDescent="0.3">
      <c r="A73" s="2">
        <f t="shared" si="5"/>
        <v>2023</v>
      </c>
      <c r="B73" s="3">
        <v>12</v>
      </c>
      <c r="C73" s="3">
        <f>[1]Emp_fi!C277</f>
        <v>6561</v>
      </c>
      <c r="D73" s="3">
        <f>[1]Emp_fi!D277</f>
        <v>-1.1748757342973315</v>
      </c>
      <c r="E73" s="3">
        <f>[1]Emp_fi!E277</f>
        <v>-1.0623058592784724</v>
      </c>
      <c r="F73" s="3">
        <f>[1]Emp_fi!F277</f>
        <v>484514</v>
      </c>
      <c r="G73" s="3">
        <f>[1]Emp_fi!G277</f>
        <v>-0.25198769707126534</v>
      </c>
      <c r="H73" s="3">
        <f>[1]Emp_fi!H277</f>
        <v>-0.45069653719109892</v>
      </c>
    </row>
    <row r="74" spans="1:8" x14ac:dyDescent="0.3">
      <c r="A74" s="2">
        <v>2024</v>
      </c>
      <c r="B74" s="3">
        <v>1</v>
      </c>
      <c r="C74" s="3">
        <f>[1]Emp_fi!C278</f>
        <v>6429</v>
      </c>
      <c r="D74" s="3">
        <f>[1]Emp_fi!D278</f>
        <v>-0.97042513863215829</v>
      </c>
      <c r="E74" s="3">
        <f>[1]Emp_fi!E278</f>
        <v>-1.1466100605662897</v>
      </c>
      <c r="F74" s="3">
        <f>[1]Emp_fi!F278</f>
        <v>468824</v>
      </c>
      <c r="G74" s="3">
        <f>[1]Emp_fi!G278</f>
        <v>-0.60970956116175312</v>
      </c>
      <c r="H74" s="3">
        <f>[1]Emp_fi!H278</f>
        <v>-0.49672279501194261</v>
      </c>
    </row>
    <row r="75" spans="1:8" x14ac:dyDescent="0.3">
      <c r="A75" s="2">
        <f>A74</f>
        <v>2024</v>
      </c>
      <c r="B75" s="3">
        <v>2</v>
      </c>
      <c r="C75" s="3">
        <f>[1]Emp_fi!C279</f>
        <v>6467</v>
      </c>
      <c r="D75" s="3">
        <f>[1]Emp_fi!D279</f>
        <v>-0.99510104102877861</v>
      </c>
      <c r="E75" s="3">
        <f>[1]Emp_fi!E279</f>
        <v>-1.2313782075298598</v>
      </c>
      <c r="F75" s="3">
        <f>[1]Emp_fi!F279</f>
        <v>468367</v>
      </c>
      <c r="G75" s="3">
        <f>[1]Emp_fi!G279</f>
        <v>-0.64255954653836822</v>
      </c>
      <c r="H75" s="3">
        <f>[1]Emp_fi!H279</f>
        <v>-0.54420228799194259</v>
      </c>
    </row>
    <row r="76" spans="1:8" x14ac:dyDescent="0.3">
      <c r="A76" s="2">
        <f t="shared" ref="A76:A85" si="6">A75</f>
        <v>2024</v>
      </c>
      <c r="B76" s="3">
        <v>3</v>
      </c>
      <c r="C76" s="3">
        <f>[1]Emp_fi!C280</f>
        <v>6734</v>
      </c>
      <c r="D76" s="3">
        <f>[1]Emp_fi!D280</f>
        <v>0.65769805680120363</v>
      </c>
      <c r="E76" s="3">
        <f>[1]Emp_fi!E280</f>
        <v>-1.3166984986235049</v>
      </c>
      <c r="F76" s="3">
        <f>[1]Emp_fi!F280</f>
        <v>475618</v>
      </c>
      <c r="G76" s="3">
        <f>[1]Emp_fi!G280</f>
        <v>0.61645342539939918</v>
      </c>
      <c r="H76" s="3">
        <f>[1]Emp_fi!H280</f>
        <v>-0.59308143145074388</v>
      </c>
    </row>
    <row r="77" spans="1:8" x14ac:dyDescent="0.3">
      <c r="A77" s="2">
        <f t="shared" si="6"/>
        <v>2024</v>
      </c>
      <c r="B77" s="3">
        <v>4</v>
      </c>
      <c r="C77" s="3">
        <f>[1]Emp_fi!C281</f>
        <v>6707</v>
      </c>
      <c r="D77" s="3">
        <f>[1]Emp_fi!D281</f>
        <v>-2.3299839813601286</v>
      </c>
      <c r="E77" s="3">
        <f>[1]Emp_fi!E281</f>
        <v>-1.4026427241649841</v>
      </c>
      <c r="F77" s="3">
        <f>[1]Emp_fi!F281</f>
        <v>475598</v>
      </c>
      <c r="G77" s="3">
        <f>[1]Emp_fi!G281</f>
        <v>-1.2339577189849238</v>
      </c>
      <c r="H77" s="3">
        <f>[1]Emp_fi!H281</f>
        <v>-0.64331347107316827</v>
      </c>
    </row>
    <row r="78" spans="1:8" x14ac:dyDescent="0.3">
      <c r="A78" s="2">
        <f t="shared" si="6"/>
        <v>2024</v>
      </c>
      <c r="B78" s="3">
        <v>5</v>
      </c>
      <c r="C78" s="3">
        <f>[1]Emp_fi!C282</f>
        <v>6734</v>
      </c>
      <c r="D78" s="3">
        <f>[1]Emp_fi!D282</f>
        <v>-1.520912547528519</v>
      </c>
      <c r="E78" s="3">
        <f>[1]Emp_fi!E282</f>
        <v>-1.4891455636001523</v>
      </c>
      <c r="F78" s="3">
        <f>[1]Emp_fi!F282</f>
        <v>475383</v>
      </c>
      <c r="G78" s="3">
        <f>[1]Emp_fi!G282</f>
        <v>-0.7472409084645526</v>
      </c>
      <c r="H78" s="3">
        <f>[1]Emp_fi!H282</f>
        <v>-0.69476765706786725</v>
      </c>
    </row>
    <row r="79" spans="1:8" x14ac:dyDescent="0.3">
      <c r="A79" s="2">
        <f t="shared" si="6"/>
        <v>2024</v>
      </c>
      <c r="B79" s="3">
        <v>6</v>
      </c>
      <c r="C79" s="3">
        <f>[1]Emp_fi!C283</f>
        <v>6872</v>
      </c>
      <c r="D79" s="3">
        <f>[1]Emp_fi!D283</f>
        <v>-1.2075905692926936</v>
      </c>
      <c r="E79" s="3">
        <f>[1]Emp_fi!E283</f>
        <v>-1.5762060950732804</v>
      </c>
      <c r="F79" s="3">
        <f>[1]Emp_fi!F283</f>
        <v>475488</v>
      </c>
      <c r="G79" s="3">
        <f>[1]Emp_fi!G283</f>
        <v>-3.1956942225208618E-2</v>
      </c>
      <c r="H79" s="3">
        <f>[1]Emp_fi!H283</f>
        <v>-0.74735425660515309</v>
      </c>
    </row>
    <row r="80" spans="1:8" x14ac:dyDescent="0.3">
      <c r="A80" s="2">
        <f t="shared" si="6"/>
        <v>2024</v>
      </c>
      <c r="B80" s="3">
        <v>7</v>
      </c>
      <c r="C80" s="3">
        <f>[1]Emp_fi!C284</f>
        <v>7012</v>
      </c>
      <c r="D80" s="3">
        <f>[1]Emp_fi!D284</f>
        <v>-1.9849035504612811</v>
      </c>
      <c r="E80" s="3">
        <f>[1]Emp_fi!E284</f>
        <v>-1.66382560276919</v>
      </c>
      <c r="F80" s="3">
        <f>[1]Emp_fi!F284</f>
        <v>466679</v>
      </c>
      <c r="G80" s="3">
        <f>[1]Emp_fi!G284</f>
        <v>-1.2662271719445561</v>
      </c>
      <c r="H80" s="3">
        <f>[1]Emp_fi!H284</f>
        <v>-0.8009871808311293</v>
      </c>
    </row>
    <row r="81" spans="1:8" x14ac:dyDescent="0.3">
      <c r="A81" s="2">
        <f t="shared" si="6"/>
        <v>2024</v>
      </c>
      <c r="B81" s="3">
        <v>8</v>
      </c>
      <c r="C81" s="3">
        <f>[1]Emp_fi!C285</f>
        <v>7016</v>
      </c>
      <c r="D81" s="3">
        <f>[1]Emp_fi!D285</f>
        <v>8.5592011412272129E-2</v>
      </c>
      <c r="E81" s="3">
        <f>[1]Emp_fi!E285</f>
        <v>-1.7519797725723014</v>
      </c>
      <c r="F81" s="3">
        <f>[1]Emp_fi!F285</f>
        <v>465467</v>
      </c>
      <c r="G81" s="3">
        <f>[1]Emp_fi!G285</f>
        <v>-0.38052841656947001</v>
      </c>
      <c r="H81" s="3">
        <f>[1]Emp_fi!H285</f>
        <v>-0.85553066052284532</v>
      </c>
    </row>
    <row r="82" spans="1:8" x14ac:dyDescent="0.3">
      <c r="A82" s="2">
        <f t="shared" si="6"/>
        <v>2024</v>
      </c>
      <c r="B82" s="3">
        <v>9</v>
      </c>
      <c r="C82" s="3">
        <f>[1]Emp_fi!C286</f>
        <v>6655</v>
      </c>
      <c r="D82" s="3">
        <f>[1]Emp_fi!D286</f>
        <v>-2.9034140647796858</v>
      </c>
      <c r="E82" s="3">
        <f>[1]Emp_fi!E286</f>
        <v>-1.8406665874467356</v>
      </c>
      <c r="F82" s="3">
        <f>[1]Emp_fi!F286</f>
        <v>466346</v>
      </c>
      <c r="G82" s="3">
        <f>[1]Emp_fi!G286</f>
        <v>-2.1362947667073806</v>
      </c>
      <c r="H82" s="3">
        <f>[1]Emp_fi!H286</f>
        <v>-0.91088123479006677</v>
      </c>
    </row>
    <row r="83" spans="1:8" x14ac:dyDescent="0.3">
      <c r="A83" s="2">
        <f t="shared" si="6"/>
        <v>2024</v>
      </c>
      <c r="B83" s="3">
        <v>10</v>
      </c>
      <c r="C83" s="3">
        <f>[1]Emp_fi!C287</f>
        <v>6560</v>
      </c>
      <c r="D83" s="3">
        <f>[1]Emp_fi!D287</f>
        <v>-1.972504482964732</v>
      </c>
      <c r="E83" s="3">
        <f>[1]Emp_fi!E287</f>
        <v>-1.9297564212049481</v>
      </c>
      <c r="F83" s="3">
        <f>[1]Emp_fi!F287</f>
        <v>461561</v>
      </c>
      <c r="G83" s="3">
        <f>[1]Emp_fi!G287</f>
        <v>-1.3988195057134112</v>
      </c>
      <c r="H83" s="3">
        <f>[1]Emp_fi!H287</f>
        <v>-0.96690245647561801</v>
      </c>
    </row>
    <row r="84" spans="1:8" x14ac:dyDescent="0.3">
      <c r="A84" s="2">
        <f t="shared" si="6"/>
        <v>2024</v>
      </c>
      <c r="B84" s="3">
        <v>11</v>
      </c>
      <c r="C84" s="3">
        <f>[1]Emp_fi!C288</f>
        <v>6534</v>
      </c>
      <c r="D84" s="3">
        <f>[1]Emp_fi!D288</f>
        <v>-1.4776839565741828</v>
      </c>
      <c r="E84" s="3">
        <f>[1]Emp_fi!E288</f>
        <v>-2.0191934495675423</v>
      </c>
      <c r="F84" s="3">
        <f>[1]Emp_fi!F288</f>
        <v>476530</v>
      </c>
      <c r="G84" s="3">
        <f>[1]Emp_fi!G288</f>
        <v>-5.4321723026329316E-2</v>
      </c>
      <c r="H84" s="3">
        <f>[1]Emp_fi!H288</f>
        <v>-1.0235429765842621</v>
      </c>
    </row>
    <row r="85" spans="1:8" x14ac:dyDescent="0.3">
      <c r="A85" s="2">
        <f t="shared" si="6"/>
        <v>2024</v>
      </c>
      <c r="B85" s="3">
        <v>12</v>
      </c>
      <c r="C85" s="3">
        <f>[1]Emp_fi!C289</f>
        <v>6414</v>
      </c>
      <c r="D85" s="3">
        <f>[1]Emp_fi!D289</f>
        <v>-2.2405121170553266</v>
      </c>
      <c r="E85" s="3">
        <f>[1]Emp_fi!E289</f>
        <v>-2.1089248168705219</v>
      </c>
      <c r="F85" s="3">
        <f>[1]Emp_fi!F289</f>
        <v>481756</v>
      </c>
      <c r="G85" s="3">
        <f>[1]Emp_fi!G289</f>
        <v>-0.56923019768262417</v>
      </c>
      <c r="H85" s="3">
        <f>[1]Emp_fi!H289</f>
        <v>-1.0807814403602924</v>
      </c>
    </row>
    <row r="86" spans="1:8" x14ac:dyDescent="0.3">
      <c r="A86" s="2">
        <v>2025</v>
      </c>
      <c r="B86" s="3">
        <v>1</v>
      </c>
      <c r="C86" s="3">
        <f>[1]Emp_fi!C290</f>
        <v>6296</v>
      </c>
      <c r="D86" s="3">
        <f>[1]Emp_fi!D290</f>
        <v>-2.0687509721574071</v>
      </c>
      <c r="E86" s="3">
        <f>[1]Emp_fi!E290</f>
        <v>-2.198860062623988</v>
      </c>
      <c r="F86" s="3">
        <f>[1]Emp_fi!F290</f>
        <v>465979</v>
      </c>
      <c r="G86" s="3">
        <f>[1]Emp_fi!G290</f>
        <v>-0.60683753391465034</v>
      </c>
      <c r="H86" s="3">
        <f>[1]Emp_fi!H290</f>
        <v>-1.1385291860165057</v>
      </c>
    </row>
    <row r="87" spans="1:8" x14ac:dyDescent="0.3">
      <c r="A87" s="2">
        <v>2025</v>
      </c>
      <c r="B87" s="3">
        <v>2</v>
      </c>
      <c r="C87" s="3">
        <f>[1]Emp_fi!C291</f>
        <v>6342</v>
      </c>
      <c r="D87" s="3">
        <f>[1]Emp_fi!D291</f>
        <v>-1.9328900572135432</v>
      </c>
      <c r="E87" s="3">
        <f>[1]Emp_fi!E291</f>
        <v>-2.2889178643449992</v>
      </c>
      <c r="F87" s="3">
        <f>[1]Emp_fi!F291</f>
        <v>462223</v>
      </c>
      <c r="G87" s="3">
        <f>[1]Emp_fi!G291</f>
        <v>-1.3117918213708446</v>
      </c>
      <c r="H87" s="3">
        <f>[1]Emp_fi!H291</f>
        <v>-1.1966620273738455</v>
      </c>
    </row>
    <row r="88" spans="1:8" x14ac:dyDescent="0.3">
      <c r="A88" s="2">
        <v>2025</v>
      </c>
      <c r="B88" s="3">
        <v>3</v>
      </c>
      <c r="C88" s="3">
        <f>[1]Emp_fi!C292</f>
        <v>6424</v>
      </c>
      <c r="D88" s="3">
        <f>[1]Emp_fi!D292</f>
        <v>-4.6035046035046046</v>
      </c>
      <c r="E88" s="3">
        <f>[1]Emp_fi!E292</f>
        <v>-2.3790078641971091</v>
      </c>
      <c r="F88" s="3">
        <f>[1]Emp_fi!F292</f>
        <v>461932</v>
      </c>
      <c r="G88" s="3">
        <f>[1]Emp_fi!G292</f>
        <v>-2.8775193537670996</v>
      </c>
      <c r="H88" s="3">
        <f>[1]Emp_fi!H292</f>
        <v>-1.2550188552218597</v>
      </c>
    </row>
    <row r="89" spans="1:8" x14ac:dyDescent="0.3">
      <c r="A89" s="2">
        <v>2025</v>
      </c>
      <c r="B89" s="3">
        <v>4</v>
      </c>
      <c r="C89" s="3">
        <f>[1]Emp_fi!C293</f>
        <v>6559</v>
      </c>
      <c r="D89" s="3">
        <f>[1]Emp_fi!D293</f>
        <v>-2.2066497688981612</v>
      </c>
      <c r="E89" s="3">
        <f>[1]Emp_fi!E293</f>
        <v>-2.4690149801905976</v>
      </c>
      <c r="F89" s="3">
        <f>[1]Emp_fi!F293</f>
        <v>467497</v>
      </c>
      <c r="G89" s="3">
        <f>[1]Emp_fi!G293</f>
        <v>-1.7033292822930313</v>
      </c>
      <c r="H89" s="3">
        <f>[1]Emp_fi!H293</f>
        <v>-1.3134465554746788</v>
      </c>
    </row>
    <row r="90" spans="1:8" x14ac:dyDescent="0.3">
      <c r="A90" s="2">
        <v>2025</v>
      </c>
      <c r="B90" s="3">
        <v>5</v>
      </c>
      <c r="C90" s="3">
        <f>[1]Emp_fi!C294</f>
        <v>6598</v>
      </c>
      <c r="D90" s="3">
        <f>[1]Emp_fi!D294</f>
        <v>-2.0196020196020181</v>
      </c>
      <c r="E90" s="3">
        <f>[1]Emp_fi!E294</f>
        <v>-2.5589786092759748</v>
      </c>
      <c r="F90" s="3">
        <f>[1]Emp_fi!F294</f>
        <v>471258</v>
      </c>
      <c r="G90" s="3">
        <f>[1]Emp_fi!G294</f>
        <v>-0.86772139516978486</v>
      </c>
      <c r="H90" s="3">
        <f>[1]Emp_fi!H294</f>
        <v>-1.3719046876921659</v>
      </c>
    </row>
    <row r="91" spans="1:8" x14ac:dyDescent="0.3">
      <c r="A91" s="2">
        <v>2025</v>
      </c>
      <c r="B91" s="3">
        <v>6</v>
      </c>
      <c r="C91" s="3">
        <f>[1]Emp_fi!C295</f>
        <v>6642</v>
      </c>
      <c r="D91" s="3">
        <f>[1]Emp_fi!D295</f>
        <v>-3.3469150174621598</v>
      </c>
      <c r="E91" s="3">
        <f>[1]Emp_fi!E295</f>
        <v>-2.6489199285974112</v>
      </c>
      <c r="F91" s="3">
        <f>[1]Emp_fi!F295</f>
        <v>464259</v>
      </c>
      <c r="G91" s="3">
        <f>[1]Emp_fi!G295</f>
        <v>-2.3615737936604098</v>
      </c>
      <c r="H91" s="3">
        <f>[1]Emp_fi!H295</f>
        <v>-1.4303798866235464</v>
      </c>
    </row>
    <row r="92" spans="1:8" x14ac:dyDescent="0.3">
      <c r="A92" s="2">
        <v>2025</v>
      </c>
      <c r="B92" s="3">
        <v>7</v>
      </c>
      <c r="C92" s="3">
        <f>[1]Emp_fi!C296</f>
        <v>6846</v>
      </c>
      <c r="D92" s="3">
        <f>[1]Emp_fi!D296</f>
        <v>-2.3673702224757509</v>
      </c>
      <c r="E92" s="3">
        <f>[1]Emp_fi!E296</f>
        <v>-2.7388226585914608</v>
      </c>
      <c r="F92" s="3">
        <f>[1]Emp_fi!F296</f>
        <v>459816</v>
      </c>
      <c r="G92" s="3">
        <f>[1]Emp_fi!G296</f>
        <v>-1.4706039911802304</v>
      </c>
      <c r="H92" s="3">
        <f>[1]Emp_fi!H296</f>
        <v>-1.4888237742893984</v>
      </c>
    </row>
    <row r="93" spans="1:8" x14ac:dyDescent="0.3">
      <c r="A93" s="2">
        <v>2025</v>
      </c>
      <c r="B93" s="3">
        <v>8</v>
      </c>
      <c r="C93" s="3">
        <f>[1]Emp_fi!C297</f>
        <v>6824</v>
      </c>
      <c r="D93" s="3">
        <f>[1]Emp_fi!D297</f>
        <v>-2.7366020524515422</v>
      </c>
      <c r="E93" s="3">
        <f>[1]Emp_fi!E297</f>
        <v>-2.8287189915758488</v>
      </c>
      <c r="F93" s="3">
        <f>[1]Emp_fi!F297</f>
        <v>459272</v>
      </c>
      <c r="G93" s="3">
        <f>[1]Emp_fi!G297</f>
        <v>-1.3309214187042229</v>
      </c>
      <c r="H93" s="3">
        <f>[1]Emp_fi!H297</f>
        <v>-1.5472526389538441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98"/>
  <sheetViews>
    <sheetView topLeftCell="A79" workbookViewId="0">
      <selection activeCell="B94" sqref="B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140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50</v>
      </c>
      <c r="D1" s="2" t="s">
        <v>51</v>
      </c>
      <c r="E1" s="2" t="s">
        <v>52</v>
      </c>
      <c r="F1" s="2" t="s">
        <v>53</v>
      </c>
      <c r="G1" s="2" t="s">
        <v>54</v>
      </c>
      <c r="H1" s="2" t="s">
        <v>55</v>
      </c>
    </row>
    <row r="2" spans="1:8" x14ac:dyDescent="0.3">
      <c r="A2" s="2">
        <v>2018</v>
      </c>
      <c r="B2" s="3">
        <v>1</v>
      </c>
      <c r="C2" s="3">
        <f>[1]Emp_ju!C206</f>
        <v>9902</v>
      </c>
      <c r="D2" s="3">
        <f>[1]Emp_ju!D206</f>
        <v>1.3822053854817273</v>
      </c>
      <c r="E2" s="3">
        <f>[1]Emp_ju!E206</f>
        <v>0.49874307561028564</v>
      </c>
      <c r="F2" s="3">
        <f>[1]Emp_ju!F206</f>
        <v>812603</v>
      </c>
      <c r="G2" s="3">
        <f>[1]Emp_ju!G206</f>
        <v>1.5680113191793632</v>
      </c>
      <c r="H2" s="3">
        <f>[1]Emp_ju!H206</f>
        <v>1.3230355166659686</v>
      </c>
    </row>
    <row r="3" spans="1:8" x14ac:dyDescent="0.3">
      <c r="A3" s="2">
        <f>A2</f>
        <v>2018</v>
      </c>
      <c r="B3" s="3">
        <v>2</v>
      </c>
      <c r="C3" s="3">
        <f>[1]Emp_ju!C207</f>
        <v>9915</v>
      </c>
      <c r="D3" s="3">
        <f>[1]Emp_ju!D207</f>
        <v>1.1734693877551106</v>
      </c>
      <c r="E3" s="3">
        <f>[1]Emp_ju!E207</f>
        <v>0.50743482666520989</v>
      </c>
      <c r="F3" s="3">
        <f>[1]Emp_ju!F207</f>
        <v>815604</v>
      </c>
      <c r="G3" s="3">
        <f>[1]Emp_ju!G207</f>
        <v>1.4238566244773931</v>
      </c>
      <c r="H3" s="3">
        <f>[1]Emp_ju!H207</f>
        <v>1.3000065371757972</v>
      </c>
    </row>
    <row r="4" spans="1:8" x14ac:dyDescent="0.3">
      <c r="A4" s="2">
        <f t="shared" ref="A4:A13" si="0">A3</f>
        <v>2018</v>
      </c>
      <c r="B4" s="3">
        <v>3</v>
      </c>
      <c r="C4" s="3">
        <f>[1]Emp_ju!C208</f>
        <v>10101</v>
      </c>
      <c r="D4" s="3">
        <f>[1]Emp_ju!D208</f>
        <v>2.1747926360509817</v>
      </c>
      <c r="E4" s="3">
        <f>[1]Emp_ju!E208</f>
        <v>0.51238872880212016</v>
      </c>
      <c r="F4" s="3">
        <f>[1]Emp_ju!F208</f>
        <v>822152</v>
      </c>
      <c r="G4" s="3">
        <f>[1]Emp_ju!G208</f>
        <v>1.6700735920617937</v>
      </c>
      <c r="H4" s="3">
        <f>[1]Emp_ju!H208</f>
        <v>1.2724652690432479</v>
      </c>
    </row>
    <row r="5" spans="1:8" x14ac:dyDescent="0.3">
      <c r="A5" s="2">
        <f t="shared" si="0"/>
        <v>2018</v>
      </c>
      <c r="B5" s="3">
        <v>4</v>
      </c>
      <c r="C5" s="3">
        <f>[1]Emp_ju!C209</f>
        <v>10118</v>
      </c>
      <c r="D5" s="3">
        <f>[1]Emp_ju!D209</f>
        <v>1.1092235435195441</v>
      </c>
      <c r="E5" s="3">
        <f>[1]Emp_ju!E209</f>
        <v>0.51354348937806338</v>
      </c>
      <c r="F5" s="3">
        <f>[1]Emp_ju!F209</f>
        <v>825686</v>
      </c>
      <c r="G5" s="3">
        <f>[1]Emp_ju!G209</f>
        <v>1.1461051290531987</v>
      </c>
      <c r="H5" s="3">
        <f>[1]Emp_ju!H209</f>
        <v>1.2400835699502593</v>
      </c>
    </row>
    <row r="6" spans="1:8" x14ac:dyDescent="0.3">
      <c r="A6" s="2">
        <f t="shared" si="0"/>
        <v>2018</v>
      </c>
      <c r="B6" s="3">
        <v>5</v>
      </c>
      <c r="C6" s="3">
        <f>[1]Emp_ju!C210</f>
        <v>10127</v>
      </c>
      <c r="D6" s="3">
        <f>[1]Emp_ju!D210</f>
        <v>1.1486216540151917</v>
      </c>
      <c r="E6" s="3">
        <f>[1]Emp_ju!E210</f>
        <v>0.51095326046586764</v>
      </c>
      <c r="F6" s="3">
        <f>[1]Emp_ju!F210</f>
        <v>828898</v>
      </c>
      <c r="G6" s="3">
        <f>[1]Emp_ju!G210</f>
        <v>1.3108474613559684</v>
      </c>
      <c r="H6" s="3">
        <f>[1]Emp_ju!H210</f>
        <v>1.2026236631067291</v>
      </c>
    </row>
    <row r="7" spans="1:8" x14ac:dyDescent="0.3">
      <c r="A7" s="2">
        <f t="shared" si="0"/>
        <v>2018</v>
      </c>
      <c r="B7" s="3">
        <v>6</v>
      </c>
      <c r="C7" s="3">
        <f>[1]Emp_ju!C211</f>
        <v>10206</v>
      </c>
      <c r="D7" s="3">
        <f>[1]Emp_ju!D211</f>
        <v>1.7445917655268595</v>
      </c>
      <c r="E7" s="3">
        <f>[1]Emp_ju!E211</f>
        <v>0.50471356080878771</v>
      </c>
      <c r="F7" s="3">
        <f>[1]Emp_ju!F211</f>
        <v>832088</v>
      </c>
      <c r="G7" s="3">
        <f>[1]Emp_ju!G211</f>
        <v>1.9814418307654735</v>
      </c>
      <c r="H7" s="3">
        <f>[1]Emp_ju!H211</f>
        <v>1.159826412985987</v>
      </c>
    </row>
    <row r="8" spans="1:8" x14ac:dyDescent="0.3">
      <c r="A8" s="2">
        <f t="shared" si="0"/>
        <v>2018</v>
      </c>
      <c r="B8" s="3">
        <v>7</v>
      </c>
      <c r="C8" s="3">
        <f>[1]Emp_ju!C212</f>
        <v>10238</v>
      </c>
      <c r="D8" s="3">
        <f>[1]Emp_ju!D212</f>
        <v>0.89681679314081997</v>
      </c>
      <c r="E8" s="3">
        <f>[1]Emp_ju!E212</f>
        <v>0.49496419167740791</v>
      </c>
      <c r="F8" s="3">
        <f>[1]Emp_ju!F212</f>
        <v>824512</v>
      </c>
      <c r="G8" s="3">
        <f>[1]Emp_ju!G212</f>
        <v>1.3907983502253973</v>
      </c>
      <c r="H8" s="3">
        <f>[1]Emp_ju!H212</f>
        <v>1.1114572803791467</v>
      </c>
    </row>
    <row r="9" spans="1:8" x14ac:dyDescent="0.3">
      <c r="A9" s="2">
        <f t="shared" si="0"/>
        <v>2018</v>
      </c>
      <c r="B9" s="3">
        <v>8</v>
      </c>
      <c r="C9" s="3">
        <f>[1]Emp_ju!C213</f>
        <v>10189</v>
      </c>
      <c r="D9" s="3">
        <f>[1]Emp_ju!D213</f>
        <v>0.89117734429151607</v>
      </c>
      <c r="E9" s="3">
        <f>[1]Emp_ju!E213</f>
        <v>0.48193105699541794</v>
      </c>
      <c r="F9" s="3">
        <f>[1]Emp_ju!F213</f>
        <v>818967</v>
      </c>
      <c r="G9" s="3">
        <f>[1]Emp_ju!G213</f>
        <v>1.2840966430203826</v>
      </c>
      <c r="H9" s="3">
        <f>[1]Emp_ju!H213</f>
        <v>1.05746845685409</v>
      </c>
    </row>
    <row r="10" spans="1:8" x14ac:dyDescent="0.3">
      <c r="A10" s="2">
        <f t="shared" si="0"/>
        <v>2018</v>
      </c>
      <c r="B10" s="3">
        <v>9</v>
      </c>
      <c r="C10" s="3">
        <f>[1]Emp_ju!C214</f>
        <v>10165</v>
      </c>
      <c r="D10" s="3">
        <f>[1]Emp_ju!D214</f>
        <v>0.66349772232126014</v>
      </c>
      <c r="E10" s="3">
        <f>[1]Emp_ju!E214</f>
        <v>0.46586796711716483</v>
      </c>
      <c r="F10" s="3">
        <f>[1]Emp_ju!F214</f>
        <v>827879</v>
      </c>
      <c r="G10" s="3">
        <f>[1]Emp_ju!G214</f>
        <v>1.2924009807712133</v>
      </c>
      <c r="H10" s="3">
        <f>[1]Emp_ju!H214</f>
        <v>0.99787562058548196</v>
      </c>
    </row>
    <row r="11" spans="1:8" x14ac:dyDescent="0.3">
      <c r="A11" s="2">
        <f t="shared" si="0"/>
        <v>2018</v>
      </c>
      <c r="B11" s="3">
        <v>10</v>
      </c>
      <c r="C11" s="3">
        <f>[1]Emp_ju!C215</f>
        <v>10100</v>
      </c>
      <c r="D11" s="3">
        <f>[1]Emp_ju!D215</f>
        <v>0.64773293472843996</v>
      </c>
      <c r="E11" s="3">
        <f>[1]Emp_ju!E215</f>
        <v>0.4470571522780577</v>
      </c>
      <c r="F11" s="3">
        <f>[1]Emp_ju!F215</f>
        <v>825808</v>
      </c>
      <c r="G11" s="3">
        <f>[1]Emp_ju!G215</f>
        <v>1.1769145383128121</v>
      </c>
      <c r="H11" s="3">
        <f>[1]Emp_ju!H215</f>
        <v>0.93274595615393507</v>
      </c>
    </row>
    <row r="12" spans="1:8" x14ac:dyDescent="0.3">
      <c r="A12" s="2">
        <f t="shared" si="0"/>
        <v>2018</v>
      </c>
      <c r="B12" s="3">
        <v>11</v>
      </c>
      <c r="C12" s="3">
        <f>[1]Emp_ju!C216</f>
        <v>10054</v>
      </c>
      <c r="D12" s="3">
        <f>[1]Emp_ju!D216</f>
        <v>0.64064064064064397</v>
      </c>
      <c r="E12" s="3">
        <f>[1]Emp_ju!E216</f>
        <v>0.42579456700206159</v>
      </c>
      <c r="F12" s="3">
        <f>[1]Emp_ju!F216</f>
        <v>826214</v>
      </c>
      <c r="G12" s="3">
        <f>[1]Emp_ju!G216</f>
        <v>1.1375640973851908</v>
      </c>
      <c r="H12" s="3">
        <f>[1]Emp_ju!H216</f>
        <v>0.86221358572192208</v>
      </c>
    </row>
    <row r="13" spans="1:8" x14ac:dyDescent="0.3">
      <c r="A13" s="2">
        <f t="shared" si="0"/>
        <v>2018</v>
      </c>
      <c r="B13" s="3">
        <v>12</v>
      </c>
      <c r="C13" s="3">
        <f>[1]Emp_ju!C217</f>
        <v>9994</v>
      </c>
      <c r="D13" s="3">
        <f>[1]Emp_ju!D217</f>
        <v>0.47250427264502459</v>
      </c>
      <c r="E13" s="3">
        <f>[1]Emp_ju!E217</f>
        <v>0.40239010163136724</v>
      </c>
      <c r="F13" s="3">
        <f>[1]Emp_ju!F217</f>
        <v>825605</v>
      </c>
      <c r="G13" s="3">
        <f>[1]Emp_ju!G217</f>
        <v>1.30396157933097</v>
      </c>
      <c r="H13" s="3">
        <f>[1]Emp_ju!H217</f>
        <v>0.78646812431149749</v>
      </c>
    </row>
    <row r="14" spans="1:8" x14ac:dyDescent="0.3">
      <c r="A14" s="2">
        <v>2019</v>
      </c>
      <c r="B14" s="3">
        <v>1</v>
      </c>
      <c r="C14" s="3">
        <f>[1]Emp_ju!C218</f>
        <v>9955</v>
      </c>
      <c r="D14" s="3">
        <f>[1]Emp_ju!D218</f>
        <v>0.53524540496869832</v>
      </c>
      <c r="E14" s="3">
        <f>[1]Emp_ju!E218</f>
        <v>0.37716856637439022</v>
      </c>
      <c r="F14" s="3">
        <f>[1]Emp_ju!F218</f>
        <v>822254</v>
      </c>
      <c r="G14" s="3">
        <f>[1]Emp_ju!G218</f>
        <v>1.1876648252590716</v>
      </c>
      <c r="H14" s="3">
        <f>[1]Emp_ju!H218</f>
        <v>0.7057617666064574</v>
      </c>
    </row>
    <row r="15" spans="1:8" x14ac:dyDescent="0.3">
      <c r="A15" s="2">
        <f>A14</f>
        <v>2019</v>
      </c>
      <c r="B15" s="3">
        <v>2</v>
      </c>
      <c r="C15" s="3">
        <f>[1]Emp_ju!C219</f>
        <v>10028</v>
      </c>
      <c r="D15" s="3">
        <f>[1]Emp_ju!D219</f>
        <v>1.1396873424104781</v>
      </c>
      <c r="E15" s="3">
        <f>[1]Emp_ju!E219</f>
        <v>0.35045964047919992</v>
      </c>
      <c r="F15" s="3">
        <f>[1]Emp_ju!F219</f>
        <v>826243</v>
      </c>
      <c r="G15" s="3">
        <f>[1]Emp_ju!G219</f>
        <v>1.3044320528099451</v>
      </c>
      <c r="H15" s="3">
        <f>[1]Emp_ju!H219</f>
        <v>0.62046431943946589</v>
      </c>
    </row>
    <row r="16" spans="1:8" x14ac:dyDescent="0.3">
      <c r="A16" s="2">
        <f t="shared" ref="A16:A25" si="1">A15</f>
        <v>2019</v>
      </c>
      <c r="B16" s="3">
        <v>3</v>
      </c>
      <c r="C16" s="3">
        <f>[1]Emp_ju!C220</f>
        <v>10158</v>
      </c>
      <c r="D16" s="3">
        <f>[1]Emp_ju!D220</f>
        <v>0.5643005643005683</v>
      </c>
      <c r="E16" s="3">
        <f>[1]Emp_ju!E220</f>
        <v>0.32260398075210139</v>
      </c>
      <c r="F16" s="3">
        <f>[1]Emp_ju!F220</f>
        <v>833387</v>
      </c>
      <c r="G16" s="3">
        <f>[1]Emp_ju!G220</f>
        <v>1.3665356284482622</v>
      </c>
      <c r="H16" s="3">
        <f>[1]Emp_ju!H220</f>
        <v>0.53105511306560838</v>
      </c>
    </row>
    <row r="17" spans="1:8" x14ac:dyDescent="0.3">
      <c r="A17" s="2">
        <f t="shared" si="1"/>
        <v>2019</v>
      </c>
      <c r="B17" s="3">
        <v>4</v>
      </c>
      <c r="C17" s="3">
        <f>[1]Emp_ju!C221</f>
        <v>10196</v>
      </c>
      <c r="D17" s="3">
        <f>[1]Emp_ju!D221</f>
        <v>0.77090334058114163</v>
      </c>
      <c r="E17" s="3">
        <f>[1]Emp_ju!E221</f>
        <v>0.29399705147870048</v>
      </c>
      <c r="F17" s="3">
        <f>[1]Emp_ju!F221</f>
        <v>834810</v>
      </c>
      <c r="G17" s="3">
        <f>[1]Emp_ju!G221</f>
        <v>1.1050205526071721</v>
      </c>
      <c r="H17" s="3">
        <f>[1]Emp_ju!H221</f>
        <v>0.43816892495209986</v>
      </c>
    </row>
    <row r="18" spans="1:8" x14ac:dyDescent="0.3">
      <c r="A18" s="2">
        <f t="shared" si="1"/>
        <v>2019</v>
      </c>
      <c r="B18" s="3">
        <v>5</v>
      </c>
      <c r="C18" s="3">
        <f>[1]Emp_ju!C222</f>
        <v>10228</v>
      </c>
      <c r="D18" s="3">
        <f>[1]Emp_ju!D222</f>
        <v>0.99733385997826662</v>
      </c>
      <c r="E18" s="3">
        <f>[1]Emp_ju!E222</f>
        <v>0.26505110142957172</v>
      </c>
      <c r="F18" s="3">
        <f>[1]Emp_ju!F222</f>
        <v>836954</v>
      </c>
      <c r="G18" s="3">
        <f>[1]Emp_ju!G222</f>
        <v>0.97189280225069563</v>
      </c>
      <c r="H18" s="3">
        <f>[1]Emp_ju!H222</f>
        <v>0.34263041450146964</v>
      </c>
    </row>
    <row r="19" spans="1:8" x14ac:dyDescent="0.3">
      <c r="A19" s="2">
        <f t="shared" si="1"/>
        <v>2019</v>
      </c>
      <c r="B19" s="3">
        <v>6</v>
      </c>
      <c r="C19" s="3">
        <f>[1]Emp_ju!C223</f>
        <v>10297</v>
      </c>
      <c r="D19" s="3">
        <f>[1]Emp_ju!D223</f>
        <v>0.89163237311384869</v>
      </c>
      <c r="E19" s="3">
        <f>[1]Emp_ju!E223</f>
        <v>0.23621149786758841</v>
      </c>
      <c r="F19" s="3">
        <f>[1]Emp_ju!F223</f>
        <v>839352</v>
      </c>
      <c r="G19" s="3">
        <f>[1]Emp_ju!G223</f>
        <v>0.87298458816855717</v>
      </c>
      <c r="H19" s="3">
        <f>[1]Emp_ju!H223</f>
        <v>0.24541579830435034</v>
      </c>
    </row>
    <row r="20" spans="1:8" x14ac:dyDescent="0.3">
      <c r="A20" s="2">
        <f t="shared" si="1"/>
        <v>2019</v>
      </c>
      <c r="B20" s="3">
        <v>7</v>
      </c>
      <c r="C20" s="3">
        <f>[1]Emp_ju!C224</f>
        <v>10329</v>
      </c>
      <c r="D20" s="3">
        <f>[1]Emp_ju!D224</f>
        <v>0.88884547763234956</v>
      </c>
      <c r="E20" s="3">
        <f>[1]Emp_ju!E224</f>
        <v>0.20797446102496753</v>
      </c>
      <c r="F20" s="3">
        <f>[1]Emp_ju!F224</f>
        <v>830513</v>
      </c>
      <c r="G20" s="3">
        <f>[1]Emp_ju!G224</f>
        <v>0.72782445858883271</v>
      </c>
      <c r="H20" s="3">
        <f>[1]Emp_ju!H224</f>
        <v>0.14764430713040849</v>
      </c>
    </row>
    <row r="21" spans="1:8" x14ac:dyDescent="0.3">
      <c r="A21" s="2">
        <f t="shared" si="1"/>
        <v>2019</v>
      </c>
      <c r="B21" s="3">
        <v>8</v>
      </c>
      <c r="C21" s="3">
        <f>[1]Emp_ju!C225</f>
        <v>10296</v>
      </c>
      <c r="D21" s="3">
        <f>[1]Emp_ju!D225</f>
        <v>1.0501521248405199</v>
      </c>
      <c r="E21" s="3">
        <f>[1]Emp_ju!E225</f>
        <v>0.18088172647248482</v>
      </c>
      <c r="F21" s="3">
        <f>[1]Emp_ju!F225</f>
        <v>828044</v>
      </c>
      <c r="G21" s="3">
        <f>[1]Emp_ju!G225</f>
        <v>1.1083474669919546</v>
      </c>
      <c r="H21" s="3">
        <f>[1]Emp_ju!H225</f>
        <v>5.0577801019734366E-2</v>
      </c>
    </row>
    <row r="22" spans="1:8" x14ac:dyDescent="0.3">
      <c r="A22" s="2">
        <f t="shared" si="1"/>
        <v>2019</v>
      </c>
      <c r="B22" s="3">
        <v>9</v>
      </c>
      <c r="C22" s="3">
        <f>[1]Emp_ju!C226</f>
        <v>10158</v>
      </c>
      <c r="D22" s="3">
        <f>[1]Emp_ju!D226</f>
        <v>-6.886374815543439E-2</v>
      </c>
      <c r="E22" s="3">
        <f>[1]Emp_ju!E226</f>
        <v>0.15552231249040274</v>
      </c>
      <c r="F22" s="3">
        <f>[1]Emp_ju!F226</f>
        <v>830430</v>
      </c>
      <c r="G22" s="3">
        <f>[1]Emp_ju!G226</f>
        <v>0.30813681709525031</v>
      </c>
      <c r="H22" s="3">
        <f>[1]Emp_ju!H226</f>
        <v>-4.4390000862250346E-2</v>
      </c>
    </row>
    <row r="23" spans="1:8" x14ac:dyDescent="0.3">
      <c r="A23" s="2">
        <f t="shared" si="1"/>
        <v>2019</v>
      </c>
      <c r="B23" s="3">
        <v>10</v>
      </c>
      <c r="C23" s="3">
        <f>[1]Emp_ju!C227</f>
        <v>10133</v>
      </c>
      <c r="D23" s="3">
        <f>[1]Emp_ju!D227</f>
        <v>0.32673267326732702</v>
      </c>
      <c r="E23" s="3">
        <f>[1]Emp_ju!E227</f>
        <v>0.13254560335887039</v>
      </c>
      <c r="F23" s="3">
        <f>[1]Emp_ju!F227</f>
        <v>829592</v>
      </c>
      <c r="G23" s="3">
        <f>[1]Emp_ju!G227</f>
        <v>0.45821789084146136</v>
      </c>
      <c r="H23" s="3">
        <f>[1]Emp_ju!H227</f>
        <v>-0.13562497715331204</v>
      </c>
    </row>
    <row r="24" spans="1:8" x14ac:dyDescent="0.3">
      <c r="A24" s="2">
        <f t="shared" si="1"/>
        <v>2019</v>
      </c>
      <c r="B24" s="3">
        <v>11</v>
      </c>
      <c r="C24" s="3">
        <f>[1]Emp_ju!C228</f>
        <v>10124</v>
      </c>
      <c r="D24" s="3">
        <f>[1]Emp_ju!D228</f>
        <v>0.69624030236721257</v>
      </c>
      <c r="E24" s="3">
        <f>[1]Emp_ju!E228</f>
        <v>0.11258540099271425</v>
      </c>
      <c r="F24" s="3">
        <f>[1]Emp_ju!F228</f>
        <v>833394</v>
      </c>
      <c r="G24" s="3">
        <f>[1]Emp_ju!G228</f>
        <v>0.86902424795514133</v>
      </c>
      <c r="H24" s="3">
        <f>[1]Emp_ju!H228</f>
        <v>-0.22141288675986312</v>
      </c>
    </row>
    <row r="25" spans="1:8" x14ac:dyDescent="0.3">
      <c r="A25" s="2">
        <f t="shared" si="1"/>
        <v>2019</v>
      </c>
      <c r="B25" s="3">
        <v>12</v>
      </c>
      <c r="C25" s="3">
        <f>[1]Emp_ju!C229</f>
        <v>10027</v>
      </c>
      <c r="D25" s="3">
        <f>[1]Emp_ju!D229</f>
        <v>0.33019811887131656</v>
      </c>
      <c r="E25" s="3">
        <f>[1]Emp_ju!E229</f>
        <v>9.6288992519948893E-2</v>
      </c>
      <c r="F25" s="3">
        <f>[1]Emp_ju!F229</f>
        <v>828537</v>
      </c>
      <c r="G25" s="3">
        <f>[1]Emp_ju!G229</f>
        <v>0.35513350815463696</v>
      </c>
      <c r="H25" s="3">
        <f>[1]Emp_ju!H229</f>
        <v>-0.29990452430013537</v>
      </c>
    </row>
    <row r="26" spans="1:8" x14ac:dyDescent="0.3">
      <c r="A26" s="2">
        <v>2020</v>
      </c>
      <c r="B26" s="3">
        <v>1</v>
      </c>
      <c r="C26" s="3">
        <f>[1]Emp_ju!C230</f>
        <v>10007</v>
      </c>
      <c r="D26" s="3">
        <f>[1]Emp_ju!D230</f>
        <v>0.52235057759919545</v>
      </c>
      <c r="E26" s="3">
        <f>[1]Emp_ju!E230</f>
        <v>8.4344196658962145E-2</v>
      </c>
      <c r="F26" s="3">
        <f>[1]Emp_ju!F230</f>
        <v>824673</v>
      </c>
      <c r="G26" s="3">
        <f>[1]Emp_ju!G230</f>
        <v>0.29419133260524255</v>
      </c>
      <c r="H26" s="3">
        <f>[1]Emp_ju!H230</f>
        <v>-0.36900285777083441</v>
      </c>
    </row>
    <row r="27" spans="1:8" x14ac:dyDescent="0.3">
      <c r="A27" s="2">
        <f>A26</f>
        <v>2020</v>
      </c>
      <c r="B27" s="3">
        <v>2</v>
      </c>
      <c r="C27" s="3">
        <f>[1]Emp_ju!C231</f>
        <v>10096</v>
      </c>
      <c r="D27" s="3">
        <f>[1]Emp_ju!D231</f>
        <v>0.6781013163143168</v>
      </c>
      <c r="E27" s="3">
        <f>[1]Emp_ju!E231</f>
        <v>7.7455075817471755E-2</v>
      </c>
      <c r="F27" s="3">
        <f>[1]Emp_ju!F231</f>
        <v>830239</v>
      </c>
      <c r="G27" s="3">
        <f>[1]Emp_ju!G231</f>
        <v>0.4836349596910372</v>
      </c>
      <c r="H27" s="3">
        <f>[1]Emp_ju!H231</f>
        <v>-0.42646198288856246</v>
      </c>
    </row>
    <row r="28" spans="1:8" x14ac:dyDescent="0.3">
      <c r="A28" s="2">
        <f t="shared" ref="A28:A37" si="2">A27</f>
        <v>2020</v>
      </c>
      <c r="B28" s="3">
        <v>3</v>
      </c>
      <c r="C28" s="3">
        <f>[1]Emp_ju!C232</f>
        <v>9845</v>
      </c>
      <c r="D28" s="3">
        <f>[1]Emp_ju!D232</f>
        <v>-3.0813152195313998</v>
      </c>
      <c r="E28" s="3">
        <f>[1]Emp_ju!E232</f>
        <v>7.6356109512982995E-2</v>
      </c>
      <c r="F28" s="3">
        <f>[1]Emp_ju!F232</f>
        <v>799694</v>
      </c>
      <c r="G28" s="3">
        <f>[1]Emp_ju!G232</f>
        <v>-4.0428996372633641</v>
      </c>
      <c r="H28" s="3">
        <f>[1]Emp_ju!H232</f>
        <v>-0.46988526941756364</v>
      </c>
    </row>
    <row r="29" spans="1:8" x14ac:dyDescent="0.3">
      <c r="A29" s="2">
        <f t="shared" si="2"/>
        <v>2020</v>
      </c>
      <c r="B29" s="3">
        <v>4</v>
      </c>
      <c r="C29" s="3">
        <f>[1]Emp_ju!C233</f>
        <v>9811</v>
      </c>
      <c r="D29" s="3">
        <f>[1]Emp_ju!D233</f>
        <v>-3.7759905845429542</v>
      </c>
      <c r="E29" s="3">
        <f>[1]Emp_ju!E233</f>
        <v>8.1823488807480096E-2</v>
      </c>
      <c r="F29" s="3">
        <f>[1]Emp_ju!F233</f>
        <v>797373</v>
      </c>
      <c r="G29" s="3">
        <f>[1]Emp_ju!G233</f>
        <v>-4.4844934775577716</v>
      </c>
      <c r="H29" s="3">
        <f>[1]Emp_ju!H233</f>
        <v>-0.49666924690785935</v>
      </c>
    </row>
    <row r="30" spans="1:8" x14ac:dyDescent="0.3">
      <c r="A30" s="2">
        <f t="shared" si="2"/>
        <v>2020</v>
      </c>
      <c r="B30" s="3">
        <v>5</v>
      </c>
      <c r="C30" s="3">
        <f>[1]Emp_ju!C234</f>
        <v>9910</v>
      </c>
      <c r="D30" s="3">
        <f>[1]Emp_ju!D234</f>
        <v>-3.109112240907308</v>
      </c>
      <c r="E30" s="3">
        <f>[1]Emp_ju!E234</f>
        <v>9.4414122031763636E-2</v>
      </c>
      <c r="F30" s="3">
        <f>[1]Emp_ju!F234</f>
        <v>806704</v>
      </c>
      <c r="G30" s="3">
        <f>[1]Emp_ju!G234</f>
        <v>-3.614296604114442</v>
      </c>
      <c r="H30" s="3">
        <f>[1]Emp_ju!H234</f>
        <v>-0.50502249362943585</v>
      </c>
    </row>
    <row r="31" spans="1:8" x14ac:dyDescent="0.3">
      <c r="A31" s="2">
        <f t="shared" si="2"/>
        <v>2020</v>
      </c>
      <c r="B31" s="3">
        <v>6</v>
      </c>
      <c r="C31" s="3">
        <f>[1]Emp_ju!C235</f>
        <v>10018</v>
      </c>
      <c r="D31" s="3">
        <f>[1]Emp_ju!D235</f>
        <v>-2.7095270467126342</v>
      </c>
      <c r="E31" s="3">
        <f>[1]Emp_ju!E235</f>
        <v>0.11441701376154043</v>
      </c>
      <c r="F31" s="3">
        <f>[1]Emp_ju!F235</f>
        <v>811676</v>
      </c>
      <c r="G31" s="3">
        <f>[1]Emp_ju!G235</f>
        <v>-3.2973055404645457</v>
      </c>
      <c r="H31" s="3">
        <f>[1]Emp_ju!H235</f>
        <v>-0.4940599115410636</v>
      </c>
    </row>
    <row r="32" spans="1:8" x14ac:dyDescent="0.3">
      <c r="A32" s="2">
        <f t="shared" si="2"/>
        <v>2020</v>
      </c>
      <c r="B32" s="3">
        <v>7</v>
      </c>
      <c r="C32" s="3">
        <f>[1]Emp_ju!C236</f>
        <v>10166</v>
      </c>
      <c r="D32" s="3">
        <f>[1]Emp_ju!D236</f>
        <v>-1.5780811307967824</v>
      </c>
      <c r="E32" s="3">
        <f>[1]Emp_ju!E236</f>
        <v>0.14189870146397984</v>
      </c>
      <c r="F32" s="3">
        <f>[1]Emp_ju!F236</f>
        <v>813879</v>
      </c>
      <c r="G32" s="3">
        <f>[1]Emp_ju!G236</f>
        <v>-2.0028584742201483</v>
      </c>
      <c r="H32" s="3">
        <f>[1]Emp_ju!H236</f>
        <v>-0.46360305580844152</v>
      </c>
    </row>
    <row r="33" spans="1:8" x14ac:dyDescent="0.3">
      <c r="A33" s="2">
        <f t="shared" si="2"/>
        <v>2020</v>
      </c>
      <c r="B33" s="3">
        <v>8</v>
      </c>
      <c r="C33" s="3">
        <f>[1]Emp_ju!C237</f>
        <v>10146</v>
      </c>
      <c r="D33" s="3">
        <f>[1]Emp_ju!D237</f>
        <v>-1.4568764568764547</v>
      </c>
      <c r="E33" s="3">
        <f>[1]Emp_ju!E237</f>
        <v>0.17672961537982945</v>
      </c>
      <c r="F33" s="3">
        <f>[1]Emp_ju!F237</f>
        <v>811612</v>
      </c>
      <c r="G33" s="3">
        <f>[1]Emp_ju!G237</f>
        <v>-1.9844356097018956</v>
      </c>
      <c r="H33" s="3">
        <f>[1]Emp_ju!H237</f>
        <v>-0.41411058287656921</v>
      </c>
    </row>
    <row r="34" spans="1:8" x14ac:dyDescent="0.3">
      <c r="A34" s="2">
        <f t="shared" si="2"/>
        <v>2020</v>
      </c>
      <c r="B34" s="3">
        <v>9</v>
      </c>
      <c r="C34" s="3">
        <f>[1]Emp_ju!C238</f>
        <v>10025</v>
      </c>
      <c r="D34" s="3">
        <f>[1]Emp_ju!D238</f>
        <v>-1.3093128568615886</v>
      </c>
      <c r="E34" s="3">
        <f>[1]Emp_ju!E238</f>
        <v>0.21866074270592983</v>
      </c>
      <c r="F34" s="3">
        <f>[1]Emp_ju!F238</f>
        <v>815930</v>
      </c>
      <c r="G34" s="3">
        <f>[1]Emp_ju!G238</f>
        <v>-1.7460833544067578</v>
      </c>
      <c r="H34" s="3">
        <f>[1]Emp_ju!H238</f>
        <v>-0.3463909799673579</v>
      </c>
    </row>
    <row r="35" spans="1:8" x14ac:dyDescent="0.3">
      <c r="A35" s="2">
        <f t="shared" si="2"/>
        <v>2020</v>
      </c>
      <c r="B35" s="3">
        <v>10</v>
      </c>
      <c r="C35" s="3">
        <f>[1]Emp_ju!C239</f>
        <v>10021</v>
      </c>
      <c r="D35" s="3">
        <f>[1]Emp_ju!D239</f>
        <v>-1.1052995164314572</v>
      </c>
      <c r="E35" s="3">
        <f>[1]Emp_ju!E239</f>
        <v>0.26732962577299263</v>
      </c>
      <c r="F35" s="3">
        <f>[1]Emp_ju!F239</f>
        <v>817768</v>
      </c>
      <c r="G35" s="3">
        <f>[1]Emp_ju!G239</f>
        <v>-1.425278932294427</v>
      </c>
      <c r="H35" s="3">
        <f>[1]Emp_ju!H239</f>
        <v>-0.26160962635427004</v>
      </c>
    </row>
    <row r="36" spans="1:8" x14ac:dyDescent="0.3">
      <c r="A36" s="2">
        <f t="shared" si="2"/>
        <v>2020</v>
      </c>
      <c r="B36" s="3">
        <v>11</v>
      </c>
      <c r="C36" s="3">
        <f>[1]Emp_ju!C240</f>
        <v>9943</v>
      </c>
      <c r="D36" s="3">
        <f>[1]Emp_ju!D240</f>
        <v>-1.787830896878706</v>
      </c>
      <c r="E36" s="3">
        <f>[1]Emp_ju!E240</f>
        <v>0.32226769763398178</v>
      </c>
      <c r="F36" s="3">
        <f>[1]Emp_ju!F240</f>
        <v>814653</v>
      </c>
      <c r="G36" s="3">
        <f>[1]Emp_ju!G240</f>
        <v>-2.2487562905420533</v>
      </c>
      <c r="H36" s="3">
        <f>[1]Emp_ju!H240</f>
        <v>-0.1612500132140498</v>
      </c>
    </row>
    <row r="37" spans="1:8" x14ac:dyDescent="0.3">
      <c r="A37" s="2">
        <f t="shared" si="2"/>
        <v>2020</v>
      </c>
      <c r="B37" s="3">
        <v>12</v>
      </c>
      <c r="C37" s="3">
        <f>[1]Emp_ju!C241</f>
        <v>9867</v>
      </c>
      <c r="D37" s="3">
        <f>[1]Emp_ju!D241</f>
        <v>-1.5956916325920001</v>
      </c>
      <c r="E37" s="3">
        <f>[1]Emp_ju!E241</f>
        <v>0.38291106987365253</v>
      </c>
      <c r="F37" s="3">
        <f>[1]Emp_ju!F241</f>
        <v>813227</v>
      </c>
      <c r="G37" s="3">
        <f>[1]Emp_ju!G241</f>
        <v>-1.8478354014365039</v>
      </c>
      <c r="H37" s="3">
        <f>[1]Emp_ju!H241</f>
        <v>-4.7060102020245888E-2</v>
      </c>
    </row>
    <row r="38" spans="1:8" x14ac:dyDescent="0.3">
      <c r="A38" s="2">
        <v>2021</v>
      </c>
      <c r="B38" s="3">
        <v>1</v>
      </c>
      <c r="C38" s="3">
        <f>[1]Emp_ju!C242</f>
        <v>9824</v>
      </c>
      <c r="D38" s="3">
        <f>[1]Emp_ju!D242</f>
        <v>-1.8287198960727502</v>
      </c>
      <c r="E38" s="3">
        <f>[1]Emp_ju!E242</f>
        <v>0.44854931945214116</v>
      </c>
      <c r="F38" s="3">
        <f>[1]Emp_ju!F242</f>
        <v>810258</v>
      </c>
      <c r="G38" s="3">
        <f>[1]Emp_ju!G242</f>
        <v>-1.7479655572572361</v>
      </c>
      <c r="H38" s="3">
        <f>[1]Emp_ju!H242</f>
        <v>7.8737712508745727E-2</v>
      </c>
    </row>
    <row r="39" spans="1:8" x14ac:dyDescent="0.3">
      <c r="A39" s="2">
        <f>A38</f>
        <v>2021</v>
      </c>
      <c r="B39" s="3">
        <v>2</v>
      </c>
      <c r="C39" s="3">
        <f>[1]Emp_ju!C243</f>
        <v>9874</v>
      </c>
      <c r="D39" s="3">
        <f>[1]Emp_ju!D243</f>
        <v>-2.1988906497622862</v>
      </c>
      <c r="E39" s="3">
        <f>[1]Emp_ju!E243</f>
        <v>0.51833462036413491</v>
      </c>
      <c r="F39" s="3">
        <f>[1]Emp_ju!F243</f>
        <v>812514</v>
      </c>
      <c r="G39" s="3">
        <f>[1]Emp_ju!G243</f>
        <v>-2.1349274124679796</v>
      </c>
      <c r="H39" s="3">
        <f>[1]Emp_ju!H243</f>
        <v>0.21351176854102538</v>
      </c>
    </row>
    <row r="40" spans="1:8" x14ac:dyDescent="0.3">
      <c r="A40" s="2">
        <f t="shared" ref="A40:A49" si="3">A39</f>
        <v>2021</v>
      </c>
      <c r="B40" s="3">
        <v>3</v>
      </c>
      <c r="C40" s="3">
        <f>[1]Emp_ju!C244</f>
        <v>9967</v>
      </c>
      <c r="D40" s="3">
        <f>[1]Emp_ju!D244</f>
        <v>1.2392077196546447</v>
      </c>
      <c r="E40" s="3">
        <f>[1]Emp_ju!E244</f>
        <v>0.59126100290879846</v>
      </c>
      <c r="F40" s="3">
        <f>[1]Emp_ju!F244</f>
        <v>815993</v>
      </c>
      <c r="G40" s="3">
        <f>[1]Emp_ju!G244</f>
        <v>2.0381545941322576</v>
      </c>
      <c r="H40" s="3">
        <f>[1]Emp_ju!H244</f>
        <v>0.35421524441065572</v>
      </c>
    </row>
    <row r="41" spans="1:8" x14ac:dyDescent="0.3">
      <c r="A41" s="2">
        <f t="shared" si="3"/>
        <v>2021</v>
      </c>
      <c r="B41" s="3">
        <v>4</v>
      </c>
      <c r="C41" s="3">
        <f>[1]Emp_ju!C245</f>
        <v>10027</v>
      </c>
      <c r="D41" s="3">
        <f>[1]Emp_ju!D245</f>
        <v>2.2016104372643008</v>
      </c>
      <c r="E41" s="3">
        <f>[1]Emp_ju!E245</f>
        <v>0.6661338011859822</v>
      </c>
      <c r="F41" s="3">
        <f>[1]Emp_ju!F245</f>
        <v>821596</v>
      </c>
      <c r="G41" s="3">
        <f>[1]Emp_ju!G245</f>
        <v>3.0378505417163693</v>
      </c>
      <c r="H41" s="3">
        <f>[1]Emp_ju!H245</f>
        <v>0.49726758227419732</v>
      </c>
    </row>
    <row r="42" spans="1:8" x14ac:dyDescent="0.3">
      <c r="A42" s="2">
        <f t="shared" si="3"/>
        <v>2021</v>
      </c>
      <c r="B42" s="3">
        <v>5</v>
      </c>
      <c r="C42" s="3">
        <f>[1]Emp_ju!C246</f>
        <v>10129</v>
      </c>
      <c r="D42" s="3">
        <f>[1]Emp_ju!D246</f>
        <v>2.209889001009091</v>
      </c>
      <c r="E42" s="3">
        <f>[1]Emp_ju!E246</f>
        <v>0.74180334559531047</v>
      </c>
      <c r="F42" s="3">
        <f>[1]Emp_ju!F246</f>
        <v>827908</v>
      </c>
      <c r="G42" s="3">
        <f>[1]Emp_ju!G246</f>
        <v>2.6284733929669457</v>
      </c>
      <c r="H42" s="3">
        <f>[1]Emp_ju!H246</f>
        <v>0.63947093777678399</v>
      </c>
    </row>
    <row r="43" spans="1:8" x14ac:dyDescent="0.3">
      <c r="A43" s="2">
        <f t="shared" si="3"/>
        <v>2021</v>
      </c>
      <c r="B43" s="3">
        <v>6</v>
      </c>
      <c r="C43" s="3">
        <f>[1]Emp_ju!C247</f>
        <v>10259</v>
      </c>
      <c r="D43" s="3">
        <f>[1]Emp_ju!D247</f>
        <v>2.4056697943701355</v>
      </c>
      <c r="E43" s="3">
        <f>[1]Emp_ju!E247</f>
        <v>0.81722659685835741</v>
      </c>
      <c r="F43" s="3">
        <f>[1]Emp_ju!F247</f>
        <v>831455</v>
      </c>
      <c r="G43" s="3">
        <f>[1]Emp_ju!G247</f>
        <v>2.4368097615304674</v>
      </c>
      <c r="H43" s="3">
        <f>[1]Emp_ju!H247</f>
        <v>0.77820487178160458</v>
      </c>
    </row>
    <row r="44" spans="1:8" x14ac:dyDescent="0.3">
      <c r="A44" s="2">
        <f t="shared" si="3"/>
        <v>2021</v>
      </c>
      <c r="B44" s="3">
        <v>7</v>
      </c>
      <c r="C44" s="3">
        <f>[1]Emp_ju!C248</f>
        <v>10392</v>
      </c>
      <c r="D44" s="3">
        <f>[1]Emp_ju!D248</f>
        <v>2.2230965964981309</v>
      </c>
      <c r="E44" s="3">
        <f>[1]Emp_ju!E248</f>
        <v>0.89146246608943414</v>
      </c>
      <c r="F44" s="3">
        <f>[1]Emp_ju!F248</f>
        <v>833181</v>
      </c>
      <c r="G44" s="3">
        <f>[1]Emp_ju!G248</f>
        <v>2.3716056072217162</v>
      </c>
      <c r="H44" s="3">
        <f>[1]Emp_ju!H248</f>
        <v>0.91130099116439123</v>
      </c>
    </row>
    <row r="45" spans="1:8" x14ac:dyDescent="0.3">
      <c r="A45" s="2">
        <f t="shared" si="3"/>
        <v>2021</v>
      </c>
      <c r="B45" s="3">
        <v>8</v>
      </c>
      <c r="C45" s="3">
        <f>[1]Emp_ju!C249</f>
        <v>10332</v>
      </c>
      <c r="D45" s="3">
        <f>[1]Emp_ju!D249</f>
        <v>1.8332347723240661</v>
      </c>
      <c r="E45" s="3">
        <f>[1]Emp_ju!E249</f>
        <v>0.9636801729582346</v>
      </c>
      <c r="F45" s="3">
        <f>[1]Emp_ju!F249</f>
        <v>826953</v>
      </c>
      <c r="G45" s="3">
        <f>[1]Emp_ju!G249</f>
        <v>1.8901889080003675</v>
      </c>
      <c r="H45" s="3">
        <f>[1]Emp_ju!H249</f>
        <v>1.0369678584576372</v>
      </c>
    </row>
    <row r="46" spans="1:8" x14ac:dyDescent="0.3">
      <c r="A46" s="2">
        <f t="shared" si="3"/>
        <v>2021</v>
      </c>
      <c r="B46" s="3">
        <v>9</v>
      </c>
      <c r="C46" s="3">
        <f>[1]Emp_ju!C250</f>
        <v>10243</v>
      </c>
      <c r="D46" s="3">
        <f>[1]Emp_ju!D250</f>
        <v>2.1745635910224381</v>
      </c>
      <c r="E46" s="3">
        <f>[1]Emp_ju!E250</f>
        <v>1.033141411726842</v>
      </c>
      <c r="F46" s="3">
        <f>[1]Emp_ju!F250</f>
        <v>833278</v>
      </c>
      <c r="G46" s="3">
        <f>[1]Emp_ju!G250</f>
        <v>2.1261627835721164</v>
      </c>
      <c r="H46" s="3">
        <f>[1]Emp_ju!H250</f>
        <v>1.1537459236065761</v>
      </c>
    </row>
    <row r="47" spans="1:8" x14ac:dyDescent="0.3">
      <c r="A47" s="2">
        <f t="shared" si="3"/>
        <v>2021</v>
      </c>
      <c r="B47" s="3">
        <v>10</v>
      </c>
      <c r="C47" s="3">
        <f>[1]Emp_ju!C251</f>
        <v>10283</v>
      </c>
      <c r="D47" s="3">
        <f>[1]Emp_ju!D251</f>
        <v>2.6145095299870302</v>
      </c>
      <c r="E47" s="3">
        <f>[1]Emp_ju!E251</f>
        <v>1.0991682623934069</v>
      </c>
      <c r="F47" s="3">
        <f>[1]Emp_ju!F251</f>
        <v>838512</v>
      </c>
      <c r="G47" s="3">
        <f>[1]Emp_ju!G251</f>
        <v>2.5366607644221828</v>
      </c>
      <c r="H47" s="3">
        <f>[1]Emp_ju!H251</f>
        <v>1.2603695504313375</v>
      </c>
    </row>
    <row r="48" spans="1:8" x14ac:dyDescent="0.3">
      <c r="A48" s="2">
        <f t="shared" si="3"/>
        <v>2021</v>
      </c>
      <c r="B48" s="3">
        <v>11</v>
      </c>
      <c r="C48" s="3">
        <f>[1]Emp_ju!C252</f>
        <v>10202</v>
      </c>
      <c r="D48" s="3">
        <f>[1]Emp_ju!D252</f>
        <v>2.6048476314995517</v>
      </c>
      <c r="E48" s="3">
        <f>[1]Emp_ju!E252</f>
        <v>1.1611620703851973</v>
      </c>
      <c r="F48" s="3">
        <f>[1]Emp_ju!F252</f>
        <v>836538</v>
      </c>
      <c r="G48" s="3">
        <f>[1]Emp_ju!G252</f>
        <v>2.6864198621989965</v>
      </c>
      <c r="H48" s="3">
        <f>[1]Emp_ju!H252</f>
        <v>1.355794106583861</v>
      </c>
    </row>
    <row r="49" spans="1:8" x14ac:dyDescent="0.3">
      <c r="A49" s="2">
        <f t="shared" si="3"/>
        <v>2021</v>
      </c>
      <c r="B49" s="3">
        <v>12</v>
      </c>
      <c r="C49" s="3">
        <f>[1]Emp_ju!C253</f>
        <v>10174</v>
      </c>
      <c r="D49" s="3">
        <f>[1]Emp_ju!D253</f>
        <v>3.111381372250932</v>
      </c>
      <c r="E49" s="3">
        <f>[1]Emp_ju!E253</f>
        <v>1.2186294131619526</v>
      </c>
      <c r="F49" s="3">
        <f>[1]Emp_ju!F253</f>
        <v>834856</v>
      </c>
      <c r="G49" s="3">
        <f>[1]Emp_ju!G253</f>
        <v>2.6596509953555447</v>
      </c>
      <c r="H49" s="3">
        <f>[1]Emp_ju!H253</f>
        <v>1.4392650259010844</v>
      </c>
    </row>
    <row r="50" spans="1:8" x14ac:dyDescent="0.3">
      <c r="A50" s="2">
        <v>2022</v>
      </c>
      <c r="B50" s="3">
        <v>1</v>
      </c>
      <c r="C50" s="3">
        <f>[1]Emp_ju!C254</f>
        <v>10127</v>
      </c>
      <c r="D50" s="3">
        <f>[1]Emp_ju!D254</f>
        <v>3.0842833876221443</v>
      </c>
      <c r="E50" s="3">
        <f>[1]Emp_ju!E254</f>
        <v>1.2711771241251568</v>
      </c>
      <c r="F50" s="3">
        <f>[1]Emp_ju!F254</f>
        <v>831445</v>
      </c>
      <c r="G50" s="3">
        <f>[1]Emp_ju!G254</f>
        <v>2.6148461354284613</v>
      </c>
      <c r="H50" s="3">
        <f>[1]Emp_ju!H254</f>
        <v>1.5103301571644034</v>
      </c>
    </row>
    <row r="51" spans="1:8" x14ac:dyDescent="0.3">
      <c r="A51" s="2">
        <f>A50</f>
        <v>2022</v>
      </c>
      <c r="B51" s="3">
        <v>2</v>
      </c>
      <c r="C51" s="3">
        <f>[1]Emp_ju!C255</f>
        <v>10194</v>
      </c>
      <c r="D51" s="3">
        <f>[1]Emp_ju!D255</f>
        <v>3.2408345148875917</v>
      </c>
      <c r="E51" s="3">
        <f>[1]Emp_ju!E255</f>
        <v>1.3185434777845639</v>
      </c>
      <c r="F51" s="3">
        <f>[1]Emp_ju!F255</f>
        <v>836159</v>
      </c>
      <c r="G51" s="3">
        <f>[1]Emp_ju!G255</f>
        <v>2.9101037028285148</v>
      </c>
      <c r="H51" s="3">
        <f>[1]Emp_ju!H255</f>
        <v>1.5688147096028171</v>
      </c>
    </row>
    <row r="52" spans="1:8" x14ac:dyDescent="0.3">
      <c r="A52" s="2">
        <f t="shared" ref="A52:A61" si="4">A51</f>
        <v>2022</v>
      </c>
      <c r="B52" s="3">
        <v>3</v>
      </c>
      <c r="C52" s="3">
        <f>[1]Emp_ju!C256</f>
        <v>10265</v>
      </c>
      <c r="D52" s="3">
        <f>[1]Emp_ju!D256</f>
        <v>2.9898665596468366</v>
      </c>
      <c r="E52" s="3">
        <f>[1]Emp_ju!E256</f>
        <v>1.3605926588071153</v>
      </c>
      <c r="F52" s="3">
        <f>[1]Emp_ju!F256</f>
        <v>839634</v>
      </c>
      <c r="G52" s="3">
        <f>[1]Emp_ju!G256</f>
        <v>2.8972062260337994</v>
      </c>
      <c r="H52" s="3">
        <f>[1]Emp_ju!H256</f>
        <v>1.6147949188040209</v>
      </c>
    </row>
    <row r="53" spans="1:8" x14ac:dyDescent="0.3">
      <c r="A53" s="2">
        <f t="shared" si="4"/>
        <v>2022</v>
      </c>
      <c r="B53" s="3">
        <v>4</v>
      </c>
      <c r="C53" s="3">
        <f>[1]Emp_ju!C257</f>
        <v>10390</v>
      </c>
      <c r="D53" s="3">
        <f>[1]Emp_ju!D257</f>
        <v>3.6202253914431104</v>
      </c>
      <c r="E53" s="3">
        <f>[1]Emp_ju!E257</f>
        <v>1.3973223442928844</v>
      </c>
      <c r="F53" s="3">
        <f>[1]Emp_ju!F257</f>
        <v>847512</v>
      </c>
      <c r="G53" s="3">
        <f>[1]Emp_ju!G257</f>
        <v>3.1543483658635241</v>
      </c>
      <c r="H53" s="3">
        <f>[1]Emp_ju!H257</f>
        <v>1.6486518587632619</v>
      </c>
    </row>
    <row r="54" spans="1:8" x14ac:dyDescent="0.3">
      <c r="A54" s="2">
        <f t="shared" si="4"/>
        <v>2022</v>
      </c>
      <c r="B54" s="3">
        <v>5</v>
      </c>
      <c r="C54" s="3">
        <f>[1]Emp_ju!C258</f>
        <v>10371</v>
      </c>
      <c r="D54" s="3">
        <f>[1]Emp_ju!D258</f>
        <v>2.3891795833744789</v>
      </c>
      <c r="E54" s="3">
        <f>[1]Emp_ju!E258</f>
        <v>1.4288433553628364</v>
      </c>
      <c r="F54" s="3">
        <f>[1]Emp_ju!F258</f>
        <v>848825</v>
      </c>
      <c r="G54" s="3">
        <f>[1]Emp_ju!G258</f>
        <v>2.5264884504075269</v>
      </c>
      <c r="H54" s="3">
        <f>[1]Emp_ju!H258</f>
        <v>1.6710580605910663</v>
      </c>
    </row>
    <row r="55" spans="1:8" x14ac:dyDescent="0.3">
      <c r="A55" s="2">
        <f t="shared" si="4"/>
        <v>2022</v>
      </c>
      <c r="B55" s="3">
        <v>6</v>
      </c>
      <c r="C55" s="3">
        <f>[1]Emp_ju!C259</f>
        <v>10411</v>
      </c>
      <c r="D55" s="3">
        <f>[1]Emp_ju!D259</f>
        <v>1.4816258894629009</v>
      </c>
      <c r="E55" s="3">
        <f>[1]Emp_ju!E259</f>
        <v>1.4554208814050997</v>
      </c>
      <c r="F55" s="3">
        <f>[1]Emp_ju!F259</f>
        <v>847299</v>
      </c>
      <c r="G55" s="3">
        <f>[1]Emp_ju!G259</f>
        <v>1.905575166425133</v>
      </c>
      <c r="H55" s="3">
        <f>[1]Emp_ju!H259</f>
        <v>1.6830282591495738</v>
      </c>
    </row>
    <row r="56" spans="1:8" x14ac:dyDescent="0.3">
      <c r="A56" s="2">
        <f t="shared" si="4"/>
        <v>2022</v>
      </c>
      <c r="B56" s="3">
        <v>7</v>
      </c>
      <c r="C56" s="3">
        <f>[1]Emp_ju!C260</f>
        <v>10520</v>
      </c>
      <c r="D56" s="3">
        <f>[1]Emp_ju!D260</f>
        <v>1.2317167051578037</v>
      </c>
      <c r="E56" s="3">
        <f>[1]Emp_ju!E260</f>
        <v>1.4773868018236371</v>
      </c>
      <c r="F56" s="3">
        <f>[1]Emp_ju!F260</f>
        <v>846899</v>
      </c>
      <c r="G56" s="3">
        <f>[1]Emp_ju!G260</f>
        <v>1.6464609730658664</v>
      </c>
      <c r="H56" s="3">
        <f>[1]Emp_ju!H260</f>
        <v>1.6857716052986094</v>
      </c>
    </row>
    <row r="57" spans="1:8" x14ac:dyDescent="0.3">
      <c r="A57" s="2">
        <f t="shared" si="4"/>
        <v>2022</v>
      </c>
      <c r="B57" s="3">
        <v>8</v>
      </c>
      <c r="C57" s="3">
        <f>[1]Emp_ju!C261</f>
        <v>10458</v>
      </c>
      <c r="D57" s="3">
        <f>[1]Emp_ju!D261</f>
        <v>1.2195121951219523</v>
      </c>
      <c r="E57" s="3">
        <f>[1]Emp_ju!E261</f>
        <v>1.4950748158146372</v>
      </c>
      <c r="F57" s="3">
        <f>[1]Emp_ju!F261</f>
        <v>840141</v>
      </c>
      <c r="G57" s="3">
        <f>[1]Emp_ju!G261</f>
        <v>1.5947701985481677</v>
      </c>
      <c r="H57" s="3">
        <f>[1]Emp_ju!H261</f>
        <v>1.6805478287405606</v>
      </c>
    </row>
    <row r="58" spans="1:8" x14ac:dyDescent="0.3">
      <c r="A58" s="2">
        <f t="shared" si="4"/>
        <v>2022</v>
      </c>
      <c r="B58" s="3">
        <v>9</v>
      </c>
      <c r="C58" s="3">
        <f>[1]Emp_ju!C262</f>
        <v>10383</v>
      </c>
      <c r="D58" s="3">
        <f>[1]Emp_ju!D262</f>
        <v>1.3667870740993848</v>
      </c>
      <c r="E58" s="3">
        <f>[1]Emp_ju!E262</f>
        <v>1.508801562150909</v>
      </c>
      <c r="F58" s="3">
        <f>[1]Emp_ju!F262</f>
        <v>844540</v>
      </c>
      <c r="G58" s="3">
        <f>[1]Emp_ju!G262</f>
        <v>1.3515297415748417</v>
      </c>
      <c r="H58" s="3">
        <f>[1]Emp_ju!H262</f>
        <v>1.6686077249432165</v>
      </c>
    </row>
    <row r="59" spans="1:8" x14ac:dyDescent="0.3">
      <c r="A59" s="2">
        <f t="shared" si="4"/>
        <v>2022</v>
      </c>
      <c r="B59" s="3">
        <v>10</v>
      </c>
      <c r="C59" s="3">
        <f>[1]Emp_ju!C263</f>
        <v>10373</v>
      </c>
      <c r="D59" s="3">
        <f>[1]Emp_ju!D263</f>
        <v>0.87523096372654763</v>
      </c>
      <c r="E59" s="3">
        <f>[1]Emp_ju!E263</f>
        <v>1.5188645433121575</v>
      </c>
      <c r="F59" s="3">
        <f>[1]Emp_ju!F263</f>
        <v>846126</v>
      </c>
      <c r="G59" s="3">
        <f>[1]Emp_ju!G263</f>
        <v>0.90803709428128876</v>
      </c>
      <c r="H59" s="3">
        <f>[1]Emp_ju!H263</f>
        <v>1.6511825944584133</v>
      </c>
    </row>
    <row r="60" spans="1:8" x14ac:dyDescent="0.3">
      <c r="A60" s="2">
        <f t="shared" si="4"/>
        <v>2022</v>
      </c>
      <c r="B60" s="3">
        <v>11</v>
      </c>
      <c r="C60" s="3">
        <f>[1]Emp_ju!C264</f>
        <v>10375</v>
      </c>
      <c r="D60" s="3">
        <f>[1]Emp_ju!D264</f>
        <v>1.6957459321701673</v>
      </c>
      <c r="E60" s="3">
        <f>[1]Emp_ju!E264</f>
        <v>1.5255513996608621</v>
      </c>
      <c r="F60" s="3">
        <f>[1]Emp_ju!F264</f>
        <v>845696</v>
      </c>
      <c r="G60" s="3">
        <f>[1]Emp_ju!G264</f>
        <v>1.0947500292873835</v>
      </c>
      <c r="H60" s="3">
        <f>[1]Emp_ju!H264</f>
        <v>1.6294316746599489</v>
      </c>
    </row>
    <row r="61" spans="1:8" x14ac:dyDescent="0.3">
      <c r="A61" s="2">
        <f t="shared" si="4"/>
        <v>2022</v>
      </c>
      <c r="B61" s="3">
        <v>12</v>
      </c>
      <c r="C61" s="3">
        <f>[1]Emp_ju!C265</f>
        <v>10324</v>
      </c>
      <c r="D61" s="3">
        <f>[1]Emp_ju!D265</f>
        <v>1.4743463731079265</v>
      </c>
      <c r="E61" s="3">
        <f>[1]Emp_ju!E265</f>
        <v>1.5291050747831423</v>
      </c>
      <c r="F61" s="3">
        <f>[1]Emp_ju!F265</f>
        <v>844159</v>
      </c>
      <c r="G61" s="3">
        <f>[1]Emp_ju!G265</f>
        <v>1.1143239073564848</v>
      </c>
      <c r="H61" s="3">
        <f>[1]Emp_ju!H265</f>
        <v>1.6043453062170352</v>
      </c>
    </row>
    <row r="62" spans="1:8" x14ac:dyDescent="0.3">
      <c r="A62" s="2">
        <v>2023</v>
      </c>
      <c r="B62" s="3">
        <v>1</v>
      </c>
      <c r="C62" s="3">
        <f>[1]Emp_ju!C266</f>
        <v>10251</v>
      </c>
      <c r="D62" s="3">
        <f>[1]Emp_ju!D266</f>
        <v>1.2244494914584791</v>
      </c>
      <c r="E62" s="3">
        <f>[1]Emp_ju!E266</f>
        <v>1.5297803313298748</v>
      </c>
      <c r="F62" s="3">
        <f>[1]Emp_ju!F266</f>
        <v>841433</v>
      </c>
      <c r="G62" s="3">
        <f>[1]Emp_ju!G266</f>
        <v>1.2012821052505007</v>
      </c>
      <c r="H62" s="3">
        <f>[1]Emp_ju!H266</f>
        <v>1.5767923112431179</v>
      </c>
    </row>
    <row r="63" spans="1:8" x14ac:dyDescent="0.3">
      <c r="A63" s="2">
        <f>A62</f>
        <v>2023</v>
      </c>
      <c r="B63" s="3">
        <v>2</v>
      </c>
      <c r="C63" s="3">
        <f>[1]Emp_ju!C267</f>
        <v>10316</v>
      </c>
      <c r="D63" s="3">
        <f>[1]Emp_ju!D267</f>
        <v>1.1967824210319833</v>
      </c>
      <c r="E63" s="3">
        <f>[1]Emp_ju!E267</f>
        <v>1.5278281292643199</v>
      </c>
      <c r="F63" s="3">
        <f>[1]Emp_ju!F267</f>
        <v>845131</v>
      </c>
      <c r="G63" s="3">
        <f>[1]Emp_ju!G267</f>
        <v>1.073001665951101</v>
      </c>
      <c r="H63" s="3">
        <f>[1]Emp_ju!H267</f>
        <v>1.5475301433519018</v>
      </c>
    </row>
    <row r="64" spans="1:8" x14ac:dyDescent="0.3">
      <c r="A64" s="2">
        <f t="shared" ref="A64:A73" si="5">A63</f>
        <v>2023</v>
      </c>
      <c r="B64" s="3">
        <v>3</v>
      </c>
      <c r="C64" s="3">
        <f>[1]Emp_ju!C268</f>
        <v>10455</v>
      </c>
      <c r="D64" s="3">
        <f>[1]Emp_ju!D268</f>
        <v>1.8509498295177895</v>
      </c>
      <c r="E64" s="3">
        <f>[1]Emp_ju!E268</f>
        <v>1.5234782250191914</v>
      </c>
      <c r="F64" s="3">
        <f>[1]Emp_ju!F268</f>
        <v>850030</v>
      </c>
      <c r="G64" s="3">
        <f>[1]Emp_ju!G268</f>
        <v>1.2381585309789722</v>
      </c>
      <c r="H64" s="3">
        <f>[1]Emp_ju!H268</f>
        <v>1.5172309129284567</v>
      </c>
    </row>
    <row r="65" spans="1:8" x14ac:dyDescent="0.3">
      <c r="A65" s="2">
        <f t="shared" si="5"/>
        <v>2023</v>
      </c>
      <c r="B65" s="3">
        <v>4</v>
      </c>
      <c r="C65" s="3">
        <f>[1]Emp_ju!C269</f>
        <v>10537</v>
      </c>
      <c r="D65" s="3">
        <f>[1]Emp_ju!D269</f>
        <v>1.4148219441771026</v>
      </c>
      <c r="E65" s="3">
        <f>[1]Emp_ju!E269</f>
        <v>1.5169373857419093</v>
      </c>
      <c r="F65" s="3">
        <f>[1]Emp_ju!F269</f>
        <v>857114</v>
      </c>
      <c r="G65" s="3">
        <f>[1]Emp_ju!G269</f>
        <v>1.1329633090740865</v>
      </c>
      <c r="H65" s="3">
        <f>[1]Emp_ju!H269</f>
        <v>1.4864588829766252</v>
      </c>
    </row>
    <row r="66" spans="1:8" x14ac:dyDescent="0.3">
      <c r="A66" s="2">
        <f t="shared" si="5"/>
        <v>2023</v>
      </c>
      <c r="B66" s="3">
        <v>5</v>
      </c>
      <c r="C66" s="3">
        <f>[1]Emp_ju!C270</f>
        <v>10529</v>
      </c>
      <c r="D66" s="3">
        <f>[1]Emp_ju!D270</f>
        <v>1.5234789316362907</v>
      </c>
      <c r="E66" s="3">
        <f>[1]Emp_ju!E270</f>
        <v>1.5084351196635393</v>
      </c>
      <c r="F66" s="3">
        <f>[1]Emp_ju!F270</f>
        <v>857569</v>
      </c>
      <c r="G66" s="3">
        <f>[1]Emp_ju!G270</f>
        <v>1.0301298854298535</v>
      </c>
      <c r="H66" s="3">
        <f>[1]Emp_ju!H270</f>
        <v>1.4557148909588977</v>
      </c>
    </row>
    <row r="67" spans="1:8" x14ac:dyDescent="0.3">
      <c r="A67" s="2">
        <f t="shared" si="5"/>
        <v>2023</v>
      </c>
      <c r="B67" s="3">
        <v>6</v>
      </c>
      <c r="C67" s="3">
        <f>[1]Emp_ju!C271</f>
        <v>10566</v>
      </c>
      <c r="D67" s="3">
        <f>[1]Emp_ju!D271</f>
        <v>1.4888099125924592</v>
      </c>
      <c r="E67" s="3">
        <f>[1]Emp_ju!E271</f>
        <v>1.4981938436650386</v>
      </c>
      <c r="F67" s="3">
        <f>[1]Emp_ju!F271</f>
        <v>855830</v>
      </c>
      <c r="G67" s="3">
        <f>[1]Emp_ju!G271</f>
        <v>1.0068464615206718</v>
      </c>
      <c r="H67" s="3">
        <f>[1]Emp_ju!H271</f>
        <v>1.4254194344346049</v>
      </c>
    </row>
    <row r="68" spans="1:8" x14ac:dyDescent="0.3">
      <c r="A68" s="2">
        <f t="shared" si="5"/>
        <v>2023</v>
      </c>
      <c r="B68" s="3">
        <v>7</v>
      </c>
      <c r="C68" s="3">
        <f>[1]Emp_ju!C272</f>
        <v>10642</v>
      </c>
      <c r="D68" s="3">
        <f>[1]Emp_ju!D272</f>
        <v>1.1596958174904914</v>
      </c>
      <c r="E68" s="3">
        <f>[1]Emp_ju!E272</f>
        <v>1.4864370193365293</v>
      </c>
      <c r="F68" s="3">
        <f>[1]Emp_ju!F272</f>
        <v>853246</v>
      </c>
      <c r="G68" s="3">
        <f>[1]Emp_ju!G272</f>
        <v>0.74944001586965125</v>
      </c>
      <c r="H68" s="3">
        <f>[1]Emp_ju!H272</f>
        <v>1.3958962870981844</v>
      </c>
    </row>
    <row r="69" spans="1:8" x14ac:dyDescent="0.3">
      <c r="A69" s="2">
        <f t="shared" si="5"/>
        <v>2023</v>
      </c>
      <c r="B69" s="3">
        <v>8</v>
      </c>
      <c r="C69" s="3">
        <f>[1]Emp_ju!C273</f>
        <v>10613</v>
      </c>
      <c r="D69" s="3">
        <f>[1]Emp_ju!D273</f>
        <v>1.482118951998479</v>
      </c>
      <c r="E69" s="3">
        <f>[1]Emp_ju!E273</f>
        <v>1.4733874566062535</v>
      </c>
      <c r="F69" s="3">
        <f>[1]Emp_ju!F273</f>
        <v>850264</v>
      </c>
      <c r="G69" s="3">
        <f>[1]Emp_ju!G273</f>
        <v>1.204916793728672</v>
      </c>
      <c r="H69" s="3">
        <f>[1]Emp_ju!H273</f>
        <v>1.3673740924229567</v>
      </c>
    </row>
    <row r="70" spans="1:8" x14ac:dyDescent="0.3">
      <c r="A70" s="2">
        <f t="shared" si="5"/>
        <v>2023</v>
      </c>
      <c r="B70" s="3">
        <v>9</v>
      </c>
      <c r="C70" s="3">
        <f>[1]Emp_ju!C274</f>
        <v>10556</v>
      </c>
      <c r="D70" s="3">
        <f>[1]Emp_ju!D274</f>
        <v>1.666185110276408</v>
      </c>
      <c r="E70" s="3">
        <f>[1]Emp_ju!E274</f>
        <v>1.4592452750412144</v>
      </c>
      <c r="F70" s="3">
        <f>[1]Emp_ju!F274</f>
        <v>857446</v>
      </c>
      <c r="G70" s="3">
        <f>[1]Emp_ju!G274</f>
        <v>1.528169180855854</v>
      </c>
      <c r="H70" s="3">
        <f>[1]Emp_ju!H274</f>
        <v>1.3399345720024181</v>
      </c>
    </row>
    <row r="71" spans="1:8" x14ac:dyDescent="0.3">
      <c r="A71" s="2">
        <f t="shared" si="5"/>
        <v>2023</v>
      </c>
      <c r="B71" s="3">
        <v>10</v>
      </c>
      <c r="C71" s="3">
        <f>[1]Emp_ju!C275</f>
        <v>10478</v>
      </c>
      <c r="D71" s="3">
        <f>[1]Emp_ju!D275</f>
        <v>1.0122433240142614</v>
      </c>
      <c r="E71" s="3">
        <f>[1]Emp_ju!E275</f>
        <v>1.4442112005622616</v>
      </c>
      <c r="F71" s="3">
        <f>[1]Emp_ju!F275</f>
        <v>854464</v>
      </c>
      <c r="G71" s="3">
        <f>[1]Emp_ju!G275</f>
        <v>0.98543242968540667</v>
      </c>
      <c r="H71" s="3">
        <f>[1]Emp_ju!H275</f>
        <v>1.3136225253167251</v>
      </c>
    </row>
    <row r="72" spans="1:8" x14ac:dyDescent="0.3">
      <c r="A72" s="2">
        <f t="shared" si="5"/>
        <v>2023</v>
      </c>
      <c r="B72" s="3">
        <v>11</v>
      </c>
      <c r="C72" s="3">
        <f>[1]Emp_ju!C276</f>
        <v>10436</v>
      </c>
      <c r="D72" s="3">
        <f>[1]Emp_ju!D276</f>
        <v>0.58795180722892582</v>
      </c>
      <c r="E72" s="3">
        <f>[1]Emp_ju!E276</f>
        <v>1.4285003299121366</v>
      </c>
      <c r="F72" s="3">
        <f>[1]Emp_ju!F276</f>
        <v>854851</v>
      </c>
      <c r="G72" s="3">
        <f>[1]Emp_ju!G276</f>
        <v>1.0825402981686105</v>
      </c>
      <c r="H72" s="3">
        <f>[1]Emp_ju!H276</f>
        <v>1.2885255324389555</v>
      </c>
    </row>
    <row r="73" spans="1:8" x14ac:dyDescent="0.3">
      <c r="A73" s="2">
        <f t="shared" si="5"/>
        <v>2023</v>
      </c>
      <c r="B73" s="3">
        <v>12</v>
      </c>
      <c r="C73" s="3">
        <f>[1]Emp_ju!C277</f>
        <v>10402</v>
      </c>
      <c r="D73" s="3">
        <f>[1]Emp_ju!D277</f>
        <v>0.75552111584658022</v>
      </c>
      <c r="E73" s="3">
        <f>[1]Emp_ju!E277</f>
        <v>1.4122977620643762</v>
      </c>
      <c r="F73" s="3">
        <f>[1]Emp_ju!F277</f>
        <v>853677</v>
      </c>
      <c r="G73" s="3">
        <f>[1]Emp_ju!G277</f>
        <v>1.1275127079140246</v>
      </c>
      <c r="H73" s="3">
        <f>[1]Emp_ju!H277</f>
        <v>1.2646565847840889</v>
      </c>
    </row>
    <row r="74" spans="1:8" x14ac:dyDescent="0.3">
      <c r="A74" s="2">
        <v>2024</v>
      </c>
      <c r="B74" s="3">
        <v>1</v>
      </c>
      <c r="C74" s="3">
        <f>[1]Emp_ju!C278</f>
        <v>10342</v>
      </c>
      <c r="D74" s="3">
        <f>[1]Emp_ju!D278</f>
        <v>0.8877182713881604</v>
      </c>
      <c r="E74" s="3">
        <f>[1]Emp_ju!E278</f>
        <v>1.3957302245673309</v>
      </c>
      <c r="F74" s="3">
        <f>[1]Emp_ju!F278</f>
        <v>850503</v>
      </c>
      <c r="G74" s="3">
        <f>[1]Emp_ju!G278</f>
        <v>1.0779230194204459</v>
      </c>
      <c r="H74" s="3">
        <f>[1]Emp_ju!H278</f>
        <v>1.2419818589411344</v>
      </c>
    </row>
    <row r="75" spans="1:8" x14ac:dyDescent="0.3">
      <c r="A75" s="2">
        <f>A74</f>
        <v>2024</v>
      </c>
      <c r="B75" s="3">
        <v>2</v>
      </c>
      <c r="C75" s="3">
        <f>[1]Emp_ju!C279</f>
        <v>10418</v>
      </c>
      <c r="D75" s="3">
        <f>[1]Emp_ju!D279</f>
        <v>0.98875533152384953</v>
      </c>
      <c r="E75" s="3">
        <f>[1]Emp_ju!E279</f>
        <v>1.3788788354800301</v>
      </c>
      <c r="F75" s="3">
        <f>[1]Emp_ju!F279</f>
        <v>855001</v>
      </c>
      <c r="G75" s="3">
        <f>[1]Emp_ju!G279</f>
        <v>1.1678662834519127</v>
      </c>
      <c r="H75" s="3">
        <f>[1]Emp_ju!H279</f>
        <v>1.2204363624361763</v>
      </c>
    </row>
    <row r="76" spans="1:8" x14ac:dyDescent="0.3">
      <c r="A76" s="2">
        <f t="shared" ref="A76:A85" si="6">A75</f>
        <v>2024</v>
      </c>
      <c r="B76" s="3">
        <v>3</v>
      </c>
      <c r="C76" s="3">
        <f>[1]Emp_ju!C280</f>
        <v>10613</v>
      </c>
      <c r="D76" s="3">
        <f>[1]Emp_ju!D280</f>
        <v>1.5112386417981849</v>
      </c>
      <c r="E76" s="3">
        <f>[1]Emp_ju!E280</f>
        <v>1.3617894342536441</v>
      </c>
      <c r="F76" s="3">
        <f>[1]Emp_ju!F280</f>
        <v>862873</v>
      </c>
      <c r="G76" s="3">
        <f>[1]Emp_ju!G280</f>
        <v>1.5108878510170287</v>
      </c>
      <c r="H76" s="3">
        <f>[1]Emp_ju!H280</f>
        <v>1.1999178166954072</v>
      </c>
    </row>
    <row r="77" spans="1:8" x14ac:dyDescent="0.3">
      <c r="A77" s="2">
        <f t="shared" si="6"/>
        <v>2024</v>
      </c>
      <c r="B77" s="3">
        <v>4</v>
      </c>
      <c r="C77" s="3">
        <f>[1]Emp_ju!C281</f>
        <v>10628</v>
      </c>
      <c r="D77" s="3">
        <f>[1]Emp_ju!D281</f>
        <v>0.86362342222643385</v>
      </c>
      <c r="E77" s="3">
        <f>[1]Emp_ju!E281</f>
        <v>1.3444807684293461</v>
      </c>
      <c r="F77" s="3">
        <f>[1]Emp_ju!F281</f>
        <v>865216</v>
      </c>
      <c r="G77" s="3">
        <f>[1]Emp_ju!G281</f>
        <v>0.94526515726029992</v>
      </c>
      <c r="H77" s="3">
        <f>[1]Emp_ju!H281</f>
        <v>1.1803119953997963</v>
      </c>
    </row>
    <row r="78" spans="1:8" x14ac:dyDescent="0.3">
      <c r="A78" s="2">
        <f t="shared" si="6"/>
        <v>2024</v>
      </c>
      <c r="B78" s="3">
        <v>5</v>
      </c>
      <c r="C78" s="3">
        <f>[1]Emp_ju!C282</f>
        <v>10678</v>
      </c>
      <c r="D78" s="3">
        <f>[1]Emp_ju!D282</f>
        <v>1.4151391395194279</v>
      </c>
      <c r="E78" s="3">
        <f>[1]Emp_ju!E282</f>
        <v>1.3269819639654996</v>
      </c>
      <c r="F78" s="3">
        <f>[1]Emp_ju!F282</f>
        <v>867504</v>
      </c>
      <c r="G78" s="3">
        <f>[1]Emp_ju!G282</f>
        <v>1.1585073620898223</v>
      </c>
      <c r="H78" s="3">
        <f>[1]Emp_ju!H282</f>
        <v>1.1615753472381127</v>
      </c>
    </row>
    <row r="79" spans="1:8" x14ac:dyDescent="0.3">
      <c r="A79" s="2">
        <f t="shared" si="6"/>
        <v>2024</v>
      </c>
      <c r="B79" s="3">
        <v>6</v>
      </c>
      <c r="C79" s="3">
        <f>[1]Emp_ju!C283</f>
        <v>10716</v>
      </c>
      <c r="D79" s="3">
        <f>[1]Emp_ju!D283</f>
        <v>1.4196479273140161</v>
      </c>
      <c r="E79" s="3">
        <f>[1]Emp_ju!E283</f>
        <v>1.3092887539492046</v>
      </c>
      <c r="F79" s="3">
        <f>[1]Emp_ju!F283</f>
        <v>868606</v>
      </c>
      <c r="G79" s="3">
        <f>[1]Emp_ju!G283</f>
        <v>1.4928198357150313</v>
      </c>
      <c r="H79" s="3">
        <f>[1]Emp_ju!H283</f>
        <v>1.1436109011631854</v>
      </c>
    </row>
    <row r="80" spans="1:8" x14ac:dyDescent="0.3">
      <c r="A80" s="2">
        <f t="shared" si="6"/>
        <v>2024</v>
      </c>
      <c r="B80" s="3">
        <v>7</v>
      </c>
      <c r="C80" s="3">
        <f>[1]Emp_ju!C284</f>
        <v>10755</v>
      </c>
      <c r="D80" s="3">
        <f>[1]Emp_ju!D284</f>
        <v>1.0618304829919101</v>
      </c>
      <c r="E80" s="3">
        <f>[1]Emp_ju!E284</f>
        <v>1.2914029934936406</v>
      </c>
      <c r="F80" s="3">
        <f>[1]Emp_ju!F284</f>
        <v>861542</v>
      </c>
      <c r="G80" s="3">
        <f>[1]Emp_ju!G284</f>
        <v>0.97228700749842911</v>
      </c>
      <c r="H80" s="3">
        <f>[1]Emp_ju!H284</f>
        <v>1.1263209888584911</v>
      </c>
    </row>
    <row r="81" spans="1:8" x14ac:dyDescent="0.3">
      <c r="A81" s="2">
        <f t="shared" si="6"/>
        <v>2024</v>
      </c>
      <c r="B81" s="3">
        <v>8</v>
      </c>
      <c r="C81" s="3">
        <f>[1]Emp_ju!C285</f>
        <v>10741</v>
      </c>
      <c r="D81" s="3">
        <f>[1]Emp_ju!D285</f>
        <v>1.2060680297748094</v>
      </c>
      <c r="E81" s="3">
        <f>[1]Emp_ju!E285</f>
        <v>1.2733342015434712</v>
      </c>
      <c r="F81" s="3">
        <f>[1]Emp_ju!F285</f>
        <v>860437</v>
      </c>
      <c r="G81" s="3">
        <f>[1]Emp_ju!G285</f>
        <v>1.1964519255196038</v>
      </c>
      <c r="H81" s="3">
        <f>[1]Emp_ju!H285</f>
        <v>1.1096873076744505</v>
      </c>
    </row>
    <row r="82" spans="1:8" x14ac:dyDescent="0.3">
      <c r="A82" s="2">
        <f t="shared" si="6"/>
        <v>2024</v>
      </c>
      <c r="B82" s="3">
        <v>9</v>
      </c>
      <c r="C82" s="3">
        <f>[1]Emp_ju!C286</f>
        <v>10668</v>
      </c>
      <c r="D82" s="3">
        <f>[1]Emp_ju!D286</f>
        <v>1.0610079575596787</v>
      </c>
      <c r="E82" s="3">
        <f>[1]Emp_ju!E286</f>
        <v>1.2550759545079082</v>
      </c>
      <c r="F82" s="3">
        <f>[1]Emp_ju!F286</f>
        <v>863769</v>
      </c>
      <c r="G82" s="3">
        <f>[1]Emp_ju!G286</f>
        <v>0.73742253156467985</v>
      </c>
      <c r="H82" s="3">
        <f>[1]Emp_ju!H286</f>
        <v>1.0936565472384479</v>
      </c>
    </row>
    <row r="83" spans="1:8" x14ac:dyDescent="0.3">
      <c r="A83" s="2">
        <f t="shared" si="6"/>
        <v>2024</v>
      </c>
      <c r="B83" s="3">
        <v>10</v>
      </c>
      <c r="C83" s="3">
        <f>[1]Emp_ju!C287</f>
        <v>10624</v>
      </c>
      <c r="D83" s="3">
        <f>[1]Emp_ju!D287</f>
        <v>1.3933956861996499</v>
      </c>
      <c r="E83" s="3">
        <f>[1]Emp_ju!E287</f>
        <v>1.2366171575342351</v>
      </c>
      <c r="F83" s="3">
        <f>[1]Emp_ju!F287</f>
        <v>863487</v>
      </c>
      <c r="G83" s="3">
        <f>[1]Emp_ju!G287</f>
        <v>1.0559836341847095</v>
      </c>
      <c r="H83" s="3">
        <f>[1]Emp_ju!H287</f>
        <v>1.0781951164091963</v>
      </c>
    </row>
    <row r="84" spans="1:8" x14ac:dyDescent="0.3">
      <c r="A84" s="2">
        <f t="shared" si="6"/>
        <v>2024</v>
      </c>
      <c r="B84" s="3">
        <v>11</v>
      </c>
      <c r="C84" s="3">
        <f>[1]Emp_ju!C288</f>
        <v>10640</v>
      </c>
      <c r="D84" s="3">
        <f>[1]Emp_ju!D288</f>
        <v>1.9547719432732924</v>
      </c>
      <c r="E84" s="3">
        <f>[1]Emp_ju!E288</f>
        <v>1.2179332388255026</v>
      </c>
      <c r="F84" s="3">
        <f>[1]Emp_ju!F288</f>
        <v>867230</v>
      </c>
      <c r="G84" s="3">
        <f>[1]Emp_ju!G288</f>
        <v>1.4480886142731242</v>
      </c>
      <c r="H84" s="3">
        <f>[1]Emp_ju!H288</f>
        <v>1.0631884617691192</v>
      </c>
    </row>
    <row r="85" spans="1:8" x14ac:dyDescent="0.3">
      <c r="A85" s="2">
        <f t="shared" si="6"/>
        <v>2024</v>
      </c>
      <c r="B85" s="3">
        <v>12</v>
      </c>
      <c r="C85" s="3">
        <f>[1]Emp_ju!C289</f>
        <v>10540</v>
      </c>
      <c r="D85" s="3">
        <f>[1]Emp_ju!D289</f>
        <v>1.3266679484714494</v>
      </c>
      <c r="E85" s="3">
        <f>[1]Emp_ju!E289</f>
        <v>1.199010513982586</v>
      </c>
      <c r="F85" s="3">
        <f>[1]Emp_ju!F289</f>
        <v>863178</v>
      </c>
      <c r="G85" s="3">
        <f>[1]Emp_ju!G289</f>
        <v>1.1129502141910885</v>
      </c>
      <c r="H85" s="3">
        <f>[1]Emp_ju!H289</f>
        <v>1.0485169818364981</v>
      </c>
    </row>
    <row r="86" spans="1:8" x14ac:dyDescent="0.3">
      <c r="A86" s="2">
        <v>2025</v>
      </c>
      <c r="B86" s="3">
        <v>1</v>
      </c>
      <c r="C86" s="3">
        <f>[1]Emp_ju!C290</f>
        <v>10486</v>
      </c>
      <c r="D86" s="3">
        <f>[1]Emp_ju!D290</f>
        <v>1.3923805840263093</v>
      </c>
      <c r="E86" s="3">
        <f>[1]Emp_ju!E290</f>
        <v>1.1798864679608356</v>
      </c>
      <c r="F86" s="3">
        <f>[1]Emp_ju!F290</f>
        <v>859781</v>
      </c>
      <c r="G86" s="3">
        <f>[1]Emp_ju!G290</f>
        <v>1.0908838651950692</v>
      </c>
      <c r="H86" s="3">
        <f>[1]Emp_ju!H290</f>
        <v>1.0341485524370022</v>
      </c>
    </row>
    <row r="87" spans="1:8" x14ac:dyDescent="0.3">
      <c r="A87" s="2">
        <v>2025</v>
      </c>
      <c r="B87" s="3">
        <v>2</v>
      </c>
      <c r="C87" s="3">
        <f>[1]Emp_ju!C291</f>
        <v>10534</v>
      </c>
      <c r="D87" s="3">
        <f>[1]Emp_ju!D291</f>
        <v>1.1134574774428918</v>
      </c>
      <c r="E87" s="3">
        <f>[1]Emp_ju!E291</f>
        <v>1.1606074508152193</v>
      </c>
      <c r="F87" s="3">
        <f>[1]Emp_ju!F291</f>
        <v>864263</v>
      </c>
      <c r="G87" s="3">
        <f>[1]Emp_ju!G291</f>
        <v>1.083273586814526</v>
      </c>
      <c r="H87" s="3">
        <f>[1]Emp_ju!H291</f>
        <v>1.020065693312745</v>
      </c>
    </row>
    <row r="88" spans="1:8" x14ac:dyDescent="0.3">
      <c r="A88" s="2">
        <v>2025</v>
      </c>
      <c r="B88" s="3">
        <v>3</v>
      </c>
      <c r="C88" s="3">
        <f>[1]Emp_ju!C292</f>
        <v>10660</v>
      </c>
      <c r="D88" s="3">
        <f>[1]Emp_ju!D292</f>
        <v>0.4428531046829276</v>
      </c>
      <c r="E88" s="3">
        <f>[1]Emp_ju!E292</f>
        <v>1.1412345691365424</v>
      </c>
      <c r="F88" s="3">
        <f>[1]Emp_ju!F292</f>
        <v>868223</v>
      </c>
      <c r="G88" s="3">
        <f>[1]Emp_ju!G292</f>
        <v>0.62002171814392604</v>
      </c>
      <c r="H88" s="3">
        <f>[1]Emp_ju!H292</f>
        <v>1.0062638185951029</v>
      </c>
    </row>
    <row r="89" spans="1:8" x14ac:dyDescent="0.3">
      <c r="A89" s="2">
        <v>2025</v>
      </c>
      <c r="B89" s="3">
        <v>4</v>
      </c>
      <c r="C89" s="3">
        <f>[1]Emp_ju!C293</f>
        <v>10740</v>
      </c>
      <c r="D89" s="3">
        <f>[1]Emp_ju!D293</f>
        <v>1.0538200978547296</v>
      </c>
      <c r="E89" s="3">
        <f>[1]Emp_ju!E293</f>
        <v>1.1218256552119039</v>
      </c>
      <c r="F89" s="3">
        <f>[1]Emp_ju!F293</f>
        <v>873743</v>
      </c>
      <c r="G89" s="3">
        <f>[1]Emp_ju!G293</f>
        <v>0.98553424809526557</v>
      </c>
      <c r="H89" s="3">
        <f>[1]Emp_ju!H293</f>
        <v>0.99275270784579428</v>
      </c>
    </row>
    <row r="90" spans="1:8" x14ac:dyDescent="0.3">
      <c r="A90" s="2">
        <v>2025</v>
      </c>
      <c r="B90" s="3">
        <v>5</v>
      </c>
      <c r="C90" s="3">
        <f>[1]Emp_ju!C294</f>
        <v>10818</v>
      </c>
      <c r="D90" s="3">
        <f>[1]Emp_ju!D294</f>
        <v>1.3111069488668248</v>
      </c>
      <c r="E90" s="3">
        <f>[1]Emp_ju!E294</f>
        <v>1.1023900426155935</v>
      </c>
      <c r="F90" s="3">
        <f>[1]Emp_ju!F294</f>
        <v>878753</v>
      </c>
      <c r="G90" s="3">
        <f>[1]Emp_ju!G294</f>
        <v>1.2967087183459736</v>
      </c>
      <c r="H90" s="3">
        <f>[1]Emp_ju!H294</f>
        <v>0.97945435833098027</v>
      </c>
    </row>
    <row r="91" spans="1:8" x14ac:dyDescent="0.3">
      <c r="A91" s="2">
        <v>2025</v>
      </c>
      <c r="B91" s="3">
        <v>6</v>
      </c>
      <c r="C91" s="3">
        <f>[1]Emp_ju!C295</f>
        <v>10820</v>
      </c>
      <c r="D91" s="3">
        <f>[1]Emp_ju!D295</f>
        <v>0.97051138484509636</v>
      </c>
      <c r="E91" s="3">
        <f>[1]Emp_ju!E295</f>
        <v>1.0829323423137511</v>
      </c>
      <c r="F91" s="3">
        <f>[1]Emp_ju!F295</f>
        <v>874331</v>
      </c>
      <c r="G91" s="3">
        <f>[1]Emp_ju!G295</f>
        <v>0.65910205547738965</v>
      </c>
      <c r="H91" s="3">
        <f>[1]Emp_ju!H295</f>
        <v>0.96628912675778778</v>
      </c>
    </row>
    <row r="92" spans="1:8" x14ac:dyDescent="0.3">
      <c r="A92" s="2">
        <v>2025</v>
      </c>
      <c r="B92" s="3">
        <v>7</v>
      </c>
      <c r="C92" s="3">
        <f>[1]Emp_ju!C296</f>
        <v>10839</v>
      </c>
      <c r="D92" s="3">
        <f>[1]Emp_ju!D296</f>
        <v>0.78103207810320541</v>
      </c>
      <c r="E92" s="3">
        <f>[1]Emp_ju!E296</f>
        <v>1.0634716595021174</v>
      </c>
      <c r="F92" s="3">
        <f>[1]Emp_ju!F296</f>
        <v>870859</v>
      </c>
      <c r="G92" s="3">
        <f>[1]Emp_ju!G296</f>
        <v>1.0814330583999388</v>
      </c>
      <c r="H92" s="3">
        <f>[1]Emp_ju!H296</f>
        <v>0.95324947309698371</v>
      </c>
    </row>
    <row r="93" spans="1:8" x14ac:dyDescent="0.3">
      <c r="A93" s="2">
        <v>2025</v>
      </c>
      <c r="B93" s="3">
        <v>8</v>
      </c>
      <c r="C93" s="3">
        <f>[1]Emp_ju!C297</f>
        <v>10866</v>
      </c>
      <c r="D93" s="3">
        <f>[1]Emp_ju!D297</f>
        <v>1.1637650125686516</v>
      </c>
      <c r="E93" s="3">
        <f>[1]Emp_ju!E297</f>
        <v>1.0440192923654978</v>
      </c>
      <c r="F93" s="3">
        <f>[1]Emp_ju!F297</f>
        <v>870353</v>
      </c>
      <c r="G93" s="3">
        <f>[1]Emp_ju!G297</f>
        <v>1.152437656679095</v>
      </c>
      <c r="H93" s="3">
        <f>[1]Emp_ju!H297</f>
        <v>0.94025804207586217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  <row r="98" spans="2:8" x14ac:dyDescent="0.3">
      <c r="C98" s="4"/>
      <c r="D98" s="3"/>
      <c r="E98" s="3"/>
      <c r="F98" s="4"/>
      <c r="G98" s="3"/>
      <c r="H98" s="3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97"/>
  <sheetViews>
    <sheetView topLeftCell="A76" workbookViewId="0">
      <selection activeCell="A2" sqref="A2:H92"/>
    </sheetView>
  </sheetViews>
  <sheetFormatPr baseColWidth="10" defaultColWidth="11.42578125" defaultRowHeight="13.5" x14ac:dyDescent="0.3"/>
  <cols>
    <col min="1" max="1" width="4.42578125" style="2" bestFit="1" customWidth="1"/>
    <col min="2" max="2" width="11.28515625" style="2" bestFit="1" customWidth="1"/>
    <col min="3" max="3" width="13.7109375" style="2" bestFit="1" customWidth="1"/>
    <col min="4" max="4" width="20.85546875" style="2" bestFit="1" customWidth="1"/>
    <col min="5" max="5" width="18.28515625" style="2" bestFit="1" customWidth="1"/>
    <col min="6" max="6" width="13.7109375" style="2" bestFit="1" customWidth="1"/>
    <col min="7" max="7" width="18.7109375" style="2" bestFit="1" customWidth="1"/>
    <col min="8" max="8" width="15.855468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56</v>
      </c>
      <c r="D1" s="2" t="s">
        <v>57</v>
      </c>
      <c r="E1" s="2" t="s">
        <v>58</v>
      </c>
      <c r="F1" s="2" t="s">
        <v>59</v>
      </c>
      <c r="G1" s="2" t="s">
        <v>60</v>
      </c>
      <c r="H1" s="2" t="s">
        <v>61</v>
      </c>
    </row>
    <row r="2" spans="1:8" x14ac:dyDescent="0.3">
      <c r="A2" s="2">
        <v>2018</v>
      </c>
      <c r="B2" s="3">
        <v>1</v>
      </c>
      <c r="C2" s="3">
        <f>[1]SM_C!C206</f>
        <v>89</v>
      </c>
      <c r="D2" s="3">
        <f>[1]SM_C!D206</f>
        <v>21.917808219178081</v>
      </c>
      <c r="E2" s="3">
        <f>[1]SM_C!E206</f>
        <v>-6.6775138220365262</v>
      </c>
      <c r="F2" s="3">
        <f>[1]SM_C!F206</f>
        <v>9403</v>
      </c>
      <c r="G2" s="3">
        <f>[1]SM_C!G206</f>
        <v>5.7824277196534934</v>
      </c>
      <c r="H2" s="3">
        <f>[1]SM_C!H206</f>
        <v>-2.4657026370364035</v>
      </c>
    </row>
    <row r="3" spans="1:8" x14ac:dyDescent="0.3">
      <c r="A3" s="2">
        <f>A2</f>
        <v>2018</v>
      </c>
      <c r="B3" s="3">
        <v>2</v>
      </c>
      <c r="C3" s="3">
        <f>[1]SM_C!C207</f>
        <v>67</v>
      </c>
      <c r="D3" s="3">
        <f>[1]SM_C!D207</f>
        <v>-6.944444444444442</v>
      </c>
      <c r="E3" s="3">
        <f>[1]SM_C!E207</f>
        <v>-6.7978125659377726</v>
      </c>
      <c r="F3" s="3">
        <f>[1]SM_C!F207</f>
        <v>8738</v>
      </c>
      <c r="G3" s="3">
        <f>[1]SM_C!G207</f>
        <v>-1.1985526910900046</v>
      </c>
      <c r="H3" s="3">
        <f>[1]SM_C!H207</f>
        <v>-2.4950762793329475</v>
      </c>
    </row>
    <row r="4" spans="1:8" x14ac:dyDescent="0.3">
      <c r="A4" s="2">
        <f t="shared" ref="A4:A13" si="0">A3</f>
        <v>2018</v>
      </c>
      <c r="B4" s="3">
        <v>3</v>
      </c>
      <c r="C4" s="3">
        <f>[1]SM_C!C208</f>
        <v>49</v>
      </c>
      <c r="D4" s="3">
        <f>[1]SM_C!D208</f>
        <v>-25.757575757575758</v>
      </c>
      <c r="E4" s="3">
        <f>[1]SM_C!E208</f>
        <v>-6.8656294554134387</v>
      </c>
      <c r="F4" s="3">
        <f>[1]SM_C!F208</f>
        <v>9265</v>
      </c>
      <c r="G4" s="3">
        <f>[1]SM_C!G208</f>
        <v>-12.138454243717401</v>
      </c>
      <c r="H4" s="3">
        <f>[1]SM_C!H208</f>
        <v>-2.5066049857118777</v>
      </c>
    </row>
    <row r="5" spans="1:8" x14ac:dyDescent="0.3">
      <c r="A5" s="2">
        <f t="shared" si="0"/>
        <v>2018</v>
      </c>
      <c r="B5" s="3">
        <v>4</v>
      </c>
      <c r="C5" s="3">
        <f>[1]SM_C!C209</f>
        <v>84</v>
      </c>
      <c r="D5" s="3">
        <f>[1]SM_C!D209</f>
        <v>5.0000000000000044</v>
      </c>
      <c r="E5" s="3">
        <f>[1]SM_C!E209</f>
        <v>-6.882090425616175</v>
      </c>
      <c r="F5" s="3">
        <f>[1]SM_C!F209</f>
        <v>8817</v>
      </c>
      <c r="G5" s="3">
        <f>[1]SM_C!G209</f>
        <v>13.212634822804304</v>
      </c>
      <c r="H5" s="3">
        <f>[1]SM_C!H209</f>
        <v>-2.5003112039732969</v>
      </c>
    </row>
    <row r="6" spans="1:8" x14ac:dyDescent="0.3">
      <c r="A6" s="2">
        <f t="shared" si="0"/>
        <v>2018</v>
      </c>
      <c r="B6" s="3">
        <v>5</v>
      </c>
      <c r="C6" s="3">
        <f>[1]SM_C!C210</f>
        <v>70</v>
      </c>
      <c r="D6" s="3">
        <f>[1]SM_C!D210</f>
        <v>-12.5</v>
      </c>
      <c r="E6" s="3">
        <f>[1]SM_C!E210</f>
        <v>-6.8496333524140596</v>
      </c>
      <c r="F6" s="3">
        <f>[1]SM_C!F210</f>
        <v>8830</v>
      </c>
      <c r="G6" s="3">
        <f>[1]SM_C!G210</f>
        <v>0.50079672205782799</v>
      </c>
      <c r="H6" s="3">
        <f>[1]SM_C!H210</f>
        <v>-2.4768862603380026</v>
      </c>
    </row>
    <row r="7" spans="1:8" x14ac:dyDescent="0.3">
      <c r="A7" s="2">
        <f t="shared" si="0"/>
        <v>2018</v>
      </c>
      <c r="B7" s="3">
        <v>6</v>
      </c>
      <c r="C7" s="3">
        <f>[1]SM_C!C211</f>
        <v>50</v>
      </c>
      <c r="D7" s="3">
        <f>[1]SM_C!D211</f>
        <v>-26.470588235294112</v>
      </c>
      <c r="E7" s="3">
        <f>[1]SM_C!E211</f>
        <v>-6.7698709665067263</v>
      </c>
      <c r="F7" s="3">
        <f>[1]SM_C!F211</f>
        <v>8120</v>
      </c>
      <c r="G7" s="3">
        <f>[1]SM_C!G211</f>
        <v>-2.5093048385160244</v>
      </c>
      <c r="H7" s="3">
        <f>[1]SM_C!H211</f>
        <v>-2.4359303042193785</v>
      </c>
    </row>
    <row r="8" spans="1:8" x14ac:dyDescent="0.3">
      <c r="A8" s="2">
        <f t="shared" si="0"/>
        <v>2018</v>
      </c>
      <c r="B8" s="3">
        <v>7</v>
      </c>
      <c r="C8" s="3">
        <f>[1]SM_C!C212</f>
        <v>50</v>
      </c>
      <c r="D8" s="3">
        <f>[1]SM_C!D212</f>
        <v>-5.6603773584905648</v>
      </c>
      <c r="E8" s="3">
        <f>[1]SM_C!E212</f>
        <v>-6.6448083851665576</v>
      </c>
      <c r="F8" s="3">
        <f>[1]SM_C!F212</f>
        <v>7695</v>
      </c>
      <c r="G8" s="3">
        <f>[1]SM_C!G212</f>
        <v>3.4969737726967098</v>
      </c>
      <c r="H8" s="3">
        <f>[1]SM_C!H212</f>
        <v>-2.3768367014903631</v>
      </c>
    </row>
    <row r="9" spans="1:8" x14ac:dyDescent="0.3">
      <c r="A9" s="2">
        <f t="shared" si="0"/>
        <v>2018</v>
      </c>
      <c r="B9" s="3">
        <v>8</v>
      </c>
      <c r="C9" s="3">
        <f>[1]SM_C!C213</f>
        <v>54</v>
      </c>
      <c r="D9" s="3">
        <f>[1]SM_C!D213</f>
        <v>38.46153846153846</v>
      </c>
      <c r="E9" s="3">
        <f>[1]SM_C!E213</f>
        <v>-6.4778188310318257</v>
      </c>
      <c r="F9" s="3">
        <f>[1]SM_C!F213</f>
        <v>5870</v>
      </c>
      <c r="G9" s="3">
        <f>[1]SM_C!G213</f>
        <v>-0.67681895093062439</v>
      </c>
      <c r="H9" s="3">
        <f>[1]SM_C!H213</f>
        <v>-2.2990039134776667</v>
      </c>
    </row>
    <row r="10" spans="1:8" x14ac:dyDescent="0.3">
      <c r="A10" s="2">
        <f t="shared" si="0"/>
        <v>2018</v>
      </c>
      <c r="B10" s="3">
        <v>9</v>
      </c>
      <c r="C10" s="3">
        <f>[1]SM_C!C214</f>
        <v>42</v>
      </c>
      <c r="D10" s="3">
        <f>[1]SM_C!D214</f>
        <v>-25</v>
      </c>
      <c r="E10" s="3">
        <f>[1]SM_C!E214</f>
        <v>-6.2722071634750609</v>
      </c>
      <c r="F10" s="3">
        <f>[1]SM_C!F214</f>
        <v>5882</v>
      </c>
      <c r="G10" s="3">
        <f>[1]SM_C!G214</f>
        <v>-4.4664609387688792</v>
      </c>
      <c r="H10" s="3">
        <f>[1]SM_C!H214</f>
        <v>-2.2014224980028474</v>
      </c>
    </row>
    <row r="11" spans="1:8" x14ac:dyDescent="0.3">
      <c r="A11" s="2">
        <f t="shared" si="0"/>
        <v>2018</v>
      </c>
      <c r="B11" s="3">
        <v>10</v>
      </c>
      <c r="C11" s="3">
        <f>[1]SM_C!C215</f>
        <v>67</v>
      </c>
      <c r="D11" s="3">
        <f>[1]SM_C!D215</f>
        <v>8.0645161290322509</v>
      </c>
      <c r="E11" s="3">
        <f>[1]SM_C!E215</f>
        <v>-6.0281574531679221</v>
      </c>
      <c r="F11" s="3">
        <f>[1]SM_C!F215</f>
        <v>7723</v>
      </c>
      <c r="G11" s="3">
        <f>[1]SM_C!G215</f>
        <v>6.7302377003869651</v>
      </c>
      <c r="H11" s="3">
        <f>[1]SM_C!H215</f>
        <v>-2.0829703611539534</v>
      </c>
    </row>
    <row r="12" spans="1:8" x14ac:dyDescent="0.3">
      <c r="A12" s="2">
        <f t="shared" si="0"/>
        <v>2018</v>
      </c>
      <c r="B12" s="3">
        <v>11</v>
      </c>
      <c r="C12" s="3">
        <f>[1]SM_C!C216</f>
        <v>73</v>
      </c>
      <c r="D12" s="3">
        <f>[1]SM_C!D216</f>
        <v>12.307692307692308</v>
      </c>
      <c r="E12" s="3">
        <f>[1]SM_C!E216</f>
        <v>-5.7471543119512711</v>
      </c>
      <c r="F12" s="3">
        <f>[1]SM_C!F216</f>
        <v>7969</v>
      </c>
      <c r="G12" s="3">
        <f>[1]SM_C!G216</f>
        <v>3.2789009849663042</v>
      </c>
      <c r="H12" s="3">
        <f>[1]SM_C!H216</f>
        <v>-1.9426827033551974</v>
      </c>
    </row>
    <row r="13" spans="1:8" x14ac:dyDescent="0.3">
      <c r="A13" s="2">
        <f t="shared" si="0"/>
        <v>2018</v>
      </c>
      <c r="B13" s="3">
        <v>12</v>
      </c>
      <c r="C13" s="3">
        <f>[1]SM_C!C217</f>
        <v>59</v>
      </c>
      <c r="D13" s="3">
        <f>[1]SM_C!D217</f>
        <v>22.916666666666675</v>
      </c>
      <c r="E13" s="3">
        <f>[1]SM_C!E217</f>
        <v>-5.4297036937783183</v>
      </c>
      <c r="F13" s="3">
        <f>[1]SM_C!F217</f>
        <v>6809</v>
      </c>
      <c r="G13" s="3">
        <f>[1]SM_C!G217</f>
        <v>1.0987379361544258</v>
      </c>
      <c r="H13" s="3">
        <f>[1]SM_C!H217</f>
        <v>-1.7789826966931857</v>
      </c>
    </row>
    <row r="14" spans="1:8" x14ac:dyDescent="0.3">
      <c r="A14" s="2">
        <v>2019</v>
      </c>
      <c r="B14" s="3">
        <v>1</v>
      </c>
      <c r="C14" s="3">
        <f>[1]SM_C!C218</f>
        <v>85</v>
      </c>
      <c r="D14" s="3">
        <f>[1]SM_C!D218</f>
        <v>-4.4943820224719104</v>
      </c>
      <c r="E14" s="3">
        <f>[1]SM_C!E218</f>
        <v>-5.0750577438092437</v>
      </c>
      <c r="F14" s="3">
        <f>[1]SM_C!F218</f>
        <v>8995</v>
      </c>
      <c r="G14" s="3">
        <f>[1]SM_C!G218</f>
        <v>-4.3390407316813757</v>
      </c>
      <c r="H14" s="3">
        <f>[1]SM_C!H218</f>
        <v>-1.5899309032761684</v>
      </c>
    </row>
    <row r="15" spans="1:8" x14ac:dyDescent="0.3">
      <c r="A15" s="2">
        <f>A14</f>
        <v>2019</v>
      </c>
      <c r="B15" s="3">
        <v>2</v>
      </c>
      <c r="C15" s="3">
        <f>[1]SM_C!C219</f>
        <v>55</v>
      </c>
      <c r="D15" s="3">
        <f>[1]SM_C!D219</f>
        <v>-17.910447761194025</v>
      </c>
      <c r="E15" s="3">
        <f>[1]SM_C!E219</f>
        <v>-4.6805001092625282</v>
      </c>
      <c r="F15" s="3">
        <f>[1]SM_C!F219</f>
        <v>9382</v>
      </c>
      <c r="G15" s="3">
        <f>[1]SM_C!G219</f>
        <v>7.3701075761043677</v>
      </c>
      <c r="H15" s="3">
        <f>[1]SM_C!H219</f>
        <v>-1.3733880435017813</v>
      </c>
    </row>
    <row r="16" spans="1:8" x14ac:dyDescent="0.3">
      <c r="A16" s="2">
        <f t="shared" ref="A16:A25" si="1">A15</f>
        <v>2019</v>
      </c>
      <c r="B16" s="3">
        <v>3</v>
      </c>
      <c r="C16" s="3">
        <f>[1]SM_C!C220</f>
        <v>63</v>
      </c>
      <c r="D16" s="3">
        <f>[1]SM_C!D220</f>
        <v>28.57142857142858</v>
      </c>
      <c r="E16" s="3">
        <f>[1]SM_C!E220</f>
        <v>-4.2432741126537836</v>
      </c>
      <c r="F16" s="3">
        <f>[1]SM_C!F220</f>
        <v>9437</v>
      </c>
      <c r="G16" s="3">
        <f>[1]SM_C!G220</f>
        <v>1.8564490016189872</v>
      </c>
      <c r="H16" s="3">
        <f>[1]SM_C!H220</f>
        <v>-1.1274057481724109</v>
      </c>
    </row>
    <row r="17" spans="1:8" x14ac:dyDescent="0.3">
      <c r="A17" s="2">
        <f t="shared" si="1"/>
        <v>2019</v>
      </c>
      <c r="B17" s="3">
        <v>4</v>
      </c>
      <c r="C17" s="3">
        <f>[1]SM_C!C221</f>
        <v>55</v>
      </c>
      <c r="D17" s="3">
        <f>[1]SM_C!D221</f>
        <v>-34.523809523809526</v>
      </c>
      <c r="E17" s="3">
        <f>[1]SM_C!E221</f>
        <v>-3.7615418228633382</v>
      </c>
      <c r="F17" s="3">
        <f>[1]SM_C!F221</f>
        <v>8683</v>
      </c>
      <c r="G17" s="3">
        <f>[1]SM_C!G221</f>
        <v>-1.5197913122377171</v>
      </c>
      <c r="H17" s="3">
        <f>[1]SM_C!H221</f>
        <v>-0.8494284608946373</v>
      </c>
    </row>
    <row r="18" spans="1:8" x14ac:dyDescent="0.3">
      <c r="A18" s="2">
        <f t="shared" si="1"/>
        <v>2019</v>
      </c>
      <c r="B18" s="3">
        <v>5</v>
      </c>
      <c r="C18" s="3">
        <f>[1]SM_C!C222</f>
        <v>50</v>
      </c>
      <c r="D18" s="3">
        <f>[1]SM_C!D222</f>
        <v>-28.571428571428569</v>
      </c>
      <c r="E18" s="3">
        <f>[1]SM_C!E222</f>
        <v>-3.2311865099740147</v>
      </c>
      <c r="F18" s="3">
        <f>[1]SM_C!F222</f>
        <v>8585</v>
      </c>
      <c r="G18" s="3">
        <f>[1]SM_C!G222</f>
        <v>-2.7746319365798411</v>
      </c>
      <c r="H18" s="3">
        <f>[1]SM_C!H222</f>
        <v>-0.53669341313963881</v>
      </c>
    </row>
    <row r="19" spans="1:8" x14ac:dyDescent="0.3">
      <c r="A19" s="2">
        <f t="shared" si="1"/>
        <v>2019</v>
      </c>
      <c r="B19" s="3">
        <v>6</v>
      </c>
      <c r="C19" s="3">
        <f>[1]SM_C!C223</f>
        <v>63</v>
      </c>
      <c r="D19" s="3">
        <f>[1]SM_C!D223</f>
        <v>26</v>
      </c>
      <c r="E19" s="3">
        <f>[1]SM_C!E223</f>
        <v>-2.6502277126589799</v>
      </c>
      <c r="F19" s="3">
        <f>[1]SM_C!F223</f>
        <v>7433</v>
      </c>
      <c r="G19" s="3">
        <f>[1]SM_C!G223</f>
        <v>-8.4605911330049253</v>
      </c>
      <c r="H19" s="3">
        <f>[1]SM_C!H223</f>
        <v>-0.18648438935438114</v>
      </c>
    </row>
    <row r="20" spans="1:8" x14ac:dyDescent="0.3">
      <c r="A20" s="2">
        <f t="shared" si="1"/>
        <v>2019</v>
      </c>
      <c r="B20" s="3">
        <v>7</v>
      </c>
      <c r="C20" s="3">
        <f>[1]SM_C!C224</f>
        <v>45</v>
      </c>
      <c r="D20" s="3">
        <f>[1]SM_C!D224</f>
        <v>-9.9999999999999982</v>
      </c>
      <c r="E20" s="3">
        <f>[1]SM_C!E224</f>
        <v>-2.0184447086234458</v>
      </c>
      <c r="F20" s="3">
        <f>[1]SM_C!F224</f>
        <v>7825</v>
      </c>
      <c r="G20" s="3">
        <f>[1]SM_C!G224</f>
        <v>1.6894087069525776</v>
      </c>
      <c r="H20" s="3">
        <f>[1]SM_C!H224</f>
        <v>0.20375941361670874</v>
      </c>
    </row>
    <row r="21" spans="1:8" x14ac:dyDescent="0.3">
      <c r="A21" s="2">
        <f t="shared" si="1"/>
        <v>2019</v>
      </c>
      <c r="B21" s="3">
        <v>8</v>
      </c>
      <c r="C21" s="3">
        <f>[1]SM_C!C225</f>
        <v>31</v>
      </c>
      <c r="D21" s="3">
        <f>[1]SM_C!D225</f>
        <v>-42.592592592592595</v>
      </c>
      <c r="E21" s="3">
        <f>[1]SM_C!E225</f>
        <v>-1.3336271764259116</v>
      </c>
      <c r="F21" s="3">
        <f>[1]SM_C!F225</f>
        <v>5368</v>
      </c>
      <c r="G21" s="3">
        <f>[1]SM_C!G225</f>
        <v>-8.5519591141396951</v>
      </c>
      <c r="H21" s="3">
        <f>[1]SM_C!H225</f>
        <v>0.636024208183117</v>
      </c>
    </row>
    <row r="22" spans="1:8" x14ac:dyDescent="0.3">
      <c r="A22" s="2">
        <f t="shared" si="1"/>
        <v>2019</v>
      </c>
      <c r="B22" s="3">
        <v>9</v>
      </c>
      <c r="C22" s="3">
        <f>[1]SM_C!C226</f>
        <v>60</v>
      </c>
      <c r="D22" s="3">
        <f>[1]SM_C!D226</f>
        <v>42.857142857142861</v>
      </c>
      <c r="E22" s="3">
        <f>[1]SM_C!E226</f>
        <v>-0.59411906929788827</v>
      </c>
      <c r="F22" s="3">
        <f>[1]SM_C!F226</f>
        <v>5787</v>
      </c>
      <c r="G22" s="3">
        <f>[1]SM_C!G226</f>
        <v>-1.6150969058143505</v>
      </c>
      <c r="H22" s="3">
        <f>[1]SM_C!H226</f>
        <v>1.1123993768441449</v>
      </c>
    </row>
    <row r="23" spans="1:8" x14ac:dyDescent="0.3">
      <c r="A23" s="2">
        <f t="shared" si="1"/>
        <v>2019</v>
      </c>
      <c r="B23" s="3">
        <v>10</v>
      </c>
      <c r="C23" s="3">
        <f>[1]SM_C!C227</f>
        <v>53</v>
      </c>
      <c r="D23" s="3">
        <f>[1]SM_C!D227</f>
        <v>-20.895522388059707</v>
      </c>
      <c r="E23" s="3">
        <f>[1]SM_C!E227</f>
        <v>0.19887045359743424</v>
      </c>
      <c r="F23" s="3">
        <f>[1]SM_C!F227</f>
        <v>8029</v>
      </c>
      <c r="G23" s="3">
        <f>[1]SM_C!G227</f>
        <v>3.9621908584746901</v>
      </c>
      <c r="H23" s="3">
        <f>[1]SM_C!H227</f>
        <v>1.6343362477017103</v>
      </c>
    </row>
    <row r="24" spans="1:8" x14ac:dyDescent="0.3">
      <c r="A24" s="2">
        <f t="shared" si="1"/>
        <v>2019</v>
      </c>
      <c r="B24" s="3">
        <v>11</v>
      </c>
      <c r="C24" s="3">
        <f>[1]SM_C!C228</f>
        <v>37</v>
      </c>
      <c r="D24" s="3">
        <f>[1]SM_C!D228</f>
        <v>-49.315068493150683</v>
      </c>
      <c r="E24" s="3">
        <f>[1]SM_C!E228</f>
        <v>1.0471496818417581</v>
      </c>
      <c r="F24" s="3">
        <f>[1]SM_C!F228</f>
        <v>7332</v>
      </c>
      <c r="G24" s="3">
        <f>[1]SM_C!G228</f>
        <v>-7.9934747145187561</v>
      </c>
      <c r="H24" s="3">
        <f>[1]SM_C!H228</f>
        <v>2.2030967393936574</v>
      </c>
    </row>
    <row r="25" spans="1:8" x14ac:dyDescent="0.3">
      <c r="A25" s="2">
        <f t="shared" si="1"/>
        <v>2019</v>
      </c>
      <c r="B25" s="3">
        <v>12</v>
      </c>
      <c r="C25" s="3">
        <f>[1]SM_C!C229</f>
        <v>45</v>
      </c>
      <c r="D25" s="3">
        <f>[1]SM_C!D229</f>
        <v>-23.728813559322038</v>
      </c>
      <c r="E25" s="3">
        <f>[1]SM_C!E229</f>
        <v>1.9510620166250034</v>
      </c>
      <c r="F25" s="3">
        <f>[1]SM_C!F229</f>
        <v>7095</v>
      </c>
      <c r="G25" s="3">
        <f>[1]SM_C!G229</f>
        <v>4.2003231017770704</v>
      </c>
      <c r="H25" s="3">
        <f>[1]SM_C!H229</f>
        <v>2.8201044271280229</v>
      </c>
    </row>
    <row r="26" spans="1:8" x14ac:dyDescent="0.3">
      <c r="A26" s="2">
        <v>2020</v>
      </c>
      <c r="B26" s="3">
        <v>1</v>
      </c>
      <c r="C26" s="3">
        <f>[1]SM_C!C230</f>
        <v>49</v>
      </c>
      <c r="D26" s="3">
        <f>[1]SM_C!D230</f>
        <v>-42.352941176470594</v>
      </c>
      <c r="E26" s="3">
        <f>[1]SM_C!E230</f>
        <v>2.9074534828749385</v>
      </c>
      <c r="F26" s="3">
        <f>[1]SM_C!F230</f>
        <v>8658</v>
      </c>
      <c r="G26" s="3">
        <f>[1]SM_C!G230</f>
        <v>-3.7465258476931607</v>
      </c>
      <c r="H26" s="3">
        <f>[1]SM_C!H230</f>
        <v>3.4860747908729888</v>
      </c>
    </row>
    <row r="27" spans="1:8" x14ac:dyDescent="0.3">
      <c r="A27" s="2">
        <f>A26</f>
        <v>2020</v>
      </c>
      <c r="B27" s="3">
        <v>2</v>
      </c>
      <c r="C27" s="3">
        <f>[1]SM_C!C231</f>
        <v>56</v>
      </c>
      <c r="D27" s="3">
        <f>[1]SM_C!D231</f>
        <v>1.8181818181818077</v>
      </c>
      <c r="E27" s="3">
        <f>[1]SM_C!E231</f>
        <v>3.9113867808265574</v>
      </c>
      <c r="F27" s="3">
        <f>[1]SM_C!F231</f>
        <v>8523</v>
      </c>
      <c r="G27" s="3">
        <f>[1]SM_C!G231</f>
        <v>-9.155830313366021</v>
      </c>
      <c r="H27" s="3">
        <f>[1]SM_C!H231</f>
        <v>4.2018191591158098</v>
      </c>
    </row>
    <row r="28" spans="1:8" x14ac:dyDescent="0.3">
      <c r="A28" s="2">
        <f t="shared" ref="A28:A37" si="2">A27</f>
        <v>2020</v>
      </c>
      <c r="B28" s="3">
        <v>3</v>
      </c>
      <c r="C28" s="3">
        <f>[1]SM_C!C232</f>
        <v>51</v>
      </c>
      <c r="D28" s="3">
        <f>[1]SM_C!D232</f>
        <v>-19.047619047619047</v>
      </c>
      <c r="E28" s="3">
        <f>[1]SM_C!E232</f>
        <v>4.9547815277523988</v>
      </c>
      <c r="F28" s="3">
        <f>[1]SM_C!F232</f>
        <v>6779</v>
      </c>
      <c r="G28" s="3">
        <f>[1]SM_C!G232</f>
        <v>-28.16573063473562</v>
      </c>
      <c r="H28" s="3">
        <f>[1]SM_C!H232</f>
        <v>4.9676465964105061</v>
      </c>
    </row>
    <row r="29" spans="1:8" x14ac:dyDescent="0.3">
      <c r="A29" s="2">
        <f t="shared" si="2"/>
        <v>2020</v>
      </c>
      <c r="B29" s="3">
        <v>4</v>
      </c>
      <c r="C29" s="3">
        <f>[1]SM_C!C233</f>
        <v>30</v>
      </c>
      <c r="D29" s="3">
        <f>[1]SM_C!D233</f>
        <v>-45.45454545454546</v>
      </c>
      <c r="E29" s="3">
        <f>[1]SM_C!E233</f>
        <v>6.0294119794692618</v>
      </c>
      <c r="F29" s="3">
        <f>[1]SM_C!F233</f>
        <v>2314</v>
      </c>
      <c r="G29" s="3">
        <f>[1]SM_C!G233</f>
        <v>-73.350224576759189</v>
      </c>
      <c r="H29" s="3">
        <f>[1]SM_C!H233</f>
        <v>5.7829385527643966</v>
      </c>
    </row>
    <row r="30" spans="1:8" x14ac:dyDescent="0.3">
      <c r="A30" s="2">
        <f t="shared" si="2"/>
        <v>2020</v>
      </c>
      <c r="B30" s="3">
        <v>5</v>
      </c>
      <c r="C30" s="3">
        <f>[1]SM_C!C234</f>
        <v>28</v>
      </c>
      <c r="D30" s="3">
        <f>[1]SM_C!D234</f>
        <v>-43.999999999999993</v>
      </c>
      <c r="E30" s="3">
        <f>[1]SM_C!E234</f>
        <v>7.125385558420656</v>
      </c>
      <c r="F30" s="3">
        <f>[1]SM_C!F234</f>
        <v>3792</v>
      </c>
      <c r="G30" s="3">
        <f>[1]SM_C!G234</f>
        <v>-55.829935934769949</v>
      </c>
      <c r="H30" s="3">
        <f>[1]SM_C!H234</f>
        <v>6.6447755492104168</v>
      </c>
    </row>
    <row r="31" spans="1:8" x14ac:dyDescent="0.3">
      <c r="A31" s="2">
        <f t="shared" si="2"/>
        <v>2020</v>
      </c>
      <c r="B31" s="3">
        <v>6</v>
      </c>
      <c r="C31" s="3">
        <f>[1]SM_C!C235</f>
        <v>61</v>
      </c>
      <c r="D31" s="3">
        <f>[1]SM_C!D235</f>
        <v>-3.1746031746031744</v>
      </c>
      <c r="E31" s="3">
        <f>[1]SM_C!E235</f>
        <v>8.2292344122282852</v>
      </c>
      <c r="F31" s="3">
        <f>[1]SM_C!F235</f>
        <v>6737</v>
      </c>
      <c r="G31" s="3">
        <f>[1]SM_C!G235</f>
        <v>-9.3636485941073548</v>
      </c>
      <c r="H31" s="3">
        <f>[1]SM_C!H235</f>
        <v>7.5447427482308402</v>
      </c>
    </row>
    <row r="32" spans="1:8" x14ac:dyDescent="0.3">
      <c r="A32" s="2">
        <f t="shared" si="2"/>
        <v>2020</v>
      </c>
      <c r="B32" s="3">
        <v>7</v>
      </c>
      <c r="C32" s="3">
        <f>[1]SM_C!C236</f>
        <v>68</v>
      </c>
      <c r="D32" s="3">
        <f>[1]SM_C!D236</f>
        <v>51.111111111111107</v>
      </c>
      <c r="E32" s="3">
        <f>[1]SM_C!E236</f>
        <v>9.3239403145167401</v>
      </c>
      <c r="F32" s="3">
        <f>[1]SM_C!F236</f>
        <v>7641</v>
      </c>
      <c r="G32" s="3">
        <f>[1]SM_C!G236</f>
        <v>-2.3514376996805142</v>
      </c>
      <c r="H32" s="3">
        <f>[1]SM_C!H236</f>
        <v>8.470086790677108</v>
      </c>
    </row>
    <row r="33" spans="1:8" x14ac:dyDescent="0.3">
      <c r="A33" s="2">
        <f t="shared" si="2"/>
        <v>2020</v>
      </c>
      <c r="B33" s="3">
        <v>8</v>
      </c>
      <c r="C33" s="3">
        <f>[1]SM_C!C237</f>
        <v>45</v>
      </c>
      <c r="D33" s="3">
        <f>[1]SM_C!D237</f>
        <v>45.161290322580648</v>
      </c>
      <c r="E33" s="3">
        <f>[1]SM_C!E237</f>
        <v>10.39169310574486</v>
      </c>
      <c r="F33" s="3">
        <f>[1]SM_C!F237</f>
        <v>5752</v>
      </c>
      <c r="G33" s="3">
        <f>[1]SM_C!G237</f>
        <v>7.1535022354694444</v>
      </c>
      <c r="H33" s="3">
        <f>[1]SM_C!H237</f>
        <v>9.4068801235574444</v>
      </c>
    </row>
    <row r="34" spans="1:8" x14ac:dyDescent="0.3">
      <c r="A34" s="2">
        <f t="shared" si="2"/>
        <v>2020</v>
      </c>
      <c r="B34" s="3">
        <v>9</v>
      </c>
      <c r="C34" s="3">
        <f>[1]SM_C!C238</f>
        <v>46</v>
      </c>
      <c r="D34" s="3">
        <f>[1]SM_C!D238</f>
        <v>-23.333333333333329</v>
      </c>
      <c r="E34" s="3">
        <f>[1]SM_C!E238</f>
        <v>11.417584513232358</v>
      </c>
      <c r="F34" s="3">
        <f>[1]SM_C!F238</f>
        <v>6599</v>
      </c>
      <c r="G34" s="3">
        <f>[1]SM_C!G238</f>
        <v>14.031449801278729</v>
      </c>
      <c r="H34" s="3">
        <f>[1]SM_C!H238</f>
        <v>10.340443699123799</v>
      </c>
    </row>
    <row r="35" spans="1:8" x14ac:dyDescent="0.3">
      <c r="A35" s="2">
        <f t="shared" si="2"/>
        <v>2020</v>
      </c>
      <c r="B35" s="3">
        <v>10</v>
      </c>
      <c r="C35" s="3">
        <f>[1]SM_C!C239</f>
        <v>42</v>
      </c>
      <c r="D35" s="3">
        <f>[1]SM_C!D239</f>
        <v>-20.75471698113207</v>
      </c>
      <c r="E35" s="3">
        <f>[1]SM_C!E239</f>
        <v>12.389120819661228</v>
      </c>
      <c r="F35" s="3">
        <f>[1]SM_C!F239</f>
        <v>7396</v>
      </c>
      <c r="G35" s="3">
        <f>[1]SM_C!G239</f>
        <v>-7.8839207871465922</v>
      </c>
      <c r="H35" s="3">
        <f>[1]SM_C!H239</f>
        <v>11.25594198505256</v>
      </c>
    </row>
    <row r="36" spans="1:8" x14ac:dyDescent="0.3">
      <c r="A36" s="2">
        <f t="shared" si="2"/>
        <v>2020</v>
      </c>
      <c r="B36" s="3">
        <v>11</v>
      </c>
      <c r="C36" s="3">
        <f>[1]SM_C!C240</f>
        <v>59</v>
      </c>
      <c r="D36" s="3">
        <f>[1]SM_C!D240</f>
        <v>59.459459459459453</v>
      </c>
      <c r="E36" s="3">
        <f>[1]SM_C!E240</f>
        <v>13.291395049529674</v>
      </c>
      <c r="F36" s="3">
        <f>[1]SM_C!F240</f>
        <v>7339</v>
      </c>
      <c r="G36" s="3">
        <f>[1]SM_C!G240</f>
        <v>9.54719039825358E-2</v>
      </c>
      <c r="H36" s="3">
        <f>[1]SM_C!H240</f>
        <v>12.13879576888832</v>
      </c>
    </row>
    <row r="37" spans="1:8" x14ac:dyDescent="0.3">
      <c r="A37" s="2">
        <f t="shared" si="2"/>
        <v>2020</v>
      </c>
      <c r="B37" s="3">
        <v>12</v>
      </c>
      <c r="C37" s="3">
        <f>[1]SM_C!C241</f>
        <v>57</v>
      </c>
      <c r="D37" s="3">
        <f>[1]SM_C!D241</f>
        <v>26.666666666666661</v>
      </c>
      <c r="E37" s="3">
        <f>[1]SM_C!E241</f>
        <v>14.107198571933067</v>
      </c>
      <c r="F37" s="3">
        <f>[1]SM_C!F241</f>
        <v>7670</v>
      </c>
      <c r="G37" s="3">
        <f>[1]SM_C!G241</f>
        <v>8.1042988019732309</v>
      </c>
      <c r="H37" s="3">
        <f>[1]SM_C!H241</f>
        <v>12.97309668103871</v>
      </c>
    </row>
    <row r="38" spans="1:8" x14ac:dyDescent="0.3">
      <c r="A38" s="2">
        <v>2021</v>
      </c>
      <c r="B38" s="3">
        <v>1</v>
      </c>
      <c r="C38" s="3">
        <f>[1]SM_C!C242</f>
        <v>67</v>
      </c>
      <c r="D38" s="3">
        <f>[1]SM_C!D242</f>
        <v>36.734693877551017</v>
      </c>
      <c r="E38" s="3">
        <f>[1]SM_C!E242</f>
        <v>14.822528871550796</v>
      </c>
      <c r="F38" s="3">
        <f>[1]SM_C!F242</f>
        <v>7815</v>
      </c>
      <c r="G38" s="3">
        <f>[1]SM_C!G242</f>
        <v>-9.7366597366597354</v>
      </c>
      <c r="H38" s="3">
        <f>[1]SM_C!H242</f>
        <v>13.742100009976298</v>
      </c>
    </row>
    <row r="39" spans="1:8" x14ac:dyDescent="0.3">
      <c r="A39" s="2">
        <f>A38</f>
        <v>2021</v>
      </c>
      <c r="B39" s="3">
        <v>2</v>
      </c>
      <c r="C39" s="3">
        <f>[1]SM_C!C243</f>
        <v>85</v>
      </c>
      <c r="D39" s="3">
        <f>[1]SM_C!D243</f>
        <v>51.785714285714278</v>
      </c>
      <c r="E39" s="3">
        <f>[1]SM_C!E243</f>
        <v>15.424255618346608</v>
      </c>
      <c r="F39" s="3">
        <f>[1]SM_C!F243</f>
        <v>8787</v>
      </c>
      <c r="G39" s="3">
        <f>[1]SM_C!G243</f>
        <v>3.0975008799718484</v>
      </c>
      <c r="H39" s="3">
        <f>[1]SM_C!H243</f>
        <v>14.428722933209826</v>
      </c>
    </row>
    <row r="40" spans="1:8" x14ac:dyDescent="0.3">
      <c r="A40" s="2">
        <f t="shared" ref="A40:A49" si="3">A39</f>
        <v>2021</v>
      </c>
      <c r="B40" s="3">
        <v>3</v>
      </c>
      <c r="C40" s="3">
        <f>[1]SM_C!C244</f>
        <v>76</v>
      </c>
      <c r="D40" s="3">
        <f>[1]SM_C!D244</f>
        <v>49.019607843137258</v>
      </c>
      <c r="E40" s="3">
        <f>[1]SM_C!E244</f>
        <v>15.900770160409666</v>
      </c>
      <c r="F40" s="3">
        <f>[1]SM_C!F244</f>
        <v>11005</v>
      </c>
      <c r="G40" s="3">
        <f>[1]SM_C!G244</f>
        <v>62.339578108865609</v>
      </c>
      <c r="H40" s="3">
        <f>[1]SM_C!H244</f>
        <v>15.014252158821188</v>
      </c>
    </row>
    <row r="41" spans="1:8" x14ac:dyDescent="0.3">
      <c r="A41" s="2">
        <f t="shared" si="3"/>
        <v>2021</v>
      </c>
      <c r="B41" s="3">
        <v>4</v>
      </c>
      <c r="C41" s="3">
        <f>[1]SM_C!C245</f>
        <v>90</v>
      </c>
      <c r="D41" s="3">
        <f>[1]SM_C!D245</f>
        <v>200</v>
      </c>
      <c r="E41" s="3">
        <f>[1]SM_C!E245</f>
        <v>16.242988947125479</v>
      </c>
      <c r="F41" s="3">
        <f>[1]SM_C!F245</f>
        <v>9226</v>
      </c>
      <c r="G41" s="3">
        <f>[1]SM_C!G245</f>
        <v>298.70354364736386</v>
      </c>
      <c r="H41" s="3">
        <f>[1]SM_C!H245</f>
        <v>15.479187504471916</v>
      </c>
    </row>
    <row r="42" spans="1:8" x14ac:dyDescent="0.3">
      <c r="A42" s="2">
        <f t="shared" si="3"/>
        <v>2021</v>
      </c>
      <c r="B42" s="3">
        <v>5</v>
      </c>
      <c r="C42" s="3">
        <f>[1]SM_C!C246</f>
        <v>76</v>
      </c>
      <c r="D42" s="3">
        <f>[1]SM_C!D246</f>
        <v>171.42857142857144</v>
      </c>
      <c r="E42" s="3">
        <f>[1]SM_C!E246</f>
        <v>16.444128347163083</v>
      </c>
      <c r="F42" s="3">
        <f>[1]SM_C!F246</f>
        <v>9574</v>
      </c>
      <c r="G42" s="3">
        <f>[1]SM_C!G246</f>
        <v>152.4789029535865</v>
      </c>
      <c r="H42" s="3">
        <f>[1]SM_C!H246</f>
        <v>15.807315268792298</v>
      </c>
    </row>
    <row r="43" spans="1:8" x14ac:dyDescent="0.3">
      <c r="A43" s="2">
        <f t="shared" si="3"/>
        <v>2021</v>
      </c>
      <c r="B43" s="3">
        <v>6</v>
      </c>
      <c r="C43" s="3">
        <f>[1]SM_C!C247</f>
        <v>75</v>
      </c>
      <c r="D43" s="3">
        <f>[1]SM_C!D247</f>
        <v>22.95081967213115</v>
      </c>
      <c r="E43" s="3">
        <f>[1]SM_C!E247</f>
        <v>16.510165632736854</v>
      </c>
      <c r="F43" s="3">
        <f>[1]SM_C!F247</f>
        <v>9556</v>
      </c>
      <c r="G43" s="3">
        <f>[1]SM_C!G247</f>
        <v>41.843550541784168</v>
      </c>
      <c r="H43" s="3">
        <f>[1]SM_C!H247</f>
        <v>16.002090108478097</v>
      </c>
    </row>
    <row r="44" spans="1:8" x14ac:dyDescent="0.3">
      <c r="A44" s="2">
        <f t="shared" si="3"/>
        <v>2021</v>
      </c>
      <c r="B44" s="3">
        <v>7</v>
      </c>
      <c r="C44" s="3">
        <f>[1]SM_C!C248</f>
        <v>50</v>
      </c>
      <c r="D44" s="3">
        <f>[1]SM_C!D248</f>
        <v>-26.470588235294112</v>
      </c>
      <c r="E44" s="3">
        <f>[1]SM_C!E248</f>
        <v>16.457840884608483</v>
      </c>
      <c r="F44" s="3">
        <f>[1]SM_C!F248</f>
        <v>8388</v>
      </c>
      <c r="G44" s="3">
        <f>[1]SM_C!G248</f>
        <v>9.7762073027090715</v>
      </c>
      <c r="H44" s="3">
        <f>[1]SM_C!H248</f>
        <v>16.076457762703193</v>
      </c>
    </row>
    <row r="45" spans="1:8" x14ac:dyDescent="0.3">
      <c r="A45" s="2">
        <f t="shared" si="3"/>
        <v>2021</v>
      </c>
      <c r="B45" s="3">
        <v>8</v>
      </c>
      <c r="C45" s="3">
        <f>[1]SM_C!C249</f>
        <v>45</v>
      </c>
      <c r="D45" s="3">
        <f>[1]SM_C!D249</f>
        <v>0</v>
      </c>
      <c r="E45" s="3">
        <f>[1]SM_C!E249</f>
        <v>16.304341451181294</v>
      </c>
      <c r="F45" s="3">
        <f>[1]SM_C!F249</f>
        <v>6310</v>
      </c>
      <c r="G45" s="3">
        <f>[1]SM_C!G249</f>
        <v>9.7009735744089109</v>
      </c>
      <c r="H45" s="3">
        <f>[1]SM_C!H249</f>
        <v>16.045158516504891</v>
      </c>
    </row>
    <row r="46" spans="1:8" x14ac:dyDescent="0.3">
      <c r="A46" s="2">
        <f t="shared" si="3"/>
        <v>2021</v>
      </c>
      <c r="B46" s="3">
        <v>9</v>
      </c>
      <c r="C46" s="3">
        <f>[1]SM_C!C250</f>
        <v>53</v>
      </c>
      <c r="D46" s="3">
        <f>[1]SM_C!D250</f>
        <v>15.217391304347828</v>
      </c>
      <c r="E46" s="3">
        <f>[1]SM_C!E250</f>
        <v>16.063873539947501</v>
      </c>
      <c r="F46" s="3">
        <f>[1]SM_C!F250</f>
        <v>6622</v>
      </c>
      <c r="G46" s="3">
        <f>[1]SM_C!G250</f>
        <v>0.34853765722078212</v>
      </c>
      <c r="H46" s="3">
        <f>[1]SM_C!H250</f>
        <v>15.922495137527438</v>
      </c>
    </row>
    <row r="47" spans="1:8" x14ac:dyDescent="0.3">
      <c r="A47" s="2">
        <f t="shared" si="3"/>
        <v>2021</v>
      </c>
      <c r="B47" s="3">
        <v>10</v>
      </c>
      <c r="C47" s="3">
        <f>[1]SM_C!C251</f>
        <v>51</v>
      </c>
      <c r="D47" s="3">
        <f>[1]SM_C!D251</f>
        <v>21.42857142857142</v>
      </c>
      <c r="E47" s="3">
        <f>[1]SM_C!E251</f>
        <v>15.749511112465212</v>
      </c>
      <c r="F47" s="3">
        <f>[1]SM_C!F251</f>
        <v>7350</v>
      </c>
      <c r="G47" s="3">
        <f>[1]SM_C!G251</f>
        <v>-0.62195781503515679</v>
      </c>
      <c r="H47" s="3">
        <f>[1]SM_C!H251</f>
        <v>15.722329825016322</v>
      </c>
    </row>
    <row r="48" spans="1:8" x14ac:dyDescent="0.3">
      <c r="A48" s="2">
        <f t="shared" si="3"/>
        <v>2021</v>
      </c>
      <c r="B48" s="3">
        <v>11</v>
      </c>
      <c r="C48" s="3">
        <f>[1]SM_C!C252</f>
        <v>74</v>
      </c>
      <c r="D48" s="3">
        <f>[1]SM_C!D252</f>
        <v>25.423728813559322</v>
      </c>
      <c r="E48" s="3">
        <f>[1]SM_C!E252</f>
        <v>15.374269346803949</v>
      </c>
      <c r="F48" s="3">
        <f>[1]SM_C!F252</f>
        <v>8181</v>
      </c>
      <c r="G48" s="3">
        <f>[1]SM_C!G252</f>
        <v>11.472952718354001</v>
      </c>
      <c r="H48" s="3">
        <f>[1]SM_C!H252</f>
        <v>15.457443253392013</v>
      </c>
    </row>
    <row r="49" spans="1:8" x14ac:dyDescent="0.3">
      <c r="A49" s="2">
        <f t="shared" si="3"/>
        <v>2021</v>
      </c>
      <c r="B49" s="3">
        <v>12</v>
      </c>
      <c r="C49" s="3">
        <f>[1]SM_C!C253</f>
        <v>61</v>
      </c>
      <c r="D49" s="3">
        <f>[1]SM_C!D253</f>
        <v>7.0175438596491224</v>
      </c>
      <c r="E49" s="3">
        <f>[1]SM_C!E253</f>
        <v>14.951557800221856</v>
      </c>
      <c r="F49" s="3">
        <f>[1]SM_C!F253</f>
        <v>8396</v>
      </c>
      <c r="G49" s="3">
        <f>[1]SM_C!G253</f>
        <v>9.465449804432847</v>
      </c>
      <c r="H49" s="3">
        <f>[1]SM_C!H253</f>
        <v>15.13948107709998</v>
      </c>
    </row>
    <row r="50" spans="1:8" x14ac:dyDescent="0.3">
      <c r="A50" s="2">
        <v>2022</v>
      </c>
      <c r="B50" s="3">
        <v>1</v>
      </c>
      <c r="C50" s="3">
        <f>[1]SM_C!C254</f>
        <v>76</v>
      </c>
      <c r="D50" s="3">
        <f>[1]SM_C!D254</f>
        <v>13.432835820895516</v>
      </c>
      <c r="E50" s="3">
        <f>[1]SM_C!E254</f>
        <v>14.495483909106714</v>
      </c>
      <c r="F50" s="3">
        <f>[1]SM_C!F254</f>
        <v>8197</v>
      </c>
      <c r="G50" s="3">
        <f>[1]SM_C!G254</f>
        <v>4.8880358285348757</v>
      </c>
      <c r="H50" s="3">
        <f>[1]SM_C!H254</f>
        <v>14.779812249854091</v>
      </c>
    </row>
    <row r="51" spans="1:8" x14ac:dyDescent="0.3">
      <c r="A51" s="2">
        <f t="shared" ref="A51:A85" si="4">A50</f>
        <v>2022</v>
      </c>
      <c r="B51" s="3">
        <v>2</v>
      </c>
      <c r="C51" s="3">
        <f>[1]SM_C!C255</f>
        <v>49</v>
      </c>
      <c r="D51" s="3">
        <f>[1]SM_C!D255</f>
        <v>-42.352941176470594</v>
      </c>
      <c r="E51" s="3">
        <f>[1]SM_C!E255</f>
        <v>14.019604136655985</v>
      </c>
      <c r="F51" s="3">
        <f>[1]SM_C!F255</f>
        <v>9239</v>
      </c>
      <c r="G51" s="3">
        <f>[1]SM_C!G255</f>
        <v>5.1439626721292875</v>
      </c>
      <c r="H51" s="3">
        <f>[1]SM_C!H255</f>
        <v>14.389411695418724</v>
      </c>
    </row>
    <row r="52" spans="1:8" x14ac:dyDescent="0.3">
      <c r="A52" s="2">
        <f t="shared" si="4"/>
        <v>2022</v>
      </c>
      <c r="B52" s="3">
        <v>3</v>
      </c>
      <c r="C52" s="3">
        <f>[1]SM_C!C256</f>
        <v>83</v>
      </c>
      <c r="D52" s="3">
        <f>[1]SM_C!D256</f>
        <v>9.210526315789469</v>
      </c>
      <c r="E52" s="3">
        <f>[1]SM_C!E256</f>
        <v>13.53740115106101</v>
      </c>
      <c r="F52" s="3">
        <f>[1]SM_C!F256</f>
        <v>11086</v>
      </c>
      <c r="G52" s="3">
        <f>[1]SM_C!G256</f>
        <v>0.73602907769196868</v>
      </c>
      <c r="H52" s="3">
        <f>[1]SM_C!H256</f>
        <v>13.978567408640114</v>
      </c>
    </row>
    <row r="53" spans="1:8" x14ac:dyDescent="0.3">
      <c r="A53" s="2">
        <f t="shared" si="4"/>
        <v>2022</v>
      </c>
      <c r="B53" s="3">
        <v>4</v>
      </c>
      <c r="C53" s="3">
        <f>[1]SM_C!C257</f>
        <v>72</v>
      </c>
      <c r="D53" s="3">
        <f>[1]SM_C!D257</f>
        <v>-19.999999999999996</v>
      </c>
      <c r="E53" s="3">
        <f>[1]SM_C!E257</f>
        <v>13.058442860421936</v>
      </c>
      <c r="F53" s="3">
        <f>[1]SM_C!F257</f>
        <v>8478</v>
      </c>
      <c r="G53" s="3">
        <f>[1]SM_C!G257</f>
        <v>-8.1075222198135677</v>
      </c>
      <c r="H53" s="3">
        <f>[1]SM_C!H257</f>
        <v>13.556925339293429</v>
      </c>
    </row>
    <row r="54" spans="1:8" x14ac:dyDescent="0.3">
      <c r="A54" s="2">
        <f t="shared" si="4"/>
        <v>2022</v>
      </c>
      <c r="B54" s="3">
        <v>5</v>
      </c>
      <c r="C54" s="3">
        <f>[1]SM_C!C258</f>
        <v>72</v>
      </c>
      <c r="D54" s="3">
        <f>[1]SM_C!D258</f>
        <v>-5.2631578947368478</v>
      </c>
      <c r="E54" s="3">
        <f>[1]SM_C!E258</f>
        <v>12.591996695419796</v>
      </c>
      <c r="F54" s="3">
        <f>[1]SM_C!F258</f>
        <v>9132</v>
      </c>
      <c r="G54" s="3">
        <f>[1]SM_C!G258</f>
        <v>-4.6166701483183576</v>
      </c>
      <c r="H54" s="3">
        <f>[1]SM_C!H258</f>
        <v>13.133211816436415</v>
      </c>
    </row>
    <row r="55" spans="1:8" x14ac:dyDescent="0.3">
      <c r="A55" s="2">
        <f t="shared" si="4"/>
        <v>2022</v>
      </c>
      <c r="B55" s="3">
        <v>6</v>
      </c>
      <c r="C55" s="3">
        <f>[1]SM_C!C259</f>
        <v>80</v>
      </c>
      <c r="D55" s="3">
        <f>[1]SM_C!D259</f>
        <v>6.6666666666666652</v>
      </c>
      <c r="E55" s="3">
        <f>[1]SM_C!E259</f>
        <v>12.14503436153699</v>
      </c>
      <c r="F55" s="3">
        <f>[1]SM_C!F259</f>
        <v>8917</v>
      </c>
      <c r="G55" s="3">
        <f>[1]SM_C!G259</f>
        <v>-6.6868982838007573</v>
      </c>
      <c r="H55" s="3">
        <f>[1]SM_C!H259</f>
        <v>12.714648693601882</v>
      </c>
    </row>
    <row r="56" spans="1:8" x14ac:dyDescent="0.3">
      <c r="A56" s="2">
        <f t="shared" si="4"/>
        <v>2022</v>
      </c>
      <c r="B56" s="3">
        <v>7</v>
      </c>
      <c r="C56" s="3">
        <f>[1]SM_C!C260</f>
        <v>49</v>
      </c>
      <c r="D56" s="3">
        <f>[1]SM_C!D260</f>
        <v>-2.0000000000000018</v>
      </c>
      <c r="E56" s="3">
        <f>[1]SM_C!E260</f>
        <v>11.72328762296493</v>
      </c>
      <c r="F56" s="3">
        <f>[1]SM_C!F260</f>
        <v>7183</v>
      </c>
      <c r="G56" s="3">
        <f>[1]SM_C!G260</f>
        <v>-14.365760610395807</v>
      </c>
      <c r="H56" s="3">
        <f>[1]SM_C!H260</f>
        <v>12.307225193630645</v>
      </c>
    </row>
    <row r="57" spans="1:8" x14ac:dyDescent="0.3">
      <c r="A57" s="2">
        <f t="shared" si="4"/>
        <v>2022</v>
      </c>
      <c r="B57" s="3">
        <v>8</v>
      </c>
      <c r="C57" s="3">
        <f>[1]SM_C!C261</f>
        <v>54</v>
      </c>
      <c r="D57" s="3">
        <f>[1]SM_C!D261</f>
        <v>19.999999999999996</v>
      </c>
      <c r="E57" s="3">
        <f>[1]SM_C!E261</f>
        <v>11.332107801693999</v>
      </c>
      <c r="F57" s="3">
        <f>[1]SM_C!F261</f>
        <v>5910</v>
      </c>
      <c r="G57" s="3">
        <f>[1]SM_C!G261</f>
        <v>-6.3391442155309008</v>
      </c>
      <c r="H57" s="3">
        <f>[1]SM_C!H261</f>
        <v>11.915583209712306</v>
      </c>
    </row>
    <row r="58" spans="1:8" x14ac:dyDescent="0.3">
      <c r="A58" s="2">
        <f t="shared" si="4"/>
        <v>2022</v>
      </c>
      <c r="B58" s="3">
        <v>9</v>
      </c>
      <c r="C58" s="3">
        <f>[1]SM_C!C262</f>
        <v>52</v>
      </c>
      <c r="D58" s="3">
        <f>[1]SM_C!D262</f>
        <v>-1.8867924528301883</v>
      </c>
      <c r="E58" s="3">
        <f>[1]SM_C!E262</f>
        <v>10.975893213629648</v>
      </c>
      <c r="F58" s="3">
        <f>[1]SM_C!F262</f>
        <v>6841</v>
      </c>
      <c r="G58" s="3">
        <f>[1]SM_C!G262</f>
        <v>3.30715795832075</v>
      </c>
      <c r="H58" s="3">
        <f>[1]SM_C!H262</f>
        <v>11.542512344355636</v>
      </c>
    </row>
    <row r="59" spans="1:8" x14ac:dyDescent="0.3">
      <c r="A59" s="2">
        <f t="shared" si="4"/>
        <v>2022</v>
      </c>
      <c r="B59" s="3">
        <v>10</v>
      </c>
      <c r="C59" s="3">
        <f>[1]SM_C!C263</f>
        <v>50</v>
      </c>
      <c r="D59" s="3">
        <f>[1]SM_C!D263</f>
        <v>-1.9607843137254943</v>
      </c>
      <c r="E59" s="3">
        <f>[1]SM_C!E263</f>
        <v>10.659644111635549</v>
      </c>
      <c r="F59" s="3">
        <f>[1]SM_C!F263</f>
        <v>7149</v>
      </c>
      <c r="G59" s="3">
        <f>[1]SM_C!G263</f>
        <v>-2.7346938775510199</v>
      </c>
      <c r="H59" s="3">
        <f>[1]SM_C!H263</f>
        <v>11.189534510664876</v>
      </c>
    </row>
    <row r="60" spans="1:8" x14ac:dyDescent="0.3">
      <c r="A60" s="2">
        <f t="shared" si="4"/>
        <v>2022</v>
      </c>
      <c r="B60" s="3">
        <v>11</v>
      </c>
      <c r="C60" s="3">
        <f>[1]SM_C!C264</f>
        <v>65</v>
      </c>
      <c r="D60" s="3">
        <f>[1]SM_C!D264</f>
        <v>-12.16216216216216</v>
      </c>
      <c r="E60" s="3">
        <f>[1]SM_C!E264</f>
        <v>10.3874675065152</v>
      </c>
      <c r="F60" s="3">
        <f>[1]SM_C!F264</f>
        <v>8717</v>
      </c>
      <c r="G60" s="3">
        <f>[1]SM_C!G264</f>
        <v>6.5517662877398797</v>
      </c>
      <c r="H60" s="3">
        <f>[1]SM_C!H264</f>
        <v>10.857599722134125</v>
      </c>
    </row>
    <row r="61" spans="1:8" x14ac:dyDescent="0.3">
      <c r="A61" s="2">
        <f t="shared" si="4"/>
        <v>2022</v>
      </c>
      <c r="B61" s="3">
        <v>12</v>
      </c>
      <c r="C61" s="3">
        <f>[1]SM_C!C265</f>
        <v>56</v>
      </c>
      <c r="D61" s="3">
        <f>[1]SM_C!D265</f>
        <v>-8.1967213114754074</v>
      </c>
      <c r="E61" s="3">
        <f>[1]SM_C!E265</f>
        <v>10.162593990431452</v>
      </c>
      <c r="F61" s="3">
        <f>[1]SM_C!F265</f>
        <v>8267</v>
      </c>
      <c r="G61" s="3">
        <f>[1]SM_C!G265</f>
        <v>-1.5364459266317243</v>
      </c>
      <c r="H61" s="3">
        <f>[1]SM_C!H265</f>
        <v>10.546691031952745</v>
      </c>
    </row>
    <row r="62" spans="1:8" x14ac:dyDescent="0.3">
      <c r="A62" s="2">
        <v>2023</v>
      </c>
      <c r="B62" s="3">
        <v>1</v>
      </c>
      <c r="C62" s="3">
        <f>[1]SM_C!C266</f>
        <v>74</v>
      </c>
      <c r="D62" s="3">
        <f>[1]SM_C!D266</f>
        <v>-2.6315789473684181</v>
      </c>
      <c r="E62" s="3">
        <f>[1]SM_C!E266</f>
        <v>9.9866882090423825</v>
      </c>
      <c r="F62" s="3">
        <f>[1]SM_C!F266</f>
        <v>9475</v>
      </c>
      <c r="G62" s="3">
        <f>[1]SM_C!G266</f>
        <v>15.591069903623268</v>
      </c>
      <c r="H62" s="3">
        <f>[1]SM_C!H266</f>
        <v>10.256492477099377</v>
      </c>
    </row>
    <row r="63" spans="1:8" x14ac:dyDescent="0.3">
      <c r="A63" s="2">
        <f t="shared" si="4"/>
        <v>2023</v>
      </c>
      <c r="B63" s="3">
        <v>2</v>
      </c>
      <c r="C63" s="3">
        <f>[1]SM_C!C267</f>
        <v>68</v>
      </c>
      <c r="D63" s="3">
        <f>[1]SM_C!D267</f>
        <v>38.775510204081634</v>
      </c>
      <c r="E63" s="3">
        <f>[1]SM_C!E267</f>
        <v>9.8601398555545519</v>
      </c>
      <c r="F63" s="3">
        <f>[1]SM_C!F267</f>
        <v>10157</v>
      </c>
      <c r="G63" s="3">
        <f>[1]SM_C!G267</f>
        <v>9.9361402749215344</v>
      </c>
      <c r="H63" s="3">
        <f>[1]SM_C!H267</f>
        <v>9.9858489878194234</v>
      </c>
    </row>
    <row r="64" spans="1:8" x14ac:dyDescent="0.3">
      <c r="A64" s="2">
        <f t="shared" si="4"/>
        <v>2023</v>
      </c>
      <c r="B64" s="3">
        <v>3</v>
      </c>
      <c r="C64" s="3">
        <f>[1]SM_C!C268</f>
        <v>79</v>
      </c>
      <c r="D64" s="3">
        <f>[1]SM_C!D268</f>
        <v>-4.8192771084337398</v>
      </c>
      <c r="E64" s="3">
        <f>[1]SM_C!E268</f>
        <v>9.7824623546219893</v>
      </c>
      <c r="F64" s="3">
        <f>[1]SM_C!F268</f>
        <v>12079</v>
      </c>
      <c r="G64" s="3">
        <f>[1]SM_C!G268</f>
        <v>8.9572433700162435</v>
      </c>
      <c r="H64" s="3">
        <f>[1]SM_C!H268</f>
        <v>9.7339759511240231</v>
      </c>
    </row>
    <row r="65" spans="1:8" x14ac:dyDescent="0.3">
      <c r="A65" s="2">
        <f t="shared" si="4"/>
        <v>2023</v>
      </c>
      <c r="B65" s="3">
        <v>4</v>
      </c>
      <c r="C65" s="3">
        <f>[1]SM_C!C269</f>
        <v>56</v>
      </c>
      <c r="D65" s="3">
        <f>[1]SM_C!D269</f>
        <v>-22.222222222222221</v>
      </c>
      <c r="E65" s="3">
        <f>[1]SM_C!E269</f>
        <v>9.7551771427284848</v>
      </c>
      <c r="F65" s="3">
        <f>[1]SM_C!F269</f>
        <v>8624</v>
      </c>
      <c r="G65" s="3">
        <f>[1]SM_C!G269</f>
        <v>1.72210426987498</v>
      </c>
      <c r="H65" s="3">
        <f>[1]SM_C!H269</f>
        <v>9.5000853020303602</v>
      </c>
    </row>
    <row r="66" spans="1:8" x14ac:dyDescent="0.3">
      <c r="A66" s="2">
        <f t="shared" si="4"/>
        <v>2023</v>
      </c>
      <c r="B66" s="3">
        <v>5</v>
      </c>
      <c r="C66" s="3">
        <f>[1]SM_C!C270</f>
        <v>77</v>
      </c>
      <c r="D66" s="3">
        <f>[1]SM_C!D270</f>
        <v>6.944444444444442</v>
      </c>
      <c r="E66" s="3">
        <f>[1]SM_C!E270</f>
        <v>9.7787916466728948</v>
      </c>
      <c r="F66" s="3">
        <f>[1]SM_C!F270</f>
        <v>10408</v>
      </c>
      <c r="G66" s="3">
        <f>[1]SM_C!G270</f>
        <v>13.972842750766535</v>
      </c>
      <c r="H66" s="3">
        <f>[1]SM_C!H270</f>
        <v>9.2833350357930442</v>
      </c>
    </row>
    <row r="67" spans="1:8" x14ac:dyDescent="0.3">
      <c r="A67" s="2">
        <f t="shared" si="4"/>
        <v>2023</v>
      </c>
      <c r="B67" s="3">
        <v>6</v>
      </c>
      <c r="C67" s="3">
        <f>[1]SM_C!C271</f>
        <v>79</v>
      </c>
      <c r="D67" s="3">
        <f>[1]SM_C!D271</f>
        <v>-1.2499999999999956</v>
      </c>
      <c r="E67" s="3">
        <f>[1]SM_C!E271</f>
        <v>9.8515926405203977</v>
      </c>
      <c r="F67" s="3">
        <f>[1]SM_C!F271</f>
        <v>10207</v>
      </c>
      <c r="G67" s="3">
        <f>[1]SM_C!G271</f>
        <v>14.466748906582927</v>
      </c>
      <c r="H67" s="3">
        <f>[1]SM_C!H271</f>
        <v>9.0823430100950073</v>
      </c>
    </row>
    <row r="68" spans="1:8" x14ac:dyDescent="0.3">
      <c r="A68" s="2">
        <f t="shared" si="4"/>
        <v>2023</v>
      </c>
      <c r="B68" s="3">
        <v>7</v>
      </c>
      <c r="C68" s="3">
        <f>[1]SM_C!C272</f>
        <v>49</v>
      </c>
      <c r="D68" s="3">
        <f>[1]SM_C!D272</f>
        <v>0</v>
      </c>
      <c r="E68" s="3">
        <f>[1]SM_C!E272</f>
        <v>9.9716700686693525</v>
      </c>
      <c r="F68" s="3">
        <f>[1]SM_C!F272</f>
        <v>8297</v>
      </c>
      <c r="G68" s="3">
        <f>[1]SM_C!G272</f>
        <v>15.508840317416128</v>
      </c>
      <c r="H68" s="3">
        <f>[1]SM_C!H272</f>
        <v>8.8960527428771652</v>
      </c>
    </row>
    <row r="69" spans="1:8" x14ac:dyDescent="0.3">
      <c r="A69" s="2">
        <f t="shared" si="4"/>
        <v>2023</v>
      </c>
      <c r="B69" s="3">
        <v>8</v>
      </c>
      <c r="C69" s="3">
        <f>[1]SM_C!C273</f>
        <v>31</v>
      </c>
      <c r="D69" s="3">
        <f>[1]SM_C!D273</f>
        <v>-42.592592592592595</v>
      </c>
      <c r="E69" s="3">
        <f>[1]SM_C!E273</f>
        <v>10.136342931584746</v>
      </c>
      <c r="F69" s="3">
        <f>[1]SM_C!F273</f>
        <v>6614</v>
      </c>
      <c r="G69" s="3">
        <f>[1]SM_C!G273</f>
        <v>11.912013536379028</v>
      </c>
      <c r="H69" s="3">
        <f>[1]SM_C!H273</f>
        <v>8.7237816691565797</v>
      </c>
    </row>
    <row r="70" spans="1:8" x14ac:dyDescent="0.3">
      <c r="A70" s="2">
        <f t="shared" si="4"/>
        <v>2023</v>
      </c>
      <c r="B70" s="3">
        <v>9</v>
      </c>
      <c r="C70" s="3">
        <f>[1]SM_C!C274</f>
        <v>68</v>
      </c>
      <c r="D70" s="3">
        <f>[1]SM_C!D274</f>
        <v>30.76923076923077</v>
      </c>
      <c r="E70" s="3">
        <f>[1]SM_C!E274</f>
        <v>10.342237752643467</v>
      </c>
      <c r="F70" s="3">
        <f>[1]SM_C!F274</f>
        <v>6735</v>
      </c>
      <c r="G70" s="3">
        <f>[1]SM_C!G274</f>
        <v>-1.5494810700189987</v>
      </c>
      <c r="H70" s="3">
        <f>[1]SM_C!H274</f>
        <v>8.5653064453096555</v>
      </c>
    </row>
    <row r="71" spans="1:8" x14ac:dyDescent="0.3">
      <c r="A71" s="2">
        <f t="shared" si="4"/>
        <v>2023</v>
      </c>
      <c r="B71" s="3">
        <v>10</v>
      </c>
      <c r="C71" s="3">
        <f>[1]SM_C!C275</f>
        <v>63</v>
      </c>
      <c r="D71" s="3">
        <f>[1]SM_C!D275</f>
        <v>26</v>
      </c>
      <c r="E71" s="3">
        <f>[1]SM_C!E275</f>
        <v>10.582319323588775</v>
      </c>
      <c r="F71" s="3">
        <f>[1]SM_C!F275</f>
        <v>8294</v>
      </c>
      <c r="G71" s="3">
        <f>[1]SM_C!G275</f>
        <v>16.016226045600778</v>
      </c>
      <c r="H71" s="3">
        <f>[1]SM_C!H275</f>
        <v>8.4206251327035755</v>
      </c>
    </row>
    <row r="72" spans="1:8" x14ac:dyDescent="0.3">
      <c r="A72" s="2">
        <f t="shared" si="4"/>
        <v>2023</v>
      </c>
      <c r="B72" s="3">
        <v>11</v>
      </c>
      <c r="C72" s="3">
        <f>[1]SM_C!C276</f>
        <v>55</v>
      </c>
      <c r="D72" s="3">
        <f>[1]SM_C!D276</f>
        <v>-15.384615384615385</v>
      </c>
      <c r="E72" s="3">
        <f>[1]SM_C!E276</f>
        <v>10.850970977345645</v>
      </c>
      <c r="F72" s="3">
        <f>[1]SM_C!F276</f>
        <v>9274</v>
      </c>
      <c r="G72" s="3">
        <f>[1]SM_C!G276</f>
        <v>6.3898130090627614</v>
      </c>
      <c r="H72" s="3">
        <f>[1]SM_C!H276</f>
        <v>8.2890333769058486</v>
      </c>
    </row>
    <row r="73" spans="1:8" x14ac:dyDescent="0.3">
      <c r="A73" s="2">
        <f t="shared" si="4"/>
        <v>2023</v>
      </c>
      <c r="B73" s="3">
        <v>12</v>
      </c>
      <c r="C73" s="3">
        <f>[1]SM_C!C277</f>
        <v>70</v>
      </c>
      <c r="D73" s="3">
        <f>[1]SM_C!D277</f>
        <v>25</v>
      </c>
      <c r="E73" s="3">
        <f>[1]SM_C!E277</f>
        <v>11.14364671910824</v>
      </c>
      <c r="F73" s="3">
        <f>[1]SM_C!F277</f>
        <v>8018</v>
      </c>
      <c r="G73" s="3">
        <f>[1]SM_C!G277</f>
        <v>-3.0119753235756663</v>
      </c>
      <c r="H73" s="3">
        <f>[1]SM_C!H277</f>
        <v>8.1703542957696005</v>
      </c>
    </row>
    <row r="74" spans="1:8" x14ac:dyDescent="0.3">
      <c r="A74" s="2">
        <v>2024</v>
      </c>
      <c r="B74" s="3">
        <v>1</v>
      </c>
      <c r="C74" s="3">
        <f>[1]SM_C!C278</f>
        <v>72</v>
      </c>
      <c r="D74" s="3">
        <f>[1]SM_C!D278</f>
        <v>-2.7027027027026973</v>
      </c>
      <c r="E74" s="3">
        <f>[1]SM_C!E278</f>
        <v>11.453978638351145</v>
      </c>
      <c r="F74" s="3">
        <f>[1]SM_C!F278</f>
        <v>10716</v>
      </c>
      <c r="G74" s="3">
        <f>[1]SM_C!G278</f>
        <v>13.09762532981531</v>
      </c>
      <c r="H74" s="3">
        <f>[1]SM_C!H278</f>
        <v>8.0642791168446344</v>
      </c>
    </row>
    <row r="75" spans="1:8" x14ac:dyDescent="0.3">
      <c r="A75" s="2">
        <f t="shared" si="4"/>
        <v>2024</v>
      </c>
      <c r="B75" s="3">
        <v>2</v>
      </c>
      <c r="C75" s="3">
        <f>[1]SM_C!C279</f>
        <v>68</v>
      </c>
      <c r="D75" s="3">
        <f>[1]SM_C!D279</f>
        <v>0</v>
      </c>
      <c r="E75" s="3">
        <f>[1]SM_C!E279</f>
        <v>11.776561071304561</v>
      </c>
      <c r="F75" s="3">
        <f>[1]SM_C!F279</f>
        <v>10962</v>
      </c>
      <c r="G75" s="3">
        <f>[1]SM_C!G279</f>
        <v>7.9255685733976566</v>
      </c>
      <c r="H75" s="3">
        <f>[1]SM_C!H279</f>
        <v>7.9697225170127428</v>
      </c>
    </row>
    <row r="76" spans="1:8" x14ac:dyDescent="0.3">
      <c r="A76" s="2">
        <f t="shared" si="4"/>
        <v>2024</v>
      </c>
      <c r="B76" s="3">
        <v>3</v>
      </c>
      <c r="C76" s="3">
        <f>[1]SM_C!C280</f>
        <v>77</v>
      </c>
      <c r="D76" s="3">
        <f>[1]SM_C!D280</f>
        <v>-2.5316455696202556</v>
      </c>
      <c r="E76" s="3">
        <f>[1]SM_C!E280</f>
        <v>12.105005251327777</v>
      </c>
      <c r="F76" s="3">
        <f>[1]SM_C!F280</f>
        <v>10683</v>
      </c>
      <c r="G76" s="3">
        <f>[1]SM_C!G280</f>
        <v>-11.557248116565944</v>
      </c>
      <c r="H76" s="3">
        <f>[1]SM_C!H280</f>
        <v>7.8859487110871695</v>
      </c>
    </row>
    <row r="77" spans="1:8" x14ac:dyDescent="0.3">
      <c r="A77" s="2">
        <f t="shared" si="4"/>
        <v>2024</v>
      </c>
      <c r="B77" s="3">
        <v>4</v>
      </c>
      <c r="C77" s="3">
        <f>[1]SM_C!C281</f>
        <v>93</v>
      </c>
      <c r="D77" s="3">
        <f>[1]SM_C!D281</f>
        <v>66.071428571428584</v>
      </c>
      <c r="E77" s="3">
        <f>[1]SM_C!E281</f>
        <v>12.43210459503902</v>
      </c>
      <c r="F77" s="3">
        <f>[1]SM_C!F281</f>
        <v>11756</v>
      </c>
      <c r="G77" s="3">
        <f>[1]SM_C!G281</f>
        <v>36.317254174397043</v>
      </c>
      <c r="H77" s="3">
        <f>[1]SM_C!H281</f>
        <v>7.8122188476350765</v>
      </c>
    </row>
    <row r="78" spans="1:8" x14ac:dyDescent="0.3">
      <c r="A78" s="2">
        <f t="shared" si="4"/>
        <v>2024</v>
      </c>
      <c r="B78" s="3">
        <v>5</v>
      </c>
      <c r="C78" s="3">
        <f>[1]SM_C!C282</f>
        <v>70</v>
      </c>
      <c r="D78" s="3">
        <f>[1]SM_C!D282</f>
        <v>-9.0909090909090935</v>
      </c>
      <c r="E78" s="3">
        <f>[1]SM_C!E282</f>
        <v>12.74963608497173</v>
      </c>
      <c r="F78" s="3">
        <f>[1]SM_C!F282</f>
        <v>9660</v>
      </c>
      <c r="G78" s="3">
        <f>[1]SM_C!G282</f>
        <v>-7.1867794004611856</v>
      </c>
      <c r="H78" s="3">
        <f>[1]SM_C!H282</f>
        <v>7.746443853221705</v>
      </c>
    </row>
    <row r="79" spans="1:8" x14ac:dyDescent="0.3">
      <c r="A79" s="2">
        <f t="shared" si="4"/>
        <v>2024</v>
      </c>
      <c r="B79" s="3">
        <v>6</v>
      </c>
      <c r="C79" s="3">
        <f>[1]SM_C!C283</f>
        <v>94</v>
      </c>
      <c r="D79" s="3">
        <f>[1]SM_C!D283</f>
        <v>18.98734177215189</v>
      </c>
      <c r="E79" s="3">
        <f>[1]SM_C!E283</f>
        <v>13.053101656713263</v>
      </c>
      <c r="F79" s="3">
        <f>[1]SM_C!F283</f>
        <v>9534</v>
      </c>
      <c r="G79" s="3">
        <f>[1]SM_C!G283</f>
        <v>-6.5935142549230941</v>
      </c>
      <c r="H79" s="3">
        <f>[1]SM_C!H283</f>
        <v>7.6885141707544324</v>
      </c>
    </row>
    <row r="80" spans="1:8" x14ac:dyDescent="0.3">
      <c r="A80" s="2">
        <f t="shared" si="4"/>
        <v>2024</v>
      </c>
      <c r="B80" s="3">
        <v>7</v>
      </c>
      <c r="C80" s="3">
        <f>[1]SM_C!C284</f>
        <v>84</v>
      </c>
      <c r="D80" s="3">
        <f>[1]SM_C!D284</f>
        <v>71.428571428571416</v>
      </c>
      <c r="E80" s="3">
        <f>[1]SM_C!E284</f>
        <v>13.336486541324872</v>
      </c>
      <c r="F80" s="3">
        <f>[1]SM_C!F284</f>
        <v>9785</v>
      </c>
      <c r="G80" s="3">
        <f>[1]SM_C!G284</f>
        <v>17.934193081836813</v>
      </c>
      <c r="H80" s="3">
        <f>[1]SM_C!H284</f>
        <v>7.6372832137480184</v>
      </c>
    </row>
    <row r="81" spans="1:8" x14ac:dyDescent="0.3">
      <c r="A81" s="2">
        <f t="shared" si="4"/>
        <v>2024</v>
      </c>
      <c r="B81" s="3">
        <v>8</v>
      </c>
      <c r="C81" s="3">
        <f>[1]SM_C!C285</f>
        <v>49</v>
      </c>
      <c r="D81" s="3">
        <f>[1]SM_C!D285</f>
        <v>58.064516129032249</v>
      </c>
      <c r="E81" s="3">
        <f>[1]SM_C!E285</f>
        <v>13.594188069875825</v>
      </c>
      <c r="F81" s="3">
        <f>[1]SM_C!F285</f>
        <v>6886</v>
      </c>
      <c r="G81" s="3">
        <f>[1]SM_C!G285</f>
        <v>4.1124886604172906</v>
      </c>
      <c r="H81" s="3">
        <f>[1]SM_C!H285</f>
        <v>7.5906125881876632</v>
      </c>
    </row>
    <row r="82" spans="1:8" x14ac:dyDescent="0.3">
      <c r="A82" s="2">
        <f t="shared" si="4"/>
        <v>2024</v>
      </c>
      <c r="B82" s="3">
        <v>9</v>
      </c>
      <c r="C82" s="3">
        <f>[1]SM_C!C286</f>
        <v>80</v>
      </c>
      <c r="D82" s="3">
        <f>[1]SM_C!D286</f>
        <v>17.647058823529417</v>
      </c>
      <c r="E82" s="3">
        <f>[1]SM_C!E286</f>
        <v>13.824637745997007</v>
      </c>
      <c r="F82" s="3">
        <f>[1]SM_C!F286</f>
        <v>8069</v>
      </c>
      <c r="G82" s="3">
        <f>[1]SM_C!G286</f>
        <v>19.806978470675585</v>
      </c>
      <c r="H82" s="3">
        <f>[1]SM_C!H286</f>
        <v>7.5470789632438509</v>
      </c>
    </row>
    <row r="83" spans="1:8" x14ac:dyDescent="0.3">
      <c r="A83" s="2">
        <f t="shared" si="4"/>
        <v>2024</v>
      </c>
      <c r="B83" s="3">
        <v>10</v>
      </c>
      <c r="C83" s="3">
        <f>[1]SM_C!C287</f>
        <v>77</v>
      </c>
      <c r="D83" s="3">
        <f>[1]SM_C!D287</f>
        <v>22.222222222222232</v>
      </c>
      <c r="E83" s="3">
        <f>[1]SM_C!E287</f>
        <v>14.029355290545636</v>
      </c>
      <c r="F83" s="3">
        <f>[1]SM_C!F287</f>
        <v>10706</v>
      </c>
      <c r="G83" s="3">
        <f>[1]SM_C!G287</f>
        <v>29.081263564022187</v>
      </c>
      <c r="H83" s="3">
        <f>[1]SM_C!H287</f>
        <v>7.5050174717031943</v>
      </c>
    </row>
    <row r="84" spans="1:8" x14ac:dyDescent="0.3">
      <c r="A84" s="2">
        <f t="shared" si="4"/>
        <v>2024</v>
      </c>
      <c r="B84" s="3">
        <v>11</v>
      </c>
      <c r="C84" s="3">
        <f>[1]SM_C!C288</f>
        <v>78</v>
      </c>
      <c r="D84" s="3">
        <f>[1]SM_C!D288</f>
        <v>41.81818181818182</v>
      </c>
      <c r="E84" s="3">
        <f>[1]SM_C!E288</f>
        <v>14.210125870287094</v>
      </c>
      <c r="F84" s="3">
        <f>[1]SM_C!F288</f>
        <v>9970</v>
      </c>
      <c r="G84" s="3">
        <f>[1]SM_C!G288</f>
        <v>7.5048522751779201</v>
      </c>
      <c r="H84" s="3">
        <f>[1]SM_C!H288</f>
        <v>7.4636146282625448</v>
      </c>
    </row>
    <row r="85" spans="1:8" x14ac:dyDescent="0.3">
      <c r="A85" s="2">
        <f t="shared" si="4"/>
        <v>2024</v>
      </c>
      <c r="B85" s="3">
        <v>12</v>
      </c>
      <c r="C85" s="3">
        <f>[1]SM_C!C289</f>
        <v>55</v>
      </c>
      <c r="D85" s="3">
        <f>[1]SM_C!D289</f>
        <v>-21.428571428571431</v>
      </c>
      <c r="E85" s="3">
        <f>[1]SM_C!E289</f>
        <v>14.369303601079244</v>
      </c>
      <c r="F85" s="3">
        <f>[1]SM_C!F289</f>
        <v>9439</v>
      </c>
      <c r="G85" s="3">
        <f>[1]SM_C!G289</f>
        <v>17.722624095784489</v>
      </c>
      <c r="H85" s="3">
        <f>[1]SM_C!H289</f>
        <v>7.4235552980418342</v>
      </c>
    </row>
    <row r="86" spans="1:8" x14ac:dyDescent="0.3">
      <c r="A86" s="2">
        <v>2025</v>
      </c>
      <c r="B86" s="3">
        <v>1</v>
      </c>
      <c r="C86" s="3">
        <f>[1]SM_C!C290</f>
        <v>103</v>
      </c>
      <c r="D86" s="3">
        <f>[1]SM_C!D290</f>
        <v>43.055555555555557</v>
      </c>
      <c r="E86" s="3">
        <f>[1]SM_C!E290</f>
        <v>14.511159824887439</v>
      </c>
      <c r="F86" s="3">
        <f>[1]SM_C!F290</f>
        <v>10677</v>
      </c>
      <c r="G86" s="3">
        <f>[1]SM_C!G290</f>
        <v>-0.36394176931691113</v>
      </c>
      <c r="H86" s="3">
        <f>[1]SM_C!H290</f>
        <v>7.3855272098864742</v>
      </c>
    </row>
    <row r="87" spans="1:8" x14ac:dyDescent="0.3">
      <c r="A87" s="2">
        <v>2025</v>
      </c>
      <c r="B87" s="3">
        <v>2</v>
      </c>
      <c r="C87" s="3">
        <f>[1]SM_C!C291</f>
        <v>59</v>
      </c>
      <c r="D87" s="3">
        <f>[1]SM_C!D291</f>
        <v>-13.235294117647056</v>
      </c>
      <c r="E87" s="3">
        <f>[1]SM_C!E291</f>
        <v>14.637479920133309</v>
      </c>
      <c r="F87" s="3">
        <f>[1]SM_C!F291</f>
        <v>8746</v>
      </c>
      <c r="G87" s="3">
        <f>[1]SM_C!G291</f>
        <v>-20.215289180806415</v>
      </c>
      <c r="H87" s="3">
        <f>[1]SM_C!H291</f>
        <v>7.3509333057528297</v>
      </c>
    </row>
    <row r="88" spans="1:8" x14ac:dyDescent="0.3">
      <c r="A88" s="2">
        <v>2025</v>
      </c>
      <c r="B88" s="3">
        <v>3</v>
      </c>
      <c r="C88" s="3">
        <f>[1]SM_C!C292</f>
        <v>96</v>
      </c>
      <c r="D88" s="3">
        <f>[1]SM_C!D292</f>
        <v>24.675324675324674</v>
      </c>
      <c r="E88" s="3">
        <f>[1]SM_C!E292</f>
        <v>14.752031514942001</v>
      </c>
      <c r="F88" s="3">
        <f>[1]SM_C!F292</f>
        <v>10596</v>
      </c>
      <c r="G88" s="3">
        <f>[1]SM_C!G292</f>
        <v>-0.8143779837124443</v>
      </c>
      <c r="H88" s="3">
        <f>[1]SM_C!H292</f>
        <v>7.3206383700292665</v>
      </c>
    </row>
    <row r="89" spans="1:8" x14ac:dyDescent="0.3">
      <c r="A89" s="2">
        <v>2025</v>
      </c>
      <c r="B89" s="3">
        <v>4</v>
      </c>
      <c r="C89" s="3">
        <f>[1]SM_C!C293</f>
        <v>110</v>
      </c>
      <c r="D89" s="3">
        <f>[1]SM_C!D293</f>
        <v>18.279569892473123</v>
      </c>
      <c r="E89" s="3">
        <f>[1]SM_C!E293</f>
        <v>14.856646628130481</v>
      </c>
      <c r="F89" s="3">
        <f>[1]SM_C!F293</f>
        <v>11794</v>
      </c>
      <c r="G89" s="3">
        <f>[1]SM_C!G293</f>
        <v>0.32323919700578685</v>
      </c>
      <c r="H89" s="3">
        <f>[1]SM_C!H293</f>
        <v>7.2935928660981384</v>
      </c>
    </row>
    <row r="90" spans="1:8" x14ac:dyDescent="0.3">
      <c r="A90" s="2">
        <v>2025</v>
      </c>
      <c r="B90" s="3">
        <v>5</v>
      </c>
      <c r="C90" s="3">
        <f>[1]SM_C!C294</f>
        <v>84</v>
      </c>
      <c r="D90" s="3">
        <f>[1]SM_C!D294</f>
        <v>19.999999999999996</v>
      </c>
      <c r="E90" s="3">
        <f>[1]SM_C!E294</f>
        <v>14.953846396096299</v>
      </c>
      <c r="F90" s="3">
        <f>[1]SM_C!F294</f>
        <v>13229</v>
      </c>
      <c r="G90" s="3">
        <f>[1]SM_C!G294</f>
        <v>36.946169772256731</v>
      </c>
      <c r="H90" s="3">
        <f>[1]SM_C!H294</f>
        <v>7.2681823256505673</v>
      </c>
    </row>
    <row r="91" spans="1:8" x14ac:dyDescent="0.3">
      <c r="A91" s="2">
        <v>2025</v>
      </c>
      <c r="B91" s="3">
        <v>6</v>
      </c>
      <c r="C91" s="3">
        <f>[1]SM_C!C295</f>
        <v>87</v>
      </c>
      <c r="D91" s="3">
        <f>[1]SM_C!D295</f>
        <v>-7.4468085106383031</v>
      </c>
      <c r="E91" s="3">
        <f>[1]SM_C!E295</f>
        <v>15.046389658241479</v>
      </c>
      <c r="F91" s="3">
        <f>[1]SM_C!F295</f>
        <v>10964</v>
      </c>
      <c r="G91" s="3">
        <f>[1]SM_C!G295</f>
        <v>14.998951122299143</v>
      </c>
      <c r="H91" s="3">
        <f>[1]SM_C!H295</f>
        <v>7.2423082280395459</v>
      </c>
    </row>
    <row r="92" spans="1:8" x14ac:dyDescent="0.3">
      <c r="A92" s="2">
        <v>2025</v>
      </c>
      <c r="B92" s="3">
        <v>7</v>
      </c>
      <c r="C92" s="3">
        <f>[1]SM_C!C296</f>
        <v>78</v>
      </c>
      <c r="D92" s="3">
        <f>[1]SM_C!D296</f>
        <v>-7.1428571428571397</v>
      </c>
      <c r="E92" s="3">
        <f>[1]SM_C!E296</f>
        <v>15.137385681301646</v>
      </c>
      <c r="F92" s="3">
        <f>[1]SM_C!F296</f>
        <v>10902</v>
      </c>
      <c r="G92" s="3">
        <f>[1]SM_C!G296</f>
        <v>0</v>
      </c>
      <c r="H92" s="3">
        <f>[1]SM_C!H296</f>
        <v>7.2159330239685264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97"/>
  <sheetViews>
    <sheetView topLeftCell="A76" workbookViewId="0">
      <selection activeCell="D93" sqref="D93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66</v>
      </c>
      <c r="H1" s="2" t="s">
        <v>67</v>
      </c>
    </row>
    <row r="2" spans="1:8" x14ac:dyDescent="0.3">
      <c r="A2" s="2">
        <v>2018</v>
      </c>
      <c r="B2" s="9">
        <v>1</v>
      </c>
      <c r="C2" s="3">
        <f>[1]SM_D!C206</f>
        <v>45</v>
      </c>
      <c r="D2" s="3">
        <f>[1]SM_D!D206</f>
        <v>-13.461538461538458</v>
      </c>
      <c r="E2" s="3">
        <f>[1]SM_D!E206</f>
        <v>13.16208994257445</v>
      </c>
      <c r="F2" s="3">
        <f>[1]SM_D!F206</f>
        <v>3710</v>
      </c>
      <c r="G2" s="3">
        <f>[1]SM_D!G206</f>
        <v>6.9780853517877661</v>
      </c>
      <c r="H2" s="3">
        <f>[1]SM_D!H206</f>
        <v>0.61939936455537903</v>
      </c>
    </row>
    <row r="3" spans="1:8" x14ac:dyDescent="0.3">
      <c r="A3" s="2">
        <f>A2</f>
        <v>2018</v>
      </c>
      <c r="B3" s="9">
        <v>2</v>
      </c>
      <c r="C3" s="3">
        <f>[1]SM_D!C207</f>
        <v>33</v>
      </c>
      <c r="D3" s="3">
        <f>[1]SM_D!D207</f>
        <v>10.000000000000009</v>
      </c>
      <c r="E3" s="3">
        <f>[1]SM_D!E207</f>
        <v>13.446754233697947</v>
      </c>
      <c r="F3" s="3">
        <f>[1]SM_D!F207</f>
        <v>2291</v>
      </c>
      <c r="G3" s="3">
        <f>[1]SM_D!G207</f>
        <v>1.9581664441477464</v>
      </c>
      <c r="H3" s="3">
        <f>[1]SM_D!H207</f>
        <v>0.73356799878236567</v>
      </c>
    </row>
    <row r="4" spans="1:8" x14ac:dyDescent="0.3">
      <c r="A4" s="2">
        <f t="shared" ref="A4:A13" si="0">A3</f>
        <v>2018</v>
      </c>
      <c r="B4" s="9">
        <v>3</v>
      </c>
      <c r="C4" s="3">
        <f>[1]SM_D!C208</f>
        <v>26</v>
      </c>
      <c r="D4" s="3">
        <f>[1]SM_D!D208</f>
        <v>8.333333333333325</v>
      </c>
      <c r="E4" s="3">
        <f>[1]SM_D!E208</f>
        <v>13.79905083771539</v>
      </c>
      <c r="F4" s="3">
        <f>[1]SM_D!F208</f>
        <v>1756</v>
      </c>
      <c r="G4" s="3">
        <f>[1]SM_D!G208</f>
        <v>-11.803114013058769</v>
      </c>
      <c r="H4" s="3">
        <f>[1]SM_D!H208</f>
        <v>0.85542506881455749</v>
      </c>
    </row>
    <row r="5" spans="1:8" x14ac:dyDescent="0.3">
      <c r="A5" s="2">
        <f t="shared" si="0"/>
        <v>2018</v>
      </c>
      <c r="B5" s="9">
        <v>4</v>
      </c>
      <c r="C5" s="3">
        <f>[1]SM_D!C209</f>
        <v>21</v>
      </c>
      <c r="D5" s="3">
        <f>[1]SM_D!D209</f>
        <v>39.999999999999993</v>
      </c>
      <c r="E5" s="3">
        <f>[1]SM_D!E209</f>
        <v>14.220629305171551</v>
      </c>
      <c r="F5" s="3">
        <f>[1]SM_D!F209</f>
        <v>1486</v>
      </c>
      <c r="G5" s="3">
        <f>[1]SM_D!G209</f>
        <v>12.832194381169316</v>
      </c>
      <c r="H5" s="3">
        <f>[1]SM_D!H209</f>
        <v>0.98598440804815635</v>
      </c>
    </row>
    <row r="6" spans="1:8" x14ac:dyDescent="0.3">
      <c r="A6" s="2">
        <f t="shared" si="0"/>
        <v>2018</v>
      </c>
      <c r="B6" s="9">
        <v>5</v>
      </c>
      <c r="C6" s="3">
        <f>[1]SM_D!C210</f>
        <v>17</v>
      </c>
      <c r="D6" s="3">
        <f>[1]SM_D!D210</f>
        <v>-31.999999999999996</v>
      </c>
      <c r="E6" s="3">
        <f>[1]SM_D!E210</f>
        <v>14.71275962289562</v>
      </c>
      <c r="F6" s="3">
        <f>[1]SM_D!F210</f>
        <v>1524</v>
      </c>
      <c r="G6" s="3">
        <f>[1]SM_D!G210</f>
        <v>0.92715231788078611</v>
      </c>
      <c r="H6" s="3">
        <f>[1]SM_D!H210</f>
        <v>1.1253807846653452</v>
      </c>
    </row>
    <row r="7" spans="1:8" x14ac:dyDescent="0.3">
      <c r="A7" s="2">
        <f t="shared" si="0"/>
        <v>2018</v>
      </c>
      <c r="B7" s="9">
        <v>6</v>
      </c>
      <c r="C7" s="3">
        <f>[1]SM_D!C211</f>
        <v>14</v>
      </c>
      <c r="D7" s="3">
        <f>[1]SM_D!D211</f>
        <v>16.666666666666675</v>
      </c>
      <c r="E7" s="3">
        <f>[1]SM_D!E211</f>
        <v>15.278502011792819</v>
      </c>
      <c r="F7" s="3">
        <f>[1]SM_D!F211</f>
        <v>1370</v>
      </c>
      <c r="G7" s="3">
        <f>[1]SM_D!G211</f>
        <v>-4.2627533193570937</v>
      </c>
      <c r="H7" s="3">
        <f>[1]SM_D!H211</f>
        <v>1.2745716203186628</v>
      </c>
    </row>
    <row r="8" spans="1:8" x14ac:dyDescent="0.3">
      <c r="A8" s="2">
        <f t="shared" si="0"/>
        <v>2018</v>
      </c>
      <c r="B8" s="9">
        <v>7</v>
      </c>
      <c r="C8" s="3">
        <f>[1]SM_D!C212</f>
        <v>6</v>
      </c>
      <c r="D8" s="3">
        <f>[1]SM_D!D212</f>
        <v>-70</v>
      </c>
      <c r="E8" s="3">
        <f>[1]SM_D!E212</f>
        <v>15.917672751127892</v>
      </c>
      <c r="F8" s="3">
        <f>[1]SM_D!F212</f>
        <v>1485</v>
      </c>
      <c r="G8" s="3">
        <f>[1]SM_D!G212</f>
        <v>8.3150984682713425</v>
      </c>
      <c r="H8" s="3">
        <f>[1]SM_D!H212</f>
        <v>1.434500570794899</v>
      </c>
    </row>
    <row r="9" spans="1:8" x14ac:dyDescent="0.3">
      <c r="A9" s="2">
        <f t="shared" si="0"/>
        <v>2018</v>
      </c>
      <c r="B9" s="9">
        <v>8</v>
      </c>
      <c r="C9" s="3">
        <f>[1]SM_D!C213</f>
        <v>21</v>
      </c>
      <c r="D9" s="3">
        <f>[1]SM_D!D213</f>
        <v>110.00000000000001</v>
      </c>
      <c r="E9" s="3">
        <f>[1]SM_D!E213</f>
        <v>16.630184520488839</v>
      </c>
      <c r="F9" s="3">
        <f>[1]SM_D!F213</f>
        <v>1357</v>
      </c>
      <c r="G9" s="3">
        <f>[1]SM_D!G213</f>
        <v>10.504885993485335</v>
      </c>
      <c r="H9" s="3">
        <f>[1]SM_D!H213</f>
        <v>1.6057267554266998</v>
      </c>
    </row>
    <row r="10" spans="1:8" x14ac:dyDescent="0.3">
      <c r="A10" s="2">
        <f t="shared" si="0"/>
        <v>2018</v>
      </c>
      <c r="B10" s="9">
        <v>9</v>
      </c>
      <c r="C10" s="3">
        <f>[1]SM_D!C214</f>
        <v>5</v>
      </c>
      <c r="D10" s="3">
        <f>[1]SM_D!D214</f>
        <v>-70.588235294117638</v>
      </c>
      <c r="E10" s="3">
        <f>[1]SM_D!E214</f>
        <v>17.409983494411502</v>
      </c>
      <c r="F10" s="3">
        <f>[1]SM_D!F214</f>
        <v>1104</v>
      </c>
      <c r="G10" s="3">
        <f>[1]SM_D!G214</f>
        <v>-0.54054054054053502</v>
      </c>
      <c r="H10" s="3">
        <f>[1]SM_D!H214</f>
        <v>1.7892871128451471</v>
      </c>
    </row>
    <row r="11" spans="1:8" x14ac:dyDescent="0.3">
      <c r="A11" s="2">
        <f t="shared" si="0"/>
        <v>2018</v>
      </c>
      <c r="B11" s="9">
        <v>10</v>
      </c>
      <c r="C11" s="3">
        <f>[1]SM_D!C215</f>
        <v>14</v>
      </c>
      <c r="D11" s="3">
        <f>[1]SM_D!D215</f>
        <v>-17.647058823529417</v>
      </c>
      <c r="E11" s="3">
        <f>[1]SM_D!E215</f>
        <v>18.257499862395576</v>
      </c>
      <c r="F11" s="3">
        <f>[1]SM_D!F215</f>
        <v>1665</v>
      </c>
      <c r="G11" s="3">
        <f>[1]SM_D!G215</f>
        <v>10.484406104844069</v>
      </c>
      <c r="H11" s="3">
        <f>[1]SM_D!H215</f>
        <v>1.9868365788506324</v>
      </c>
    </row>
    <row r="12" spans="1:8" x14ac:dyDescent="0.3">
      <c r="A12" s="2">
        <f t="shared" si="0"/>
        <v>2018</v>
      </c>
      <c r="B12" s="9">
        <v>11</v>
      </c>
      <c r="C12" s="3">
        <f>[1]SM_D!C216</f>
        <v>22</v>
      </c>
      <c r="D12" s="3">
        <f>[1]SM_D!D216</f>
        <v>83.333333333333329</v>
      </c>
      <c r="E12" s="3">
        <f>[1]SM_D!E216</f>
        <v>19.167052826524888</v>
      </c>
      <c r="F12" s="3">
        <f>[1]SM_D!F216</f>
        <v>1992</v>
      </c>
      <c r="G12" s="3">
        <f>[1]SM_D!G216</f>
        <v>10.055248618784528</v>
      </c>
      <c r="H12" s="3">
        <f>[1]SM_D!H216</f>
        <v>2.1998682956565068</v>
      </c>
    </row>
    <row r="13" spans="1:8" x14ac:dyDescent="0.3">
      <c r="A13" s="2">
        <f t="shared" si="0"/>
        <v>2018</v>
      </c>
      <c r="B13" s="9">
        <v>12</v>
      </c>
      <c r="C13" s="3">
        <f>[1]SM_D!C217</f>
        <v>36</v>
      </c>
      <c r="D13" s="3">
        <f>[1]SM_D!D217</f>
        <v>63.636363636363647</v>
      </c>
      <c r="E13" s="3">
        <f>[1]SM_D!E217</f>
        <v>20.130468216752302</v>
      </c>
      <c r="F13" s="3">
        <f>[1]SM_D!F217</f>
        <v>2647</v>
      </c>
      <c r="G13" s="3">
        <f>[1]SM_D!G217</f>
        <v>1.9252984212552837</v>
      </c>
      <c r="H13" s="3">
        <f>[1]SM_D!H217</f>
        <v>2.4304655144709826</v>
      </c>
    </row>
    <row r="14" spans="1:8" x14ac:dyDescent="0.3">
      <c r="A14" s="2">
        <v>2019</v>
      </c>
      <c r="B14" s="9">
        <v>1</v>
      </c>
      <c r="C14" s="3">
        <f>[1]SM_D!C218</f>
        <v>39</v>
      </c>
      <c r="D14" s="3">
        <f>[1]SM_D!D218</f>
        <v>-13.33333333333333</v>
      </c>
      <c r="E14" s="3">
        <f>[1]SM_D!E218</f>
        <v>21.144027854732546</v>
      </c>
      <c r="F14" s="3">
        <f>[1]SM_D!F218</f>
        <v>4157</v>
      </c>
      <c r="G14" s="3">
        <f>[1]SM_D!G218</f>
        <v>12.048517520215629</v>
      </c>
      <c r="H14" s="3">
        <f>[1]SM_D!H218</f>
        <v>2.6812569990247113</v>
      </c>
    </row>
    <row r="15" spans="1:8" x14ac:dyDescent="0.3">
      <c r="A15" s="2">
        <f>A14</f>
        <v>2019</v>
      </c>
      <c r="B15" s="9">
        <v>2</v>
      </c>
      <c r="C15" s="3">
        <f>[1]SM_D!C219</f>
        <v>24</v>
      </c>
      <c r="D15" s="3">
        <f>[1]SM_D!D219</f>
        <v>-27.27272727272727</v>
      </c>
      <c r="E15" s="3">
        <f>[1]SM_D!E219</f>
        <v>22.207034804857816</v>
      </c>
      <c r="F15" s="3">
        <f>[1]SM_D!F219</f>
        <v>2311</v>
      </c>
      <c r="G15" s="3">
        <f>[1]SM_D!G219</f>
        <v>0.87298123090353563</v>
      </c>
      <c r="H15" s="3">
        <f>[1]SM_D!H219</f>
        <v>2.9548364320002043</v>
      </c>
    </row>
    <row r="16" spans="1:8" x14ac:dyDescent="0.3">
      <c r="A16" s="2">
        <f t="shared" ref="A16:A25" si="1">A15</f>
        <v>2019</v>
      </c>
      <c r="B16" s="9">
        <v>3</v>
      </c>
      <c r="C16" s="3">
        <f>[1]SM_D!C220</f>
        <v>18</v>
      </c>
      <c r="D16" s="3">
        <f>[1]SM_D!D220</f>
        <v>-30.76923076923077</v>
      </c>
      <c r="E16" s="3">
        <f>[1]SM_D!E220</f>
        <v>23.316397870326696</v>
      </c>
      <c r="F16" s="3">
        <f>[1]SM_D!F220</f>
        <v>1855</v>
      </c>
      <c r="G16" s="3">
        <f>[1]SM_D!G220</f>
        <v>5.6378132118451108</v>
      </c>
      <c r="H16" s="3">
        <f>[1]SM_D!H220</f>
        <v>3.2544480002828338</v>
      </c>
    </row>
    <row r="17" spans="1:8" x14ac:dyDescent="0.3">
      <c r="A17" s="2">
        <f t="shared" si="1"/>
        <v>2019</v>
      </c>
      <c r="B17" s="9">
        <v>4</v>
      </c>
      <c r="C17" s="3">
        <f>[1]SM_D!C221</f>
        <v>19</v>
      </c>
      <c r="D17" s="3">
        <f>[1]SM_D!D221</f>
        <v>-9.5238095238095237</v>
      </c>
      <c r="E17" s="3">
        <f>[1]SM_D!E221</f>
        <v>24.465589759749047</v>
      </c>
      <c r="F17" s="3">
        <f>[1]SM_D!F221</f>
        <v>1610</v>
      </c>
      <c r="G17" s="3">
        <f>[1]SM_D!G221</f>
        <v>8.3445491251682427</v>
      </c>
      <c r="H17" s="3">
        <f>[1]SM_D!H221</f>
        <v>3.583191317480118</v>
      </c>
    </row>
    <row r="18" spans="1:8" x14ac:dyDescent="0.3">
      <c r="A18" s="2">
        <f t="shared" si="1"/>
        <v>2019</v>
      </c>
      <c r="B18" s="9">
        <v>5</v>
      </c>
      <c r="C18" s="3">
        <f>[1]SM_D!C222</f>
        <v>19</v>
      </c>
      <c r="D18" s="3">
        <f>[1]SM_D!D222</f>
        <v>11.764705882352944</v>
      </c>
      <c r="E18" s="3">
        <f>[1]SM_D!E222</f>
        <v>25.644327235301429</v>
      </c>
      <c r="F18" s="3">
        <f>[1]SM_D!F222</f>
        <v>1631</v>
      </c>
      <c r="G18" s="3">
        <f>[1]SM_D!G222</f>
        <v>7.0209973753280863</v>
      </c>
      <c r="H18" s="3">
        <f>[1]SM_D!H222</f>
        <v>3.9443315086725996</v>
      </c>
    </row>
    <row r="19" spans="1:8" x14ac:dyDescent="0.3">
      <c r="A19" s="2">
        <f t="shared" si="1"/>
        <v>2019</v>
      </c>
      <c r="B19" s="9">
        <v>6</v>
      </c>
      <c r="C19" s="3">
        <f>[1]SM_D!C223</f>
        <v>13</v>
      </c>
      <c r="D19" s="3">
        <f>[1]SM_D!D223</f>
        <v>-7.1428571428571397</v>
      </c>
      <c r="E19" s="3">
        <f>[1]SM_D!E223</f>
        <v>26.839966684210154</v>
      </c>
      <c r="F19" s="3">
        <f>[1]SM_D!F223</f>
        <v>1255</v>
      </c>
      <c r="G19" s="3">
        <f>[1]SM_D!G223</f>
        <v>-8.394160583941602</v>
      </c>
      <c r="H19" s="3">
        <f>[1]SM_D!H223</f>
        <v>4.3414643487885787</v>
      </c>
    </row>
    <row r="20" spans="1:8" x14ac:dyDescent="0.3">
      <c r="A20" s="2">
        <f t="shared" si="1"/>
        <v>2019</v>
      </c>
      <c r="B20" s="9">
        <v>7</v>
      </c>
      <c r="C20" s="3">
        <f>[1]SM_D!C224</f>
        <v>18</v>
      </c>
      <c r="D20" s="3">
        <f>[1]SM_D!D224</f>
        <v>200</v>
      </c>
      <c r="E20" s="3">
        <f>[1]SM_D!E224</f>
        <v>28.038900631107577</v>
      </c>
      <c r="F20" s="3">
        <f>[1]SM_D!F224</f>
        <v>1625</v>
      </c>
      <c r="G20" s="3">
        <f>[1]SM_D!G224</f>
        <v>9.4276094276094291</v>
      </c>
      <c r="H20" s="3">
        <f>[1]SM_D!H224</f>
        <v>4.7783992701082054</v>
      </c>
    </row>
    <row r="21" spans="1:8" x14ac:dyDescent="0.3">
      <c r="A21" s="2">
        <f t="shared" si="1"/>
        <v>2019</v>
      </c>
      <c r="B21" s="9">
        <v>8</v>
      </c>
      <c r="C21" s="3">
        <f>[1]SM_D!C225</f>
        <v>10</v>
      </c>
      <c r="D21" s="3">
        <f>[1]SM_D!D225</f>
        <v>-52.380952380952387</v>
      </c>
      <c r="E21" s="3">
        <f>[1]SM_D!E225</f>
        <v>29.22516168230473</v>
      </c>
      <c r="F21" s="3">
        <f>[1]SM_D!F225</f>
        <v>1167</v>
      </c>
      <c r="G21" s="3">
        <f>[1]SM_D!G225</f>
        <v>-14.001473839351508</v>
      </c>
      <c r="H21" s="3">
        <f>[1]SM_D!H225</f>
        <v>5.2580612865135237</v>
      </c>
    </row>
    <row r="22" spans="1:8" x14ac:dyDescent="0.3">
      <c r="A22" s="2">
        <f t="shared" si="1"/>
        <v>2019</v>
      </c>
      <c r="B22" s="9">
        <v>9</v>
      </c>
      <c r="C22" s="3">
        <f>[1]SM_D!C226</f>
        <v>25</v>
      </c>
      <c r="D22" s="3">
        <f>[1]SM_D!D226</f>
        <v>400</v>
      </c>
      <c r="E22" s="3">
        <f>[1]SM_D!E226</f>
        <v>30.394724187124375</v>
      </c>
      <c r="F22" s="3">
        <f>[1]SM_D!F226</f>
        <v>1255</v>
      </c>
      <c r="G22" s="3">
        <f>[1]SM_D!G226</f>
        <v>13.677536231884059</v>
      </c>
      <c r="H22" s="3">
        <f>[1]SM_D!H226</f>
        <v>5.7836982737030702</v>
      </c>
    </row>
    <row r="23" spans="1:8" x14ac:dyDescent="0.3">
      <c r="A23" s="2">
        <f t="shared" si="1"/>
        <v>2019</v>
      </c>
      <c r="B23" s="9">
        <v>10</v>
      </c>
      <c r="C23" s="3">
        <f>[1]SM_D!C227</f>
        <v>15</v>
      </c>
      <c r="D23" s="3">
        <f>[1]SM_D!D227</f>
        <v>7.1428571428571397</v>
      </c>
      <c r="E23" s="3">
        <f>[1]SM_D!E227</f>
        <v>31.537895403634877</v>
      </c>
      <c r="F23" s="3">
        <f>[1]SM_D!F227</f>
        <v>1743</v>
      </c>
      <c r="G23" s="3">
        <f>[1]SM_D!G227</f>
        <v>4.6846846846846812</v>
      </c>
      <c r="H23" s="3">
        <f>[1]SM_D!H227</f>
        <v>6.3572206396583093</v>
      </c>
    </row>
    <row r="24" spans="1:8" x14ac:dyDescent="0.3">
      <c r="A24" s="2">
        <f t="shared" si="1"/>
        <v>2019</v>
      </c>
      <c r="B24" s="9">
        <v>11</v>
      </c>
      <c r="C24" s="3">
        <f>[1]SM_D!C228</f>
        <v>24</v>
      </c>
      <c r="D24" s="3">
        <f>[1]SM_D!D228</f>
        <v>9.0909090909090828</v>
      </c>
      <c r="E24" s="3">
        <f>[1]SM_D!E228</f>
        <v>32.670649622947167</v>
      </c>
      <c r="F24" s="3">
        <f>[1]SM_D!F228</f>
        <v>1982</v>
      </c>
      <c r="G24" s="3">
        <f>[1]SM_D!G228</f>
        <v>-0.5020080321285092</v>
      </c>
      <c r="H24" s="3">
        <f>[1]SM_D!H228</f>
        <v>6.9810869755522438</v>
      </c>
    </row>
    <row r="25" spans="1:8" x14ac:dyDescent="0.3">
      <c r="A25" s="2">
        <f t="shared" si="1"/>
        <v>2019</v>
      </c>
      <c r="B25" s="9">
        <v>12</v>
      </c>
      <c r="C25" s="3">
        <f>[1]SM_D!C229</f>
        <v>22</v>
      </c>
      <c r="D25" s="3">
        <f>[1]SM_D!D229</f>
        <v>-38.888888888888886</v>
      </c>
      <c r="E25" s="3">
        <f>[1]SM_D!E229</f>
        <v>33.807267036292949</v>
      </c>
      <c r="F25" s="3">
        <f>[1]SM_D!F229</f>
        <v>2719</v>
      </c>
      <c r="G25" s="3">
        <f>[1]SM_D!G229</f>
        <v>2.7200604457876754</v>
      </c>
      <c r="H25" s="3">
        <f>[1]SM_D!H229</f>
        <v>7.6576397242276704</v>
      </c>
    </row>
    <row r="26" spans="1:8" x14ac:dyDescent="0.3">
      <c r="A26" s="2">
        <v>2020</v>
      </c>
      <c r="B26" s="9">
        <v>1</v>
      </c>
      <c r="C26" s="3">
        <f>[1]SM_D!C230</f>
        <v>48</v>
      </c>
      <c r="D26" s="3">
        <f>[1]SM_D!D230</f>
        <v>23.076923076923084</v>
      </c>
      <c r="E26" s="3">
        <f>[1]SM_D!E230</f>
        <v>34.960390352922538</v>
      </c>
      <c r="F26" s="3">
        <f>[1]SM_D!F230</f>
        <v>3556</v>
      </c>
      <c r="G26" s="3">
        <f>[1]SM_D!G230</f>
        <v>-14.457541496271354</v>
      </c>
      <c r="H26" s="3">
        <f>[1]SM_D!H230</f>
        <v>8.3887016691518532</v>
      </c>
    </row>
    <row r="27" spans="1:8" x14ac:dyDescent="0.3">
      <c r="A27" s="2">
        <f>A26</f>
        <v>2020</v>
      </c>
      <c r="B27" s="9">
        <v>2</v>
      </c>
      <c r="C27" s="3">
        <f>[1]SM_D!C231</f>
        <v>29</v>
      </c>
      <c r="D27" s="3">
        <f>[1]SM_D!D231</f>
        <v>20.833333333333325</v>
      </c>
      <c r="E27" s="3">
        <f>[1]SM_D!E231</f>
        <v>36.137613937924783</v>
      </c>
      <c r="F27" s="3">
        <f>[1]SM_D!F231</f>
        <v>2418</v>
      </c>
      <c r="G27" s="3">
        <f>[1]SM_D!G231</f>
        <v>4.6300302899177748</v>
      </c>
      <c r="H27" s="3">
        <f>[1]SM_D!H231</f>
        <v>9.1757527063421644</v>
      </c>
    </row>
    <row r="28" spans="1:8" x14ac:dyDescent="0.3">
      <c r="A28" s="2">
        <f t="shared" ref="A28:A37" si="2">A27</f>
        <v>2020</v>
      </c>
      <c r="B28" s="9">
        <v>3</v>
      </c>
      <c r="C28" s="3">
        <f>[1]SM_D!C232</f>
        <v>24</v>
      </c>
      <c r="D28" s="3">
        <f>[1]SM_D!D232</f>
        <v>33.333333333333329</v>
      </c>
      <c r="E28" s="3">
        <f>[1]SM_D!E232</f>
        <v>37.345706915605469</v>
      </c>
      <c r="F28" s="3">
        <f>[1]SM_D!F232</f>
        <v>1470</v>
      </c>
      <c r="G28" s="3">
        <f>[1]SM_D!G232</f>
        <v>-20.75471698113207</v>
      </c>
      <c r="H28" s="3">
        <f>[1]SM_D!H232</f>
        <v>10.01868618715171</v>
      </c>
    </row>
    <row r="29" spans="1:8" x14ac:dyDescent="0.3">
      <c r="A29" s="2">
        <f t="shared" si="2"/>
        <v>2020</v>
      </c>
      <c r="B29" s="9">
        <v>4</v>
      </c>
      <c r="C29" s="3">
        <f>[1]SM_D!C233</f>
        <v>4</v>
      </c>
      <c r="D29" s="3">
        <f>[1]SM_D!D233</f>
        <v>-78.94736842105263</v>
      </c>
      <c r="E29" s="3">
        <f>[1]SM_D!E233</f>
        <v>38.590375613006159</v>
      </c>
      <c r="F29" s="3">
        <f>[1]SM_D!F233</f>
        <v>404</v>
      </c>
      <c r="G29" s="3">
        <f>[1]SM_D!G233</f>
        <v>-74.906832298136635</v>
      </c>
      <c r="H29" s="3">
        <f>[1]SM_D!H233</f>
        <v>10.917079787765784</v>
      </c>
    </row>
    <row r="30" spans="1:8" x14ac:dyDescent="0.3">
      <c r="A30" s="2">
        <f t="shared" si="2"/>
        <v>2020</v>
      </c>
      <c r="B30" s="9">
        <v>5</v>
      </c>
      <c r="C30" s="3">
        <f>[1]SM_D!C234</f>
        <v>2</v>
      </c>
      <c r="D30" s="3">
        <f>[1]SM_D!D234</f>
        <v>-89.473684210526315</v>
      </c>
      <c r="E30" s="3">
        <f>[1]SM_D!E234</f>
        <v>39.877047720114113</v>
      </c>
      <c r="F30" s="3">
        <f>[1]SM_D!F234</f>
        <v>482</v>
      </c>
      <c r="G30" s="3">
        <f>[1]SM_D!G234</f>
        <v>-70.447578172900066</v>
      </c>
      <c r="H30" s="3">
        <f>[1]SM_D!H234</f>
        <v>11.868374142482999</v>
      </c>
    </row>
    <row r="31" spans="1:8" x14ac:dyDescent="0.3">
      <c r="A31" s="2">
        <f t="shared" si="2"/>
        <v>2020</v>
      </c>
      <c r="B31" s="9">
        <v>6</v>
      </c>
      <c r="C31" s="3">
        <f>[1]SM_D!C235</f>
        <v>17</v>
      </c>
      <c r="D31" s="3">
        <f>[1]SM_D!D235</f>
        <v>30.76923076923077</v>
      </c>
      <c r="E31" s="3">
        <f>[1]SM_D!E235</f>
        <v>41.202988583580883</v>
      </c>
      <c r="F31" s="3">
        <f>[1]SM_D!F235</f>
        <v>1115</v>
      </c>
      <c r="G31" s="3">
        <f>[1]SM_D!G235</f>
        <v>-11.155378486055778</v>
      </c>
      <c r="H31" s="3">
        <f>[1]SM_D!H235</f>
        <v>12.864049891707111</v>
      </c>
    </row>
    <row r="32" spans="1:8" x14ac:dyDescent="0.3">
      <c r="A32" s="2">
        <f t="shared" si="2"/>
        <v>2020</v>
      </c>
      <c r="B32" s="9">
        <v>7</v>
      </c>
      <c r="C32" s="3">
        <f>[1]SM_D!C236</f>
        <v>10</v>
      </c>
      <c r="D32" s="3">
        <f>[1]SM_D!D236</f>
        <v>-44.444444444444443</v>
      </c>
      <c r="E32" s="3">
        <f>[1]SM_D!E236</f>
        <v>42.556480860340606</v>
      </c>
      <c r="F32" s="3">
        <f>[1]SM_D!F236</f>
        <v>1435</v>
      </c>
      <c r="G32" s="3">
        <f>[1]SM_D!G236</f>
        <v>-11.69230769230769</v>
      </c>
      <c r="H32" s="3">
        <f>[1]SM_D!H236</f>
        <v>13.889871290264422</v>
      </c>
    </row>
    <row r="33" spans="1:8" x14ac:dyDescent="0.3">
      <c r="A33" s="2">
        <f t="shared" si="2"/>
        <v>2020</v>
      </c>
      <c r="B33" s="9">
        <v>8</v>
      </c>
      <c r="C33" s="3">
        <f>[1]SM_D!C237</f>
        <v>17</v>
      </c>
      <c r="D33" s="3">
        <f>[1]SM_D!D237</f>
        <v>70</v>
      </c>
      <c r="E33" s="3">
        <f>[1]SM_D!E237</f>
        <v>43.925082640812548</v>
      </c>
      <c r="F33" s="3">
        <f>[1]SM_D!F237</f>
        <v>1123</v>
      </c>
      <c r="G33" s="3">
        <f>[1]SM_D!G237</f>
        <v>-3.7703513281919454</v>
      </c>
      <c r="H33" s="3">
        <f>[1]SM_D!H237</f>
        <v>14.929934577121664</v>
      </c>
    </row>
    <row r="34" spans="1:8" x14ac:dyDescent="0.3">
      <c r="A34" s="2">
        <f t="shared" si="2"/>
        <v>2020</v>
      </c>
      <c r="B34" s="9">
        <v>9</v>
      </c>
      <c r="C34" s="3">
        <f>[1]SM_D!C238</f>
        <v>11</v>
      </c>
      <c r="D34" s="3">
        <f>[1]SM_D!D238</f>
        <v>-56.000000000000007</v>
      </c>
      <c r="E34" s="3">
        <f>[1]SM_D!E238</f>
        <v>45.290310284492023</v>
      </c>
      <c r="F34" s="3">
        <f>[1]SM_D!F238</f>
        <v>1624</v>
      </c>
      <c r="G34" s="3">
        <f>[1]SM_D!G238</f>
        <v>29.402390438247018</v>
      </c>
      <c r="H34" s="3">
        <f>[1]SM_D!H238</f>
        <v>15.966559451038446</v>
      </c>
    </row>
    <row r="35" spans="1:8" x14ac:dyDescent="0.3">
      <c r="A35" s="2">
        <f t="shared" si="2"/>
        <v>2020</v>
      </c>
      <c r="B35" s="9">
        <v>10</v>
      </c>
      <c r="C35" s="3">
        <f>[1]SM_D!C239</f>
        <v>9</v>
      </c>
      <c r="D35" s="3">
        <f>[1]SM_D!D239</f>
        <v>-40</v>
      </c>
      <c r="E35" s="3">
        <f>[1]SM_D!E239</f>
        <v>46.635490909024291</v>
      </c>
      <c r="F35" s="3">
        <f>[1]SM_D!F239</f>
        <v>1589</v>
      </c>
      <c r="G35" s="3">
        <f>[1]SM_D!G239</f>
        <v>-8.8353413654618471</v>
      </c>
      <c r="H35" s="3">
        <f>[1]SM_D!H239</f>
        <v>16.980766979808731</v>
      </c>
    </row>
    <row r="36" spans="1:8" x14ac:dyDescent="0.3">
      <c r="A36" s="2">
        <f t="shared" si="2"/>
        <v>2020</v>
      </c>
      <c r="B36" s="9">
        <v>11</v>
      </c>
      <c r="C36" s="3">
        <f>[1]SM_D!C240</f>
        <v>16</v>
      </c>
      <c r="D36" s="3">
        <f>[1]SM_D!D240</f>
        <v>-33.333333333333336</v>
      </c>
      <c r="E36" s="3">
        <f>[1]SM_D!E240</f>
        <v>47.936917582729308</v>
      </c>
      <c r="F36" s="3">
        <f>[1]SM_D!F240</f>
        <v>2062</v>
      </c>
      <c r="G36" s="3">
        <f>[1]SM_D!G240</f>
        <v>4.0363269424823489</v>
      </c>
      <c r="H36" s="3">
        <f>[1]SM_D!H240</f>
        <v>17.954511275045039</v>
      </c>
    </row>
    <row r="37" spans="1:8" x14ac:dyDescent="0.3">
      <c r="A37" s="2">
        <f t="shared" si="2"/>
        <v>2020</v>
      </c>
      <c r="B37" s="9">
        <v>12</v>
      </c>
      <c r="C37" s="3">
        <f>[1]SM_D!C241</f>
        <v>22</v>
      </c>
      <c r="D37" s="3">
        <f>[1]SM_D!D241</f>
        <v>0</v>
      </c>
      <c r="E37" s="3">
        <f>[1]SM_D!E241</f>
        <v>49.164867020391661</v>
      </c>
      <c r="F37" s="3">
        <f>[1]SM_D!F241</f>
        <v>3022</v>
      </c>
      <c r="G37" s="3">
        <f>[1]SM_D!G241</f>
        <v>11.143802868701735</v>
      </c>
      <c r="H37" s="3">
        <f>[1]SM_D!H241</f>
        <v>18.867953663058131</v>
      </c>
    </row>
    <row r="38" spans="1:8" x14ac:dyDescent="0.3">
      <c r="A38" s="2">
        <v>2021</v>
      </c>
      <c r="B38" s="9">
        <v>1</v>
      </c>
      <c r="C38" s="3">
        <f>[1]SM_D!C242</f>
        <v>41</v>
      </c>
      <c r="D38" s="3">
        <f>[1]SM_D!D242</f>
        <v>-14.583333333333337</v>
      </c>
      <c r="E38" s="3">
        <f>[1]SM_D!E242</f>
        <v>50.283972169371211</v>
      </c>
      <c r="F38" s="3">
        <f>[1]SM_D!F242</f>
        <v>3015</v>
      </c>
      <c r="G38" s="3">
        <f>[1]SM_D!G242</f>
        <v>-15.213723284589431</v>
      </c>
      <c r="H38" s="3">
        <f>[1]SM_D!H242</f>
        <v>19.700288929580118</v>
      </c>
    </row>
    <row r="39" spans="1:8" x14ac:dyDescent="0.3">
      <c r="A39" s="2">
        <f>A38</f>
        <v>2021</v>
      </c>
      <c r="B39" s="9">
        <v>2</v>
      </c>
      <c r="C39" s="3">
        <f>[1]SM_D!C243</f>
        <v>33</v>
      </c>
      <c r="D39" s="3">
        <f>[1]SM_D!D243</f>
        <v>13.793103448275868</v>
      </c>
      <c r="E39" s="3">
        <f>[1]SM_D!E243</f>
        <v>51.255451750151394</v>
      </c>
      <c r="F39" s="3">
        <f>[1]SM_D!F243</f>
        <v>2503</v>
      </c>
      <c r="G39" s="3">
        <f>[1]SM_D!G243</f>
        <v>3.515301902398682</v>
      </c>
      <c r="H39" s="3">
        <f>[1]SM_D!H243</f>
        <v>20.430175460982387</v>
      </c>
    </row>
    <row r="40" spans="1:8" x14ac:dyDescent="0.3">
      <c r="A40" s="2">
        <f t="shared" ref="A40:A49" si="3">A39</f>
        <v>2021</v>
      </c>
      <c r="B40" s="9">
        <v>3</v>
      </c>
      <c r="C40" s="3">
        <f>[1]SM_D!C244</f>
        <v>23</v>
      </c>
      <c r="D40" s="3">
        <f>[1]SM_D!D244</f>
        <v>-4.1666666666666625</v>
      </c>
      <c r="E40" s="3">
        <f>[1]SM_D!E244</f>
        <v>52.036019809222402</v>
      </c>
      <c r="F40" s="3">
        <f>[1]SM_D!F244</f>
        <v>2132</v>
      </c>
      <c r="G40" s="3">
        <f>[1]SM_D!G244</f>
        <v>45.034013605442169</v>
      </c>
      <c r="H40" s="3">
        <f>[1]SM_D!H244</f>
        <v>21.033847059454786</v>
      </c>
    </row>
    <row r="41" spans="1:8" x14ac:dyDescent="0.3">
      <c r="A41" s="2">
        <f t="shared" si="3"/>
        <v>2021</v>
      </c>
      <c r="B41" s="9">
        <v>4</v>
      </c>
      <c r="C41" s="3">
        <f>[1]SM_D!C245</f>
        <v>15</v>
      </c>
      <c r="D41" s="3">
        <f>[1]SM_D!D245</f>
        <v>275</v>
      </c>
      <c r="E41" s="3">
        <f>[1]SM_D!E245</f>
        <v>52.579788841109036</v>
      </c>
      <c r="F41" s="3">
        <f>[1]SM_D!F245</f>
        <v>1860</v>
      </c>
      <c r="G41" s="3">
        <f>[1]SM_D!G245</f>
        <v>360.39603960396039</v>
      </c>
      <c r="H41" s="3">
        <f>[1]SM_D!H245</f>
        <v>21.486362883190044</v>
      </c>
    </row>
    <row r="42" spans="1:8" x14ac:dyDescent="0.3">
      <c r="A42" s="2">
        <f t="shared" si="3"/>
        <v>2021</v>
      </c>
      <c r="B42" s="9">
        <v>5</v>
      </c>
      <c r="C42" s="3">
        <f>[1]SM_D!C246</f>
        <v>24</v>
      </c>
      <c r="D42" s="3">
        <f>[1]SM_D!D246</f>
        <v>1100</v>
      </c>
      <c r="E42" s="3">
        <f>[1]SM_D!E246</f>
        <v>52.836968375997493</v>
      </c>
      <c r="F42" s="3">
        <f>[1]SM_D!F246</f>
        <v>1722</v>
      </c>
      <c r="G42" s="3">
        <f>[1]SM_D!G246</f>
        <v>257.26141078838174</v>
      </c>
      <c r="H42" s="3">
        <f>[1]SM_D!H246</f>
        <v>21.764448768613253</v>
      </c>
    </row>
    <row r="43" spans="1:8" x14ac:dyDescent="0.3">
      <c r="A43" s="2">
        <f t="shared" si="3"/>
        <v>2021</v>
      </c>
      <c r="B43" s="9">
        <v>6</v>
      </c>
      <c r="C43" s="3">
        <f>[1]SM_D!C247</f>
        <v>19</v>
      </c>
      <c r="D43" s="3">
        <f>[1]SM_D!D247</f>
        <v>11.764705882352944</v>
      </c>
      <c r="E43" s="3">
        <f>[1]SM_D!E247</f>
        <v>52.773213792071118</v>
      </c>
      <c r="F43" s="3">
        <f>[1]SM_D!F247</f>
        <v>1571</v>
      </c>
      <c r="G43" s="3">
        <f>[1]SM_D!G247</f>
        <v>40.896860986547082</v>
      </c>
      <c r="H43" s="3">
        <f>[1]SM_D!H247</f>
        <v>21.868365946366225</v>
      </c>
    </row>
    <row r="44" spans="1:8" x14ac:dyDescent="0.3">
      <c r="A44" s="2">
        <f t="shared" si="3"/>
        <v>2021</v>
      </c>
      <c r="B44" s="9">
        <v>7</v>
      </c>
      <c r="C44" s="3">
        <f>[1]SM_D!C248</f>
        <v>8</v>
      </c>
      <c r="D44" s="3">
        <f>[1]SM_D!D248</f>
        <v>-19.999999999999996</v>
      </c>
      <c r="E44" s="3">
        <f>[1]SM_D!E248</f>
        <v>52.426900122487147</v>
      </c>
      <c r="F44" s="3">
        <f>[1]SM_D!F248</f>
        <v>1504</v>
      </c>
      <c r="G44" s="3">
        <f>[1]SM_D!G248</f>
        <v>4.8083623693379707</v>
      </c>
      <c r="H44" s="3">
        <f>[1]SM_D!H248</f>
        <v>21.814729602786588</v>
      </c>
    </row>
    <row r="45" spans="1:8" x14ac:dyDescent="0.3">
      <c r="A45" s="2">
        <f t="shared" si="3"/>
        <v>2021</v>
      </c>
      <c r="B45" s="9">
        <v>8</v>
      </c>
      <c r="C45" s="3">
        <f>[1]SM_D!C249</f>
        <v>11</v>
      </c>
      <c r="D45" s="3">
        <f>[1]SM_D!D249</f>
        <v>-35.294117647058819</v>
      </c>
      <c r="E45" s="3">
        <f>[1]SM_D!E249</f>
        <v>51.833554587353539</v>
      </c>
      <c r="F45" s="3">
        <f>[1]SM_D!F249</f>
        <v>1275</v>
      </c>
      <c r="G45" s="3">
        <f>[1]SM_D!G249</f>
        <v>13.535173642030273</v>
      </c>
      <c r="H45" s="3">
        <f>[1]SM_D!H249</f>
        <v>21.621476347478659</v>
      </c>
    </row>
    <row r="46" spans="1:8" x14ac:dyDescent="0.3">
      <c r="A46" s="2">
        <f t="shared" si="3"/>
        <v>2021</v>
      </c>
      <c r="B46" s="9">
        <v>9</v>
      </c>
      <c r="C46" s="3">
        <f>[1]SM_D!C250</f>
        <v>16</v>
      </c>
      <c r="D46" s="3">
        <f>[1]SM_D!D250</f>
        <v>45.45454545454546</v>
      </c>
      <c r="E46" s="3">
        <f>[1]SM_D!E250</f>
        <v>51.023674760936409</v>
      </c>
      <c r="F46" s="3">
        <f>[1]SM_D!F250</f>
        <v>1279</v>
      </c>
      <c r="G46" s="3">
        <f>[1]SM_D!G250</f>
        <v>-21.243842364532018</v>
      </c>
      <c r="H46" s="3">
        <f>[1]SM_D!H250</f>
        <v>21.305361792322199</v>
      </c>
    </row>
    <row r="47" spans="1:8" x14ac:dyDescent="0.3">
      <c r="A47" s="2">
        <f t="shared" si="3"/>
        <v>2021</v>
      </c>
      <c r="B47" s="9">
        <v>10</v>
      </c>
      <c r="C47" s="3">
        <f>[1]SM_D!C251</f>
        <v>11</v>
      </c>
      <c r="D47" s="3">
        <f>[1]SM_D!D251</f>
        <v>22.222222222222232</v>
      </c>
      <c r="E47" s="3">
        <f>[1]SM_D!E251</f>
        <v>50.021707684707806</v>
      </c>
      <c r="F47" s="3">
        <f>[1]SM_D!F251</f>
        <v>1763</v>
      </c>
      <c r="G47" s="3">
        <f>[1]SM_D!G251</f>
        <v>10.950283196979239</v>
      </c>
      <c r="H47" s="3">
        <f>[1]SM_D!H251</f>
        <v>20.882580000397983</v>
      </c>
    </row>
    <row r="48" spans="1:8" x14ac:dyDescent="0.3">
      <c r="A48" s="2">
        <f t="shared" si="3"/>
        <v>2021</v>
      </c>
      <c r="B48" s="9">
        <v>11</v>
      </c>
      <c r="C48" s="3">
        <f>[1]SM_D!C252</f>
        <v>21</v>
      </c>
      <c r="D48" s="3">
        <f>[1]SM_D!D252</f>
        <v>31.25</v>
      </c>
      <c r="E48" s="3">
        <f>[1]SM_D!E252</f>
        <v>48.851713655049075</v>
      </c>
      <c r="F48" s="3">
        <f>[1]SM_D!F252</f>
        <v>2133</v>
      </c>
      <c r="G48" s="3">
        <f>[1]SM_D!G252</f>
        <v>3.4432589718719653</v>
      </c>
      <c r="H48" s="3">
        <f>[1]SM_D!H252</f>
        <v>20.366370228942564</v>
      </c>
    </row>
    <row r="49" spans="1:8" x14ac:dyDescent="0.3">
      <c r="A49" s="2">
        <f t="shared" si="3"/>
        <v>2021</v>
      </c>
      <c r="B49" s="9">
        <v>12</v>
      </c>
      <c r="C49" s="3">
        <f>[1]SM_D!C253</f>
        <v>38</v>
      </c>
      <c r="D49" s="3">
        <f>[1]SM_D!D253</f>
        <v>72.727272727272734</v>
      </c>
      <c r="E49" s="3">
        <f>[1]SM_D!E253</f>
        <v>47.535822448517777</v>
      </c>
      <c r="F49" s="3">
        <f>[1]SM_D!F253</f>
        <v>3051</v>
      </c>
      <c r="G49" s="3">
        <f>[1]SM_D!G253</f>
        <v>0.95962938451357171</v>
      </c>
      <c r="H49" s="3">
        <f>[1]SM_D!H253</f>
        <v>19.769281992358927</v>
      </c>
    </row>
    <row r="50" spans="1:8" x14ac:dyDescent="0.3">
      <c r="A50" s="2">
        <v>2022</v>
      </c>
      <c r="B50" s="9">
        <v>1</v>
      </c>
      <c r="C50" s="3">
        <f>[1]SM_D!C254</f>
        <v>43</v>
      </c>
      <c r="D50" s="3">
        <f>[1]SM_D!D254</f>
        <v>4.8780487804878092</v>
      </c>
      <c r="E50" s="3">
        <f>[1]SM_D!E254</f>
        <v>46.094941500445429</v>
      </c>
      <c r="F50" s="3">
        <f>[1]SM_D!F254</f>
        <v>3716</v>
      </c>
      <c r="G50" s="3">
        <f>[1]SM_D!G254</f>
        <v>23.250414593698167</v>
      </c>
      <c r="H50" s="3">
        <f>[1]SM_D!H254</f>
        <v>19.102689588990533</v>
      </c>
    </row>
    <row r="51" spans="1:8" x14ac:dyDescent="0.3">
      <c r="A51" s="2">
        <f>A50</f>
        <v>2022</v>
      </c>
      <c r="B51" s="9">
        <v>2</v>
      </c>
      <c r="C51" s="3">
        <f>[1]SM_D!C255</f>
        <v>34</v>
      </c>
      <c r="D51" s="3">
        <f>[1]SM_D!D255</f>
        <v>3.0303030303030276</v>
      </c>
      <c r="E51" s="3">
        <f>[1]SM_D!E255</f>
        <v>44.551727652432909</v>
      </c>
      <c r="F51" s="3">
        <f>[1]SM_D!F255</f>
        <v>2432</v>
      </c>
      <c r="G51" s="3">
        <f>[1]SM_D!G255</f>
        <v>-2.8365960846983618</v>
      </c>
      <c r="H51" s="3">
        <f>[1]SM_D!H255</f>
        <v>18.376661091305301</v>
      </c>
    </row>
    <row r="52" spans="1:8" x14ac:dyDescent="0.3">
      <c r="A52" s="2">
        <f t="shared" ref="A52:A61" si="4">A51</f>
        <v>2022</v>
      </c>
      <c r="B52" s="9">
        <v>3</v>
      </c>
      <c r="C52" s="3">
        <f>[1]SM_D!C256</f>
        <v>39</v>
      </c>
      <c r="D52" s="3">
        <f>[1]SM_D!D256</f>
        <v>69.565217391304344</v>
      </c>
      <c r="E52" s="3">
        <f>[1]SM_D!E256</f>
        <v>42.925975461864432</v>
      </c>
      <c r="F52" s="3">
        <f>[1]SM_D!F256</f>
        <v>2560</v>
      </c>
      <c r="G52" s="3">
        <f>[1]SM_D!G256</f>
        <v>20.075046904315208</v>
      </c>
      <c r="H52" s="3">
        <f>[1]SM_D!H256</f>
        <v>17.601552608229817</v>
      </c>
    </row>
    <row r="53" spans="1:8" x14ac:dyDescent="0.3">
      <c r="A53" s="2">
        <f t="shared" si="4"/>
        <v>2022</v>
      </c>
      <c r="B53" s="9">
        <v>4</v>
      </c>
      <c r="C53" s="3">
        <f>[1]SM_D!C257</f>
        <v>13</v>
      </c>
      <c r="D53" s="3">
        <f>[1]SM_D!D257</f>
        <v>-13.33333333333333</v>
      </c>
      <c r="E53" s="3">
        <f>[1]SM_D!E257</f>
        <v>41.234596053858787</v>
      </c>
      <c r="F53" s="3">
        <f>[1]SM_D!F257</f>
        <v>1663</v>
      </c>
      <c r="G53" s="3">
        <f>[1]SM_D!G257</f>
        <v>-10.59139784946237</v>
      </c>
      <c r="H53" s="3">
        <f>[1]SM_D!H257</f>
        <v>16.786247105831215</v>
      </c>
    </row>
    <row r="54" spans="1:8" x14ac:dyDescent="0.3">
      <c r="A54" s="2">
        <f t="shared" si="4"/>
        <v>2022</v>
      </c>
      <c r="B54" s="9">
        <v>5</v>
      </c>
      <c r="C54" s="3">
        <f>[1]SM_D!C258</f>
        <v>26</v>
      </c>
      <c r="D54" s="3">
        <f>[1]SM_D!D258</f>
        <v>8.333333333333325</v>
      </c>
      <c r="E54" s="3">
        <f>[1]SM_D!E258</f>
        <v>39.496350500890983</v>
      </c>
      <c r="F54" s="3">
        <f>[1]SM_D!F258</f>
        <v>1729</v>
      </c>
      <c r="G54" s="3">
        <f>[1]SM_D!G258</f>
        <v>0.40650406504065817</v>
      </c>
      <c r="H54" s="3">
        <f>[1]SM_D!H258</f>
        <v>15.939799320613865</v>
      </c>
    </row>
    <row r="55" spans="1:8" x14ac:dyDescent="0.3">
      <c r="A55" s="2">
        <f t="shared" si="4"/>
        <v>2022</v>
      </c>
      <c r="B55" s="9">
        <v>6</v>
      </c>
      <c r="C55" s="3">
        <f>[1]SM_D!C259</f>
        <v>17</v>
      </c>
      <c r="D55" s="3">
        <f>[1]SM_D!D259</f>
        <v>-10.526315789473683</v>
      </c>
      <c r="E55" s="3">
        <f>[1]SM_D!E259</f>
        <v>37.726210435895254</v>
      </c>
      <c r="F55" s="3">
        <f>[1]SM_D!F259</f>
        <v>1701</v>
      </c>
      <c r="G55" s="3">
        <f>[1]SM_D!G259</f>
        <v>8.2749840865690594</v>
      </c>
      <c r="H55" s="3">
        <f>[1]SM_D!H259</f>
        <v>15.069362763738019</v>
      </c>
    </row>
    <row r="56" spans="1:8" x14ac:dyDescent="0.3">
      <c r="A56" s="2">
        <f t="shared" si="4"/>
        <v>2022</v>
      </c>
      <c r="B56" s="9">
        <v>7</v>
      </c>
      <c r="C56" s="3">
        <f>[1]SM_D!C260</f>
        <v>12</v>
      </c>
      <c r="D56" s="3">
        <f>[1]SM_D!D260</f>
        <v>50</v>
      </c>
      <c r="E56" s="3">
        <f>[1]SM_D!E260</f>
        <v>35.936983393391429</v>
      </c>
      <c r="F56" s="3">
        <f>[1]SM_D!F260</f>
        <v>1624</v>
      </c>
      <c r="G56" s="3">
        <f>[1]SM_D!G260</f>
        <v>7.9787234042553168</v>
      </c>
      <c r="H56" s="3">
        <f>[1]SM_D!H260</f>
        <v>14.181012245304515</v>
      </c>
    </row>
    <row r="57" spans="1:8" x14ac:dyDescent="0.3">
      <c r="A57" s="2">
        <f t="shared" si="4"/>
        <v>2022</v>
      </c>
      <c r="B57" s="9">
        <v>8</v>
      </c>
      <c r="C57" s="3">
        <f>[1]SM_D!C261</f>
        <v>19</v>
      </c>
      <c r="D57" s="3">
        <f>[1]SM_D!D261</f>
        <v>72.727272727272734</v>
      </c>
      <c r="E57" s="3">
        <f>[1]SM_D!E261</f>
        <v>34.13812603802257</v>
      </c>
      <c r="F57" s="3">
        <f>[1]SM_D!F261</f>
        <v>1559</v>
      </c>
      <c r="G57" s="3">
        <f>[1]SM_D!G261</f>
        <v>22.274509803921561</v>
      </c>
      <c r="H57" s="3">
        <f>[1]SM_D!H261</f>
        <v>13.280350743561613</v>
      </c>
    </row>
    <row r="58" spans="1:8" x14ac:dyDescent="0.3">
      <c r="A58" s="2">
        <f t="shared" si="4"/>
        <v>2022</v>
      </c>
      <c r="B58" s="9">
        <v>9</v>
      </c>
      <c r="C58" s="3">
        <f>[1]SM_D!C262</f>
        <v>20</v>
      </c>
      <c r="D58" s="3">
        <f>[1]SM_D!D262</f>
        <v>25</v>
      </c>
      <c r="E58" s="3">
        <f>[1]SM_D!E262</f>
        <v>32.340071632807195</v>
      </c>
      <c r="F58" s="3">
        <f>[1]SM_D!F262</f>
        <v>1430</v>
      </c>
      <c r="G58" s="3">
        <f>[1]SM_D!G262</f>
        <v>11.806098514464436</v>
      </c>
      <c r="H58" s="3">
        <f>[1]SM_D!H262</f>
        <v>12.372550522254716</v>
      </c>
    </row>
    <row r="59" spans="1:8" x14ac:dyDescent="0.3">
      <c r="A59" s="2">
        <f t="shared" si="4"/>
        <v>2022</v>
      </c>
      <c r="B59" s="9">
        <v>10</v>
      </c>
      <c r="C59" s="3">
        <f>[1]SM_D!C263</f>
        <v>20</v>
      </c>
      <c r="D59" s="3">
        <f>[1]SM_D!D263</f>
        <v>81.818181818181813</v>
      </c>
      <c r="E59" s="3">
        <f>[1]SM_D!E263</f>
        <v>30.55593324261725</v>
      </c>
      <c r="F59" s="3">
        <f>[1]SM_D!F263</f>
        <v>1922</v>
      </c>
      <c r="G59" s="3">
        <f>[1]SM_D!G263</f>
        <v>9.0187180941576841</v>
      </c>
      <c r="H59" s="3">
        <f>[1]SM_D!H263</f>
        <v>11.463408439508427</v>
      </c>
    </row>
    <row r="60" spans="1:8" x14ac:dyDescent="0.3">
      <c r="A60" s="2">
        <f t="shared" si="4"/>
        <v>2022</v>
      </c>
      <c r="B60" s="9">
        <v>11</v>
      </c>
      <c r="C60" s="3">
        <f>[1]SM_D!C264</f>
        <v>24</v>
      </c>
      <c r="D60" s="3">
        <f>[1]SM_D!D264</f>
        <v>14.285714285714279</v>
      </c>
      <c r="E60" s="3">
        <f>[1]SM_D!E264</f>
        <v>28.798314205127962</v>
      </c>
      <c r="F60" s="3">
        <f>[1]SM_D!F264</f>
        <v>2654</v>
      </c>
      <c r="G60" s="3">
        <f>[1]SM_D!G264</f>
        <v>24.425691514299118</v>
      </c>
      <c r="H60" s="3">
        <f>[1]SM_D!H264</f>
        <v>10.55868201650236</v>
      </c>
    </row>
    <row r="61" spans="1:8" x14ac:dyDescent="0.3">
      <c r="A61" s="2">
        <f t="shared" si="4"/>
        <v>2022</v>
      </c>
      <c r="B61" s="9">
        <v>12</v>
      </c>
      <c r="C61" s="3">
        <f>[1]SM_D!C265</f>
        <v>39</v>
      </c>
      <c r="D61" s="3">
        <f>[1]SM_D!D265</f>
        <v>2.6315789473684292</v>
      </c>
      <c r="E61" s="3">
        <f>[1]SM_D!E265</f>
        <v>27.083377736387856</v>
      </c>
      <c r="F61" s="3">
        <f>[1]SM_D!F265</f>
        <v>3248</v>
      </c>
      <c r="G61" s="3">
        <f>[1]SM_D!G265</f>
        <v>6.4568993772533556</v>
      </c>
      <c r="H61" s="3">
        <f>[1]SM_D!H265</f>
        <v>9.6639590042532575</v>
      </c>
    </row>
    <row r="62" spans="1:8" x14ac:dyDescent="0.3">
      <c r="A62" s="2">
        <v>2023</v>
      </c>
      <c r="B62" s="9">
        <v>1</v>
      </c>
      <c r="C62" s="3">
        <f>[1]SM_D!C266</f>
        <v>35</v>
      </c>
      <c r="D62" s="3">
        <f>[1]SM_D!D266</f>
        <v>-18.604651162790699</v>
      </c>
      <c r="E62" s="3">
        <f>[1]SM_D!E266</f>
        <v>25.426279233006611</v>
      </c>
      <c r="F62" s="3">
        <f>[1]SM_D!F266</f>
        <v>3935</v>
      </c>
      <c r="G62" s="3">
        <f>[1]SM_D!G266</f>
        <v>5.8934337997847086</v>
      </c>
      <c r="H62" s="3">
        <f>[1]SM_D!H266</f>
        <v>8.7857901405485457</v>
      </c>
    </row>
    <row r="63" spans="1:8" x14ac:dyDescent="0.3">
      <c r="A63" s="2">
        <f>A62</f>
        <v>2023</v>
      </c>
      <c r="B63" s="9">
        <v>2</v>
      </c>
      <c r="C63" s="3">
        <f>[1]SM_D!C267</f>
        <v>26</v>
      </c>
      <c r="D63" s="3">
        <f>[1]SM_D!D267</f>
        <v>-23.529411764705888</v>
      </c>
      <c r="E63" s="3">
        <f>[1]SM_D!E267</f>
        <v>23.840476050011336</v>
      </c>
      <c r="F63" s="3">
        <f>[1]SM_D!F267</f>
        <v>2705</v>
      </c>
      <c r="G63" s="3">
        <f>[1]SM_D!G267</f>
        <v>11.225328947368428</v>
      </c>
      <c r="H63" s="3">
        <f>[1]SM_D!H267</f>
        <v>7.9305034507015488</v>
      </c>
    </row>
    <row r="64" spans="1:8" x14ac:dyDescent="0.3">
      <c r="A64" s="2">
        <f t="shared" ref="A64:A73" si="5">A63</f>
        <v>2023</v>
      </c>
      <c r="B64" s="9">
        <v>3</v>
      </c>
      <c r="C64" s="3">
        <f>[1]SM_D!C268</f>
        <v>35</v>
      </c>
      <c r="D64" s="3">
        <f>[1]SM_D!D268</f>
        <v>-10.256410256410254</v>
      </c>
      <c r="E64" s="3">
        <f>[1]SM_D!E268</f>
        <v>22.33636783892943</v>
      </c>
      <c r="F64" s="3">
        <f>[1]SM_D!F268</f>
        <v>2339</v>
      </c>
      <c r="G64" s="3">
        <f>[1]SM_D!G268</f>
        <v>-8.6328124999999982</v>
      </c>
      <c r="H64" s="3">
        <f>[1]SM_D!H268</f>
        <v>7.1042261019463746</v>
      </c>
    </row>
    <row r="65" spans="1:8" x14ac:dyDescent="0.3">
      <c r="A65" s="2">
        <f t="shared" si="5"/>
        <v>2023</v>
      </c>
      <c r="B65" s="9">
        <v>4</v>
      </c>
      <c r="C65" s="3">
        <f>[1]SM_D!C269</f>
        <v>13</v>
      </c>
      <c r="D65" s="3">
        <f>[1]SM_D!D269</f>
        <v>0</v>
      </c>
      <c r="E65" s="3">
        <f>[1]SM_D!E269</f>
        <v>20.921064675745605</v>
      </c>
      <c r="F65" s="3">
        <f>[1]SM_D!F269</f>
        <v>1542</v>
      </c>
      <c r="G65" s="3">
        <f>[1]SM_D!G269</f>
        <v>-7.2760072158749249</v>
      </c>
      <c r="H65" s="3">
        <f>[1]SM_D!H269</f>
        <v>6.3133140688432867</v>
      </c>
    </row>
    <row r="66" spans="1:8" x14ac:dyDescent="0.3">
      <c r="A66" s="2">
        <f t="shared" si="5"/>
        <v>2023</v>
      </c>
      <c r="B66" s="9">
        <v>5</v>
      </c>
      <c r="C66" s="3">
        <f>[1]SM_D!C270</f>
        <v>15</v>
      </c>
      <c r="D66" s="3">
        <f>[1]SM_D!D270</f>
        <v>-42.307692307692314</v>
      </c>
      <c r="E66" s="3">
        <f>[1]SM_D!E270</f>
        <v>19.599413249076843</v>
      </c>
      <c r="F66" s="3">
        <f>[1]SM_D!F270</f>
        <v>1703</v>
      </c>
      <c r="G66" s="3">
        <f>[1]SM_D!G270</f>
        <v>-1.5037593984962405</v>
      </c>
      <c r="H66" s="3">
        <f>[1]SM_D!H270</f>
        <v>5.5630304760496374</v>
      </c>
    </row>
    <row r="67" spans="1:8" x14ac:dyDescent="0.3">
      <c r="A67" s="2">
        <f t="shared" si="5"/>
        <v>2023</v>
      </c>
      <c r="B67" s="9">
        <v>6</v>
      </c>
      <c r="C67" s="3">
        <f>[1]SM_D!C271</f>
        <v>16</v>
      </c>
      <c r="D67" s="3">
        <f>[1]SM_D!D271</f>
        <v>-5.8823529411764719</v>
      </c>
      <c r="E67" s="3">
        <f>[1]SM_D!E271</f>
        <v>18.374807395826533</v>
      </c>
      <c r="F67" s="3">
        <f>[1]SM_D!F271</f>
        <v>1657</v>
      </c>
      <c r="G67" s="3">
        <f>[1]SM_D!G271</f>
        <v>-2.5867136978248051</v>
      </c>
      <c r="H67" s="3">
        <f>[1]SM_D!H271</f>
        <v>4.8576947453557846</v>
      </c>
    </row>
    <row r="68" spans="1:8" x14ac:dyDescent="0.3">
      <c r="A68" s="2">
        <f t="shared" si="5"/>
        <v>2023</v>
      </c>
      <c r="B68" s="9">
        <v>7</v>
      </c>
      <c r="C68" s="3">
        <f>[1]SM_D!C272</f>
        <v>21</v>
      </c>
      <c r="D68" s="3">
        <f>[1]SM_D!D272</f>
        <v>75</v>
      </c>
      <c r="E68" s="3">
        <f>[1]SM_D!E272</f>
        <v>17.246341848345512</v>
      </c>
      <c r="F68" s="3">
        <f>[1]SM_D!F272</f>
        <v>1548</v>
      </c>
      <c r="G68" s="3">
        <f>[1]SM_D!G272</f>
        <v>-4.6798029556650249</v>
      </c>
      <c r="H68" s="3">
        <f>[1]SM_D!H272</f>
        <v>4.2011355492552438</v>
      </c>
    </row>
    <row r="69" spans="1:8" x14ac:dyDescent="0.3">
      <c r="A69" s="2">
        <f t="shared" si="5"/>
        <v>2023</v>
      </c>
      <c r="B69" s="9">
        <v>8</v>
      </c>
      <c r="C69" s="3">
        <f>[1]SM_D!C273</f>
        <v>13</v>
      </c>
      <c r="D69" s="3">
        <f>[1]SM_D!D273</f>
        <v>-31.578947368421051</v>
      </c>
      <c r="E69" s="3">
        <f>[1]SM_D!E273</f>
        <v>16.211426813961211</v>
      </c>
      <c r="F69" s="3">
        <f>[1]SM_D!F273</f>
        <v>1349</v>
      </c>
      <c r="G69" s="3">
        <f>[1]SM_D!G273</f>
        <v>-13.470173187940993</v>
      </c>
      <c r="H69" s="3">
        <f>[1]SM_D!H273</f>
        <v>3.5966645874329748</v>
      </c>
    </row>
    <row r="70" spans="1:8" x14ac:dyDescent="0.3">
      <c r="A70" s="2">
        <f t="shared" si="5"/>
        <v>2023</v>
      </c>
      <c r="B70" s="9">
        <v>9</v>
      </c>
      <c r="C70" s="3">
        <f>[1]SM_D!C274</f>
        <v>11</v>
      </c>
      <c r="D70" s="3">
        <f>[1]SM_D!D274</f>
        <v>-44.999999999999993</v>
      </c>
      <c r="E70" s="3">
        <f>[1]SM_D!E274</f>
        <v>15.271483170706039</v>
      </c>
      <c r="F70" s="3">
        <f>[1]SM_D!F274</f>
        <v>1245</v>
      </c>
      <c r="G70" s="3">
        <f>[1]SM_D!G274</f>
        <v>-12.937062937062937</v>
      </c>
      <c r="H70" s="3">
        <f>[1]SM_D!H274</f>
        <v>3.0469768277333182</v>
      </c>
    </row>
    <row r="71" spans="1:8" x14ac:dyDescent="0.3">
      <c r="A71" s="2">
        <f t="shared" si="5"/>
        <v>2023</v>
      </c>
      <c r="B71" s="9">
        <v>10</v>
      </c>
      <c r="C71" s="3">
        <f>[1]SM_D!C275</f>
        <v>20</v>
      </c>
      <c r="D71" s="3">
        <f>[1]SM_D!D275</f>
        <v>0</v>
      </c>
      <c r="E71" s="3">
        <f>[1]SM_D!E275</f>
        <v>14.424613020627518</v>
      </c>
      <c r="F71" s="3">
        <f>[1]SM_D!F275</f>
        <v>1884</v>
      </c>
      <c r="G71" s="3">
        <f>[1]SM_D!G275</f>
        <v>-1.9771071800208095</v>
      </c>
      <c r="H71" s="3">
        <f>[1]SM_D!H275</f>
        <v>2.5535820409328807</v>
      </c>
    </row>
    <row r="72" spans="1:8" x14ac:dyDescent="0.3">
      <c r="A72" s="2">
        <f t="shared" si="5"/>
        <v>2023</v>
      </c>
      <c r="B72" s="9">
        <v>11</v>
      </c>
      <c r="C72" s="3">
        <f>[1]SM_D!C276</f>
        <v>31</v>
      </c>
      <c r="D72" s="3">
        <f>[1]SM_D!D276</f>
        <v>29.166666666666675</v>
      </c>
      <c r="E72" s="3">
        <f>[1]SM_D!E276</f>
        <v>13.66473294610854</v>
      </c>
      <c r="F72" s="3">
        <f>[1]SM_D!F276</f>
        <v>2201</v>
      </c>
      <c r="G72" s="3">
        <f>[1]SM_D!G276</f>
        <v>-17.068575734740008</v>
      </c>
      <c r="H72" s="3">
        <f>[1]SM_D!H276</f>
        <v>2.1168799950468249</v>
      </c>
    </row>
    <row r="73" spans="1:8" x14ac:dyDescent="0.3">
      <c r="A73" s="2">
        <f t="shared" si="5"/>
        <v>2023</v>
      </c>
      <c r="B73" s="9">
        <v>12</v>
      </c>
      <c r="C73" s="3">
        <f>[1]SM_D!C277</f>
        <v>32</v>
      </c>
      <c r="D73" s="3">
        <f>[1]SM_D!D277</f>
        <v>-17.948717948717952</v>
      </c>
      <c r="E73" s="3">
        <f>[1]SM_D!E277</f>
        <v>12.984757820294449</v>
      </c>
      <c r="F73" s="3">
        <f>[1]SM_D!F277</f>
        <v>2686</v>
      </c>
      <c r="G73" s="3">
        <f>[1]SM_D!G277</f>
        <v>-17.302955665024633</v>
      </c>
      <c r="H73" s="3">
        <f>[1]SM_D!H277</f>
        <v>1.7369558268944136</v>
      </c>
    </row>
    <row r="74" spans="1:8" x14ac:dyDescent="0.3">
      <c r="A74" s="2">
        <v>2024</v>
      </c>
      <c r="B74" s="9">
        <v>1</v>
      </c>
      <c r="C74" s="3">
        <f>[1]SM_D!C278</f>
        <v>37</v>
      </c>
      <c r="D74" s="3">
        <f>[1]SM_D!D278</f>
        <v>5.7142857142857162</v>
      </c>
      <c r="E74" s="3">
        <f>[1]SM_D!E278</f>
        <v>12.378679039505631</v>
      </c>
      <c r="F74" s="3">
        <f>[1]SM_D!F278</f>
        <v>3937</v>
      </c>
      <c r="G74" s="3">
        <f>[1]SM_D!G278</f>
        <v>5.0825921219832537E-2</v>
      </c>
      <c r="H74" s="3">
        <f>[1]SM_D!H278</f>
        <v>1.4125623499803415</v>
      </c>
    </row>
    <row r="75" spans="1:8" x14ac:dyDescent="0.3">
      <c r="A75" s="2">
        <f>A74</f>
        <v>2024</v>
      </c>
      <c r="B75" s="9">
        <v>2</v>
      </c>
      <c r="C75" s="3">
        <f>[1]SM_D!C279</f>
        <v>57</v>
      </c>
      <c r="D75" s="3">
        <f>[1]SM_D!D279</f>
        <v>119.23076923076925</v>
      </c>
      <c r="E75" s="3">
        <f>[1]SM_D!E279</f>
        <v>11.83833984202295</v>
      </c>
      <c r="F75" s="3">
        <f>[1]SM_D!F279</f>
        <v>2547</v>
      </c>
      <c r="G75" s="3">
        <f>[1]SM_D!G279</f>
        <v>-5.8410351201478754</v>
      </c>
      <c r="H75" s="3">
        <f>[1]SM_D!H279</f>
        <v>1.1411301617334744</v>
      </c>
    </row>
    <row r="76" spans="1:8" x14ac:dyDescent="0.3">
      <c r="A76" s="2">
        <f t="shared" ref="A76:A85" si="6">A75</f>
        <v>2024</v>
      </c>
      <c r="B76" s="9">
        <v>3</v>
      </c>
      <c r="C76" s="3">
        <f>[1]SM_D!C280</f>
        <v>17</v>
      </c>
      <c r="D76" s="3">
        <f>[1]SM_D!D280</f>
        <v>-51.428571428571423</v>
      </c>
      <c r="E76" s="3">
        <f>[1]SM_D!E280</f>
        <v>11.355120661035242</v>
      </c>
      <c r="F76" s="3">
        <f>[1]SM_D!F280</f>
        <v>1829</v>
      </c>
      <c r="G76" s="3">
        <f>[1]SM_D!G280</f>
        <v>-21.804189824711418</v>
      </c>
      <c r="H76" s="3">
        <f>[1]SM_D!H280</f>
        <v>0.91999529455290308</v>
      </c>
    </row>
    <row r="77" spans="1:8" x14ac:dyDescent="0.3">
      <c r="A77" s="2">
        <f t="shared" si="6"/>
        <v>2024</v>
      </c>
      <c r="B77" s="9">
        <v>4</v>
      </c>
      <c r="C77" s="3">
        <f>[1]SM_D!C281</f>
        <v>22</v>
      </c>
      <c r="D77" s="3">
        <f>[1]SM_D!D281</f>
        <v>69.230769230769226</v>
      </c>
      <c r="E77" s="3">
        <f>[1]SM_D!E281</f>
        <v>10.927859737327779</v>
      </c>
      <c r="F77" s="3">
        <f>[1]SM_D!F281</f>
        <v>1847</v>
      </c>
      <c r="G77" s="3">
        <f>[1]SM_D!G281</f>
        <v>19.779507133592734</v>
      </c>
      <c r="H77" s="3">
        <f>[1]SM_D!H281</f>
        <v>0.74600890824869859</v>
      </c>
    </row>
    <row r="78" spans="1:8" x14ac:dyDescent="0.3">
      <c r="A78" s="2">
        <f t="shared" si="6"/>
        <v>2024</v>
      </c>
      <c r="B78" s="9">
        <v>5</v>
      </c>
      <c r="C78" s="3">
        <f>[1]SM_D!C282</f>
        <v>22</v>
      </c>
      <c r="D78" s="3">
        <f>[1]SM_D!D282</f>
        <v>46.666666666666657</v>
      </c>
      <c r="E78" s="3">
        <f>[1]SM_D!E282</f>
        <v>10.551035333068503</v>
      </c>
      <c r="F78" s="3">
        <f>[1]SM_D!F282</f>
        <v>1361</v>
      </c>
      <c r="G78" s="3">
        <f>[1]SM_D!G282</f>
        <v>-20.082207868467407</v>
      </c>
      <c r="H78" s="3">
        <f>[1]SM_D!H282</f>
        <v>0.61444409421987212</v>
      </c>
    </row>
    <row r="79" spans="1:8" x14ac:dyDescent="0.3">
      <c r="A79" s="2">
        <f t="shared" si="6"/>
        <v>2024</v>
      </c>
      <c r="B79" s="9">
        <v>6</v>
      </c>
      <c r="C79" s="3">
        <f>[1]SM_D!C283</f>
        <v>11</v>
      </c>
      <c r="D79" s="3">
        <f>[1]SM_D!D283</f>
        <v>-31.25</v>
      </c>
      <c r="E79" s="3">
        <f>[1]SM_D!E283</f>
        <v>10.223174523584623</v>
      </c>
      <c r="F79" s="3">
        <f>[1]SM_D!F283</f>
        <v>1560</v>
      </c>
      <c r="G79" s="3">
        <f>[1]SM_D!G283</f>
        <v>-5.8539529269764685</v>
      </c>
      <c r="H79" s="3">
        <f>[1]SM_D!H283</f>
        <v>0.52189571457552819</v>
      </c>
    </row>
    <row r="80" spans="1:8" x14ac:dyDescent="0.3">
      <c r="A80" s="2">
        <f t="shared" si="6"/>
        <v>2024</v>
      </c>
      <c r="B80" s="9">
        <v>7</v>
      </c>
      <c r="C80" s="3">
        <f>[1]SM_D!C284</f>
        <v>15</v>
      </c>
      <c r="D80" s="3">
        <f>[1]SM_D!D284</f>
        <v>-28.571428571428569</v>
      </c>
      <c r="E80" s="3">
        <f>[1]SM_D!E284</f>
        <v>9.9453124141570672</v>
      </c>
      <c r="F80" s="3">
        <f>[1]SM_D!F284</f>
        <v>1604</v>
      </c>
      <c r="G80" s="3">
        <f>[1]SM_D!G284</f>
        <v>3.6175710594315236</v>
      </c>
      <c r="H80" s="3">
        <f>[1]SM_D!H284</f>
        <v>0.46352136392736243</v>
      </c>
    </row>
    <row r="81" spans="1:8" x14ac:dyDescent="0.3">
      <c r="A81" s="2">
        <f t="shared" si="6"/>
        <v>2024</v>
      </c>
      <c r="B81" s="9">
        <v>8</v>
      </c>
      <c r="C81" s="3">
        <f>[1]SM_D!C285</f>
        <v>15</v>
      </c>
      <c r="D81" s="3">
        <f>[1]SM_D!D285</f>
        <v>15.384615384615374</v>
      </c>
      <c r="E81" s="3">
        <f>[1]SM_D!E285</f>
        <v>9.7156040285026286</v>
      </c>
      <c r="F81" s="3">
        <f>[1]SM_D!F285</f>
        <v>1364</v>
      </c>
      <c r="G81" s="3">
        <f>[1]SM_D!G285</f>
        <v>1.111934766493694</v>
      </c>
      <c r="H81" s="3">
        <f>[1]SM_D!H285</f>
        <v>0.43403586962029606</v>
      </c>
    </row>
    <row r="82" spans="1:8" x14ac:dyDescent="0.3">
      <c r="A82" s="2">
        <f t="shared" si="6"/>
        <v>2024</v>
      </c>
      <c r="B82" s="9">
        <v>9</v>
      </c>
      <c r="C82" s="3">
        <f>[1]SM_D!C286</f>
        <v>16</v>
      </c>
      <c r="D82" s="3">
        <f>[1]SM_D!D286</f>
        <v>45.45454545454546</v>
      </c>
      <c r="E82" s="3">
        <f>[1]SM_D!E286</f>
        <v>9.5295296166585448</v>
      </c>
      <c r="F82" s="3">
        <f>[1]SM_D!F286</f>
        <v>1399</v>
      </c>
      <c r="G82" s="3">
        <f>[1]SM_D!G286</f>
        <v>12.369477911646577</v>
      </c>
      <c r="H82" s="3">
        <f>[1]SM_D!H286</f>
        <v>0.42837309022810477</v>
      </c>
    </row>
    <row r="83" spans="1:8" x14ac:dyDescent="0.3">
      <c r="A83" s="2">
        <f t="shared" si="6"/>
        <v>2024</v>
      </c>
      <c r="B83" s="9">
        <v>10</v>
      </c>
      <c r="C83" s="3">
        <f>[1]SM_D!C287</f>
        <v>24</v>
      </c>
      <c r="D83" s="3">
        <f>[1]SM_D!D287</f>
        <v>19.999999999999996</v>
      </c>
      <c r="E83" s="3">
        <f>[1]SM_D!E287</f>
        <v>9.3829631100062301</v>
      </c>
      <c r="F83" s="3">
        <f>[1]SM_D!F287</f>
        <v>2158</v>
      </c>
      <c r="G83" s="3">
        <f>[1]SM_D!G287</f>
        <v>14.543524416135888</v>
      </c>
      <c r="H83" s="3">
        <f>[1]SM_D!H287</f>
        <v>0.44151396063684722</v>
      </c>
    </row>
    <row r="84" spans="1:8" x14ac:dyDescent="0.3">
      <c r="A84" s="2">
        <f t="shared" si="6"/>
        <v>2024</v>
      </c>
      <c r="B84" s="9">
        <v>11</v>
      </c>
      <c r="C84" s="3">
        <f>[1]SM_D!C288</f>
        <v>13</v>
      </c>
      <c r="D84" s="3">
        <f>[1]SM_D!D288</f>
        <v>-58.064516129032249</v>
      </c>
      <c r="E84" s="3">
        <f>[1]SM_D!E288</f>
        <v>9.2742732326936199</v>
      </c>
      <c r="F84" s="3">
        <f>[1]SM_D!F288</f>
        <v>2282</v>
      </c>
      <c r="G84" s="3">
        <f>[1]SM_D!G288</f>
        <v>3.680145388459799</v>
      </c>
      <c r="H84" s="3">
        <f>[1]SM_D!H288</f>
        <v>0.4692686591229584</v>
      </c>
    </row>
    <row r="85" spans="1:8" x14ac:dyDescent="0.3">
      <c r="A85" s="2">
        <f t="shared" si="6"/>
        <v>2024</v>
      </c>
      <c r="B85" s="9">
        <v>12</v>
      </c>
      <c r="C85" s="3">
        <f>[1]SM_D!C289</f>
        <v>31</v>
      </c>
      <c r="D85" s="3">
        <f>[1]SM_D!D289</f>
        <v>-3.125</v>
      </c>
      <c r="E85" s="3">
        <f>[1]SM_D!E289</f>
        <v>9.2025660030971252</v>
      </c>
      <c r="F85" s="3">
        <f>[1]SM_D!F289</f>
        <v>3243</v>
      </c>
      <c r="G85" s="3">
        <f>[1]SM_D!G289</f>
        <v>20.737155621742364</v>
      </c>
      <c r="H85" s="3">
        <f>[1]SM_D!H289</f>
        <v>0.50842667024450527</v>
      </c>
    </row>
    <row r="86" spans="1:8" x14ac:dyDescent="0.3">
      <c r="A86" s="2">
        <v>2025</v>
      </c>
      <c r="B86" s="2">
        <v>1</v>
      </c>
      <c r="C86" s="3">
        <f>[1]SM_D!C290</f>
        <v>50</v>
      </c>
      <c r="D86" s="3">
        <f>[1]SM_D!D290</f>
        <v>35.13513513513513</v>
      </c>
      <c r="E86" s="3">
        <f>[1]SM_D!E290</f>
        <v>9.1622711347763701</v>
      </c>
      <c r="F86" s="3">
        <f>[1]SM_D!F290</f>
        <v>3907</v>
      </c>
      <c r="G86" s="3">
        <f>[1]SM_D!G290</f>
        <v>-0.7620015240030531</v>
      </c>
      <c r="H86" s="3">
        <f>[1]SM_D!H290</f>
        <v>0.55600045611020321</v>
      </c>
    </row>
    <row r="87" spans="1:8" x14ac:dyDescent="0.3">
      <c r="A87" s="2">
        <v>2025</v>
      </c>
      <c r="B87" s="2">
        <v>2</v>
      </c>
      <c r="C87" s="3">
        <f>[1]SM_D!C291</f>
        <v>40</v>
      </c>
      <c r="D87" s="3">
        <f>[1]SM_D!D291</f>
        <v>-29.824561403508774</v>
      </c>
      <c r="E87" s="3">
        <f>[1]SM_D!E291</f>
        <v>9.1469622603185385</v>
      </c>
      <c r="F87" s="3">
        <f>[1]SM_D!F291</f>
        <v>2558</v>
      </c>
      <c r="G87" s="3">
        <f>[1]SM_D!G291</f>
        <v>0.43188064389478864</v>
      </c>
      <c r="H87" s="3">
        <f>[1]SM_D!H291</f>
        <v>0.61040725167262155</v>
      </c>
    </row>
    <row r="88" spans="1:8" x14ac:dyDescent="0.3">
      <c r="A88" s="2">
        <v>2025</v>
      </c>
      <c r="B88" s="2">
        <v>3</v>
      </c>
      <c r="C88" s="3">
        <f>[1]SM_D!C292</f>
        <v>27</v>
      </c>
      <c r="D88" s="3">
        <f>[1]SM_D!D292</f>
        <v>58.823529411764696</v>
      </c>
      <c r="E88" s="3">
        <f>[1]SM_D!E292</f>
        <v>9.1520166834219534</v>
      </c>
      <c r="F88" s="3">
        <f>[1]SM_D!F292</f>
        <v>1984</v>
      </c>
      <c r="G88" s="3">
        <f>[1]SM_D!G292</f>
        <v>8.4745762711864394</v>
      </c>
      <c r="H88" s="3">
        <f>[1]SM_D!H292</f>
        <v>0.66997276396904404</v>
      </c>
    </row>
    <row r="89" spans="1:8" x14ac:dyDescent="0.3">
      <c r="A89" s="2">
        <v>2025</v>
      </c>
      <c r="B89" s="2">
        <v>4</v>
      </c>
      <c r="C89" s="3">
        <f>[1]SM_D!C293</f>
        <v>24</v>
      </c>
      <c r="D89" s="3">
        <f>[1]SM_D!D293</f>
        <v>9.0909090909090828</v>
      </c>
      <c r="E89" s="3">
        <f>[1]SM_D!E293</f>
        <v>9.1701053519749465</v>
      </c>
      <c r="F89" s="3">
        <f>[1]SM_D!F293</f>
        <v>1653</v>
      </c>
      <c r="G89" s="3">
        <f>[1]SM_D!G293</f>
        <v>-10.503519220357338</v>
      </c>
      <c r="H89" s="3">
        <f>[1]SM_D!H293</f>
        <v>0.73301030235565856</v>
      </c>
    </row>
    <row r="90" spans="1:8" x14ac:dyDescent="0.3">
      <c r="A90" s="2">
        <v>2025</v>
      </c>
      <c r="B90" s="2">
        <v>5</v>
      </c>
      <c r="C90" s="3">
        <f>[1]SM_D!C294</f>
        <v>22</v>
      </c>
      <c r="D90" s="3">
        <f>[1]SM_D!D294</f>
        <v>0</v>
      </c>
      <c r="E90" s="3">
        <f>[1]SM_D!E294</f>
        <v>9.1973486244719869</v>
      </c>
      <c r="F90" s="3">
        <f>[1]SM_D!F294</f>
        <v>1706</v>
      </c>
      <c r="G90" s="3">
        <f>[1]SM_D!G294</f>
        <v>25.349008082292436</v>
      </c>
      <c r="H90" s="3">
        <f>[1]SM_D!H294</f>
        <v>0.79837516254332108</v>
      </c>
    </row>
    <row r="91" spans="1:8" x14ac:dyDescent="0.3">
      <c r="A91" s="2">
        <v>2025</v>
      </c>
      <c r="B91" s="9">
        <v>6</v>
      </c>
      <c r="C91" s="3">
        <f>[1]SM_D!C295</f>
        <v>18</v>
      </c>
      <c r="D91" s="3">
        <f>[1]SM_D!D295</f>
        <v>63.636363636363647</v>
      </c>
      <c r="E91" s="3">
        <f>[1]SM_D!E295</f>
        <v>9.2298613596671935</v>
      </c>
      <c r="F91" s="3">
        <f>[1]SM_D!F295</f>
        <v>1582</v>
      </c>
      <c r="G91" s="3">
        <f>[1]SM_D!G295</f>
        <v>1.4102564102564052</v>
      </c>
      <c r="H91" s="3">
        <f>[1]SM_D!H295</f>
        <v>0.86414232569269933</v>
      </c>
    </row>
    <row r="92" spans="1:8" x14ac:dyDescent="0.3">
      <c r="A92" s="2">
        <v>2025</v>
      </c>
      <c r="B92" s="9">
        <v>7</v>
      </c>
      <c r="C92" s="3">
        <f>[1]SM_D!C296</f>
        <v>18</v>
      </c>
      <c r="D92" s="3">
        <f>[1]SM_D!D296</f>
        <v>19.999999999999996</v>
      </c>
      <c r="E92" s="3">
        <f>[1]SM_D!E296</f>
        <v>9.2631197115490984</v>
      </c>
      <c r="F92" s="3">
        <f>[1]SM_D!F296</f>
        <v>1661</v>
      </c>
      <c r="G92" s="3">
        <f>[1]SM_D!G296</f>
        <v>3.5536159600997541</v>
      </c>
      <c r="H92" s="3">
        <f>[1]SM_D!H296</f>
        <v>0.93009167802833259</v>
      </c>
    </row>
    <row r="93" spans="1:8" x14ac:dyDescent="0.3">
      <c r="C93" s="3"/>
      <c r="D93" s="3"/>
      <c r="E93" s="3"/>
      <c r="F93" s="3"/>
      <c r="G93" s="3"/>
      <c r="H93" s="3"/>
    </row>
    <row r="94" spans="1:8" x14ac:dyDescent="0.3">
      <c r="C94" s="3"/>
      <c r="D94" s="3"/>
      <c r="E94" s="3"/>
      <c r="F94" s="3"/>
      <c r="G94" s="3"/>
      <c r="H94" s="3"/>
    </row>
    <row r="95" spans="1:8" x14ac:dyDescent="0.3">
      <c r="C95" s="3"/>
      <c r="D95" s="3"/>
      <c r="E95" s="3"/>
      <c r="F95" s="3"/>
      <c r="G95" s="3"/>
      <c r="H95" s="3"/>
    </row>
    <row r="96" spans="1:8" x14ac:dyDescent="0.3">
      <c r="C96" s="3"/>
      <c r="D96" s="3"/>
      <c r="E96" s="3"/>
      <c r="F96" s="3"/>
      <c r="G96" s="3"/>
      <c r="H96" s="3"/>
    </row>
    <row r="97" spans="3:8" x14ac:dyDescent="0.3"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abSelected="1" topLeftCell="A79" zoomScaleNormal="100" workbookViewId="0">
      <selection activeCell="C94" sqref="C94"/>
    </sheetView>
  </sheetViews>
  <sheetFormatPr baseColWidth="10" defaultColWidth="11.42578125" defaultRowHeight="13.5" x14ac:dyDescent="0.3"/>
  <cols>
    <col min="1" max="1" width="4.42578125" style="2" bestFit="1" customWidth="1"/>
    <col min="2" max="2" width="15.28515625" style="2" bestFit="1" customWidth="1"/>
    <col min="3" max="3" width="16.140625" style="2" bestFit="1" customWidth="1"/>
    <col min="4" max="4" width="21.28515625" style="2" bestFit="1" customWidth="1"/>
    <col min="5" max="5" width="18.7109375" style="2" bestFit="1" customWidth="1"/>
    <col min="6" max="6" width="16.140625" style="2" bestFit="1" customWidth="1"/>
    <col min="7" max="7" width="19.140625" style="2" bestFit="1" customWidth="1"/>
    <col min="8" max="8" width="16.2851562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72</v>
      </c>
      <c r="H1" s="2" t="s">
        <v>73</v>
      </c>
    </row>
    <row r="2" spans="1:8" x14ac:dyDescent="0.3">
      <c r="A2" s="2">
        <v>2018</v>
      </c>
      <c r="B2" s="3">
        <v>1</v>
      </c>
      <c r="C2" s="3">
        <v>103.824</v>
      </c>
      <c r="D2" s="3">
        <v>15.7</v>
      </c>
      <c r="E2" s="3">
        <v>4.3690338343866459</v>
      </c>
      <c r="F2" s="3">
        <v>102.22199999999999</v>
      </c>
      <c r="G2" s="3">
        <v>3.3</v>
      </c>
      <c r="H2" s="3">
        <v>1.2894018759427213</v>
      </c>
    </row>
    <row r="3" spans="1:8" x14ac:dyDescent="0.3">
      <c r="A3" s="2">
        <v>2018</v>
      </c>
      <c r="B3" s="3">
        <v>2</v>
      </c>
      <c r="C3" s="3">
        <v>102.961</v>
      </c>
      <c r="D3" s="3">
        <v>13.1</v>
      </c>
      <c r="E3" s="3">
        <v>4.2539825486917549</v>
      </c>
      <c r="F3" s="3">
        <v>101.005</v>
      </c>
      <c r="G3" s="3">
        <v>2.8</v>
      </c>
      <c r="H3" s="3">
        <v>1.1567601559549172</v>
      </c>
    </row>
    <row r="4" spans="1:8" x14ac:dyDescent="0.3">
      <c r="A4" s="2">
        <v>2018</v>
      </c>
      <c r="B4" s="3">
        <v>3</v>
      </c>
      <c r="C4" s="3">
        <v>109.04300000000001</v>
      </c>
      <c r="D4" s="3">
        <v>1.2</v>
      </c>
      <c r="E4" s="3">
        <v>4.1128743616627199</v>
      </c>
      <c r="F4" s="3">
        <v>107.223</v>
      </c>
      <c r="G4" s="3">
        <v>-3.7</v>
      </c>
      <c r="H4" s="3">
        <v>1.0191658455858177</v>
      </c>
    </row>
    <row r="5" spans="1:8" x14ac:dyDescent="0.3">
      <c r="A5" s="2">
        <v>2018</v>
      </c>
      <c r="B5" s="3">
        <v>4</v>
      </c>
      <c r="C5" s="3">
        <v>102.754</v>
      </c>
      <c r="D5" s="3">
        <v>11.8</v>
      </c>
      <c r="E5" s="3">
        <v>3.9473997028178998</v>
      </c>
      <c r="F5" s="3">
        <v>102.22499999999999</v>
      </c>
      <c r="G5" s="3">
        <v>11.1</v>
      </c>
      <c r="H5" s="3">
        <v>0.87738198826380265</v>
      </c>
    </row>
    <row r="6" spans="1:8" x14ac:dyDescent="0.3">
      <c r="A6" s="2">
        <v>2018</v>
      </c>
      <c r="B6" s="3">
        <v>5</v>
      </c>
      <c r="C6" s="3">
        <v>105.706</v>
      </c>
      <c r="D6" s="3">
        <v>7.9</v>
      </c>
      <c r="E6" s="3">
        <v>3.7590467187338712</v>
      </c>
      <c r="F6" s="3">
        <v>109.44499999999999</v>
      </c>
      <c r="G6" s="3">
        <v>1.2</v>
      </c>
      <c r="H6" s="3">
        <v>0.73184390756686413</v>
      </c>
    </row>
    <row r="7" spans="1:8" x14ac:dyDescent="0.3">
      <c r="A7" s="2">
        <v>2018</v>
      </c>
      <c r="B7" s="3">
        <v>6</v>
      </c>
      <c r="C7" s="3">
        <v>103.794</v>
      </c>
      <c r="D7" s="3">
        <v>5.5</v>
      </c>
      <c r="E7" s="3">
        <v>3.5498488754522932</v>
      </c>
      <c r="F7" s="3">
        <v>105.434</v>
      </c>
      <c r="G7" s="3">
        <v>-2.2000000000000002</v>
      </c>
      <c r="H7" s="3">
        <v>0.58369683110158688</v>
      </c>
    </row>
    <row r="8" spans="1:8" x14ac:dyDescent="0.3">
      <c r="A8" s="2">
        <v>2018</v>
      </c>
      <c r="B8" s="3">
        <v>7</v>
      </c>
      <c r="C8" s="3">
        <v>100.39100000000001</v>
      </c>
      <c r="D8" s="3">
        <v>11.2</v>
      </c>
      <c r="E8" s="3">
        <v>3.3221272052149127</v>
      </c>
      <c r="F8" s="3">
        <v>107.581</v>
      </c>
      <c r="G8" s="3">
        <v>3.6</v>
      </c>
      <c r="H8" s="3">
        <v>0.43411849731430796</v>
      </c>
    </row>
    <row r="9" spans="1:8" x14ac:dyDescent="0.3">
      <c r="A9" s="2">
        <v>2018</v>
      </c>
      <c r="B9" s="3">
        <v>8</v>
      </c>
      <c r="C9" s="3">
        <v>91.11</v>
      </c>
      <c r="D9" s="3">
        <v>4.0999999999999996</v>
      </c>
      <c r="E9" s="3">
        <v>3.0783381674249033</v>
      </c>
      <c r="F9" s="3">
        <v>84.215000000000003</v>
      </c>
      <c r="G9" s="3">
        <v>1</v>
      </c>
      <c r="H9" s="3">
        <v>0.28409333237142692</v>
      </c>
    </row>
    <row r="10" spans="1:8" x14ac:dyDescent="0.3">
      <c r="A10" s="2">
        <v>2018</v>
      </c>
      <c r="B10" s="3">
        <v>9</v>
      </c>
      <c r="C10" s="3">
        <v>101.626</v>
      </c>
      <c r="D10" s="3">
        <v>3.6</v>
      </c>
      <c r="E10" s="3">
        <v>2.8214852959850765</v>
      </c>
      <c r="F10" s="3">
        <v>100.309</v>
      </c>
      <c r="G10" s="3">
        <v>-2.9</v>
      </c>
      <c r="H10" s="3">
        <v>0.13482561532147422</v>
      </c>
    </row>
    <row r="11" spans="1:8" x14ac:dyDescent="0.3">
      <c r="A11" s="2">
        <v>2018</v>
      </c>
      <c r="B11" s="3">
        <v>10</v>
      </c>
      <c r="C11" s="3">
        <v>107.991</v>
      </c>
      <c r="D11" s="3">
        <v>8.1999999999999993</v>
      </c>
      <c r="E11" s="3">
        <v>2.5546430735366181</v>
      </c>
      <c r="F11" s="3">
        <v>110.22</v>
      </c>
      <c r="G11" s="3">
        <v>3.7</v>
      </c>
      <c r="H11" s="3">
        <v>-1.2430659046212036E-2</v>
      </c>
    </row>
    <row r="12" spans="1:8" x14ac:dyDescent="0.3">
      <c r="A12" s="2">
        <v>2018</v>
      </c>
      <c r="B12" s="3">
        <v>11</v>
      </c>
      <c r="C12" s="3">
        <v>100.637</v>
      </c>
      <c r="D12" s="3">
        <v>-2</v>
      </c>
      <c r="E12" s="3">
        <v>2.2809400462418266</v>
      </c>
      <c r="F12" s="3">
        <v>105.758</v>
      </c>
      <c r="G12" s="3">
        <v>-3.3</v>
      </c>
      <c r="H12" s="3">
        <v>-0.15663224772113549</v>
      </c>
    </row>
    <row r="13" spans="1:8" x14ac:dyDescent="0.3">
      <c r="A13" s="2">
        <v>2018</v>
      </c>
      <c r="B13" s="3">
        <v>12</v>
      </c>
      <c r="C13" s="3">
        <v>94.463999999999999</v>
      </c>
      <c r="D13" s="3">
        <v>7.9</v>
      </c>
      <c r="E13" s="3">
        <v>2.0038967989384493</v>
      </c>
      <c r="F13" s="3">
        <v>90.245000000000005</v>
      </c>
      <c r="G13" s="3">
        <v>-4.2</v>
      </c>
      <c r="H13" s="3">
        <v>-0.29647810000814379</v>
      </c>
    </row>
    <row r="14" spans="1:8" x14ac:dyDescent="0.3">
      <c r="A14" s="2">
        <v>2019</v>
      </c>
      <c r="B14" s="3">
        <v>1</v>
      </c>
      <c r="C14" s="3">
        <v>103.681</v>
      </c>
      <c r="D14" s="3">
        <v>-0.1</v>
      </c>
      <c r="E14" s="3">
        <v>1.7267366289610226</v>
      </c>
      <c r="F14" s="3">
        <v>104.431</v>
      </c>
      <c r="G14" s="3">
        <v>2.2000000000000002</v>
      </c>
      <c r="H14" s="3">
        <v>-0.43088545463932615</v>
      </c>
    </row>
    <row r="15" spans="1:8" x14ac:dyDescent="0.3">
      <c r="A15" s="2">
        <v>2019</v>
      </c>
      <c r="B15" s="3">
        <v>2</v>
      </c>
      <c r="C15" s="3">
        <v>102.29300000000001</v>
      </c>
      <c r="D15" s="3">
        <v>-0.6</v>
      </c>
      <c r="E15" s="3">
        <v>1.4530922852552677</v>
      </c>
      <c r="F15" s="3">
        <v>101.084</v>
      </c>
      <c r="G15" s="3">
        <v>0.1</v>
      </c>
      <c r="H15" s="3">
        <v>-0.55904262825649342</v>
      </c>
    </row>
    <row r="16" spans="1:8" x14ac:dyDescent="0.3">
      <c r="A16" s="2">
        <v>2019</v>
      </c>
      <c r="B16" s="3">
        <v>3</v>
      </c>
      <c r="C16" s="3">
        <v>107.73099999999999</v>
      </c>
      <c r="D16" s="3">
        <v>-1.2</v>
      </c>
      <c r="E16" s="3">
        <v>1.1864696600565612</v>
      </c>
      <c r="F16" s="3">
        <v>107.038</v>
      </c>
      <c r="G16" s="3">
        <v>-0.2</v>
      </c>
      <c r="H16" s="3">
        <v>-0.67995523712266204</v>
      </c>
    </row>
    <row r="17" spans="1:8" x14ac:dyDescent="0.3">
      <c r="A17" s="2">
        <v>2019</v>
      </c>
      <c r="B17" s="3">
        <v>4</v>
      </c>
      <c r="C17" s="3">
        <v>102.514</v>
      </c>
      <c r="D17" s="3">
        <v>-0.2</v>
      </c>
      <c r="E17" s="3">
        <v>0.93023206974713701</v>
      </c>
      <c r="F17" s="3">
        <v>100.17100000000001</v>
      </c>
      <c r="G17" s="3">
        <v>-2</v>
      </c>
      <c r="H17" s="3">
        <v>-0.79258313065166397</v>
      </c>
    </row>
    <row r="18" spans="1:8" x14ac:dyDescent="0.3">
      <c r="A18" s="2">
        <v>2019</v>
      </c>
      <c r="B18" s="3">
        <v>5</v>
      </c>
      <c r="C18" s="3">
        <v>106.797</v>
      </c>
      <c r="D18" s="3">
        <v>1</v>
      </c>
      <c r="E18" s="3">
        <v>0.68757710364950309</v>
      </c>
      <c r="F18" s="3">
        <v>111.20699999999999</v>
      </c>
      <c r="G18" s="3">
        <v>1.6</v>
      </c>
      <c r="H18" s="3">
        <v>-0.89585282803253108</v>
      </c>
    </row>
    <row r="19" spans="1:8" x14ac:dyDescent="0.3">
      <c r="A19" s="2">
        <v>2019</v>
      </c>
      <c r="B19" s="3">
        <v>6</v>
      </c>
      <c r="C19" s="3">
        <v>101.55800000000001</v>
      </c>
      <c r="D19" s="3">
        <v>-2.2000000000000002</v>
      </c>
      <c r="E19" s="3">
        <v>0.46162386274799055</v>
      </c>
      <c r="F19" s="3">
        <v>103.387</v>
      </c>
      <c r="G19" s="3">
        <v>-1.9</v>
      </c>
      <c r="H19" s="3">
        <v>-0.98877469684800001</v>
      </c>
    </row>
    <row r="20" spans="1:8" x14ac:dyDescent="0.3">
      <c r="A20" s="2">
        <v>2019</v>
      </c>
      <c r="B20" s="3">
        <v>7</v>
      </c>
      <c r="C20" s="3">
        <v>99.466999999999999</v>
      </c>
      <c r="D20" s="3">
        <v>-0.9</v>
      </c>
      <c r="E20" s="3">
        <v>0.25551314406139936</v>
      </c>
      <c r="F20" s="3">
        <v>111.331</v>
      </c>
      <c r="G20" s="3">
        <v>3.5</v>
      </c>
      <c r="H20" s="3">
        <v>-1.0701857815677498</v>
      </c>
    </row>
    <row r="21" spans="1:8" x14ac:dyDescent="0.3">
      <c r="A21" s="2">
        <v>2019</v>
      </c>
      <c r="B21" s="3">
        <v>8</v>
      </c>
      <c r="C21" s="3">
        <v>83.117999999999995</v>
      </c>
      <c r="D21" s="3">
        <v>-8.8000000000000007</v>
      </c>
      <c r="E21" s="3">
        <v>7.2200909618060791E-2</v>
      </c>
      <c r="F21" s="3">
        <v>83.406999999999996</v>
      </c>
      <c r="G21" s="3">
        <v>-1</v>
      </c>
      <c r="H21" s="3">
        <v>-1.1389864061964006</v>
      </c>
    </row>
    <row r="22" spans="1:8" x14ac:dyDescent="0.3">
      <c r="A22" s="2">
        <v>2019</v>
      </c>
      <c r="B22" s="3">
        <v>9</v>
      </c>
      <c r="C22" s="3">
        <v>98.912000000000006</v>
      </c>
      <c r="D22" s="3">
        <v>-2.7</v>
      </c>
      <c r="E22" s="3">
        <v>-8.5437122522031464E-2</v>
      </c>
      <c r="F22" s="3">
        <v>103.285</v>
      </c>
      <c r="G22" s="3">
        <v>3</v>
      </c>
      <c r="H22" s="3">
        <v>-1.1937595207259635</v>
      </c>
    </row>
    <row r="23" spans="1:8" x14ac:dyDescent="0.3">
      <c r="A23" s="2">
        <v>2019</v>
      </c>
      <c r="B23" s="3">
        <v>10</v>
      </c>
      <c r="C23" s="3">
        <v>107.541</v>
      </c>
      <c r="D23" s="3">
        <v>-0.4</v>
      </c>
      <c r="E23" s="3">
        <v>-0.21514135936205164</v>
      </c>
      <c r="F23" s="3">
        <v>111.248</v>
      </c>
      <c r="G23" s="3">
        <v>0.9</v>
      </c>
      <c r="H23" s="3">
        <v>-1.2330784233146859</v>
      </c>
    </row>
    <row r="24" spans="1:8" x14ac:dyDescent="0.3">
      <c r="A24" s="2">
        <v>2019</v>
      </c>
      <c r="B24" s="3">
        <v>11</v>
      </c>
      <c r="C24" s="3">
        <v>100.29600000000001</v>
      </c>
      <c r="D24" s="3">
        <v>-0.3</v>
      </c>
      <c r="E24" s="3">
        <v>-0.31483377477166558</v>
      </c>
      <c r="F24" s="3">
        <v>105.164</v>
      </c>
      <c r="G24" s="3">
        <v>-0.6</v>
      </c>
      <c r="H24" s="3">
        <v>-1.2552251788207651</v>
      </c>
    </row>
    <row r="25" spans="1:8" x14ac:dyDescent="0.3">
      <c r="A25" s="2">
        <v>2019</v>
      </c>
      <c r="B25" s="3">
        <v>12</v>
      </c>
      <c r="C25" s="3">
        <v>82.465000000000003</v>
      </c>
      <c r="D25" s="3">
        <v>-12.7</v>
      </c>
      <c r="E25" s="3">
        <v>-0.38244918002613892</v>
      </c>
      <c r="F25" s="3">
        <v>92.272000000000006</v>
      </c>
      <c r="G25" s="3">
        <v>2.2000000000000002</v>
      </c>
      <c r="H25" s="3">
        <v>-1.2583337216563348</v>
      </c>
    </row>
    <row r="26" spans="1:8" x14ac:dyDescent="0.3">
      <c r="A26" s="2">
        <v>2020</v>
      </c>
      <c r="B26" s="3">
        <v>1</v>
      </c>
      <c r="C26" s="3">
        <v>98.234999999999999</v>
      </c>
      <c r="D26" s="3">
        <v>-5.3</v>
      </c>
      <c r="E26" s="3">
        <v>-0.41592135627748927</v>
      </c>
      <c r="F26" s="3">
        <v>99.972999999999999</v>
      </c>
      <c r="G26" s="3">
        <v>-4.3</v>
      </c>
      <c r="H26" s="3">
        <v>-1.2404924844849992</v>
      </c>
    </row>
    <row r="27" spans="1:8" x14ac:dyDescent="0.3">
      <c r="A27" s="2">
        <v>2020</v>
      </c>
      <c r="B27" s="3">
        <v>2</v>
      </c>
      <c r="C27" s="3">
        <v>92.710999999999999</v>
      </c>
      <c r="D27" s="3">
        <v>-9.4</v>
      </c>
      <c r="E27" s="3">
        <v>-0.41403947015134346</v>
      </c>
      <c r="F27" s="3">
        <v>100.712</v>
      </c>
      <c r="G27" s="3">
        <v>-0.4</v>
      </c>
      <c r="H27" s="3">
        <v>-1.1995497379063582</v>
      </c>
    </row>
    <row r="28" spans="1:8" x14ac:dyDescent="0.3">
      <c r="A28" s="2">
        <v>2020</v>
      </c>
      <c r="B28" s="3">
        <v>3</v>
      </c>
      <c r="C28" s="3">
        <v>90.393000000000001</v>
      </c>
      <c r="D28" s="3">
        <v>-16.100000000000001</v>
      </c>
      <c r="E28" s="3">
        <v>-0.37593186040136456</v>
      </c>
      <c r="F28" s="3">
        <v>94.126000000000005</v>
      </c>
      <c r="G28" s="3">
        <v>-12.1</v>
      </c>
      <c r="H28" s="3">
        <v>-1.1335662183197006</v>
      </c>
    </row>
    <row r="29" spans="1:8" x14ac:dyDescent="0.3">
      <c r="A29" s="2">
        <v>2020</v>
      </c>
      <c r="B29" s="3">
        <v>4</v>
      </c>
      <c r="C29" s="3">
        <v>65.546000000000006</v>
      </c>
      <c r="D29" s="3">
        <v>-36.1</v>
      </c>
      <c r="E29" s="3">
        <v>-0.30135089081801064</v>
      </c>
      <c r="F29" s="3">
        <v>65.991</v>
      </c>
      <c r="G29" s="3">
        <v>-34.1</v>
      </c>
      <c r="H29" s="3">
        <v>-1.0405471378369602</v>
      </c>
    </row>
    <row r="30" spans="1:8" x14ac:dyDescent="0.3">
      <c r="A30" s="2">
        <v>2020</v>
      </c>
      <c r="B30" s="3">
        <v>5</v>
      </c>
      <c r="C30" s="3">
        <v>78.073999999999998</v>
      </c>
      <c r="D30" s="3">
        <v>-26.9</v>
      </c>
      <c r="E30" s="3">
        <v>-0.19114087436810082</v>
      </c>
      <c r="F30" s="3">
        <v>80.028000000000006</v>
      </c>
      <c r="G30" s="3">
        <v>-28</v>
      </c>
      <c r="H30" s="3">
        <v>-0.91925926647157619</v>
      </c>
    </row>
    <row r="31" spans="1:8" x14ac:dyDescent="0.3">
      <c r="A31" s="2">
        <v>2020</v>
      </c>
      <c r="B31" s="3">
        <v>6</v>
      </c>
      <c r="C31" s="3">
        <v>92.617999999999995</v>
      </c>
      <c r="D31" s="3">
        <v>-8.8000000000000007</v>
      </c>
      <c r="E31" s="3">
        <v>-4.8632141317702826E-2</v>
      </c>
      <c r="F31" s="3">
        <v>92.984999999999999</v>
      </c>
      <c r="G31" s="3">
        <v>-10.1</v>
      </c>
      <c r="H31" s="3">
        <v>-0.77076516957463814</v>
      </c>
    </row>
    <row r="32" spans="1:8" x14ac:dyDescent="0.3">
      <c r="A32" s="2">
        <v>2020</v>
      </c>
      <c r="B32" s="3">
        <v>7</v>
      </c>
      <c r="C32" s="3">
        <v>92.734999999999999</v>
      </c>
      <c r="D32" s="3">
        <v>-6.8</v>
      </c>
      <c r="E32" s="3">
        <v>0.12099019618339113</v>
      </c>
      <c r="F32" s="3">
        <v>104.336</v>
      </c>
      <c r="G32" s="3">
        <v>-6.3</v>
      </c>
      <c r="H32" s="3">
        <v>-0.59800801949261917</v>
      </c>
    </row>
    <row r="33" spans="1:8" x14ac:dyDescent="0.3">
      <c r="A33" s="2">
        <v>2020</v>
      </c>
      <c r="B33" s="3">
        <v>8</v>
      </c>
      <c r="C33" s="3">
        <v>79.849999999999994</v>
      </c>
      <c r="D33" s="3">
        <v>-3.9</v>
      </c>
      <c r="E33" s="3">
        <v>0.31193329210631371</v>
      </c>
      <c r="F33" s="3">
        <v>78.512</v>
      </c>
      <c r="G33" s="3">
        <v>-5.9</v>
      </c>
      <c r="H33" s="3">
        <v>-0.40457885210188294</v>
      </c>
    </row>
    <row r="34" spans="1:8" x14ac:dyDescent="0.3">
      <c r="A34" s="2">
        <v>2020</v>
      </c>
      <c r="B34" s="3">
        <v>9</v>
      </c>
      <c r="C34" s="3">
        <v>101.366</v>
      </c>
      <c r="D34" s="3">
        <v>2.5</v>
      </c>
      <c r="E34" s="3">
        <v>0.51792367610301815</v>
      </c>
      <c r="F34" s="3">
        <v>102.714</v>
      </c>
      <c r="G34" s="3">
        <v>-0.6</v>
      </c>
      <c r="H34" s="3">
        <v>-0.19446467494410613</v>
      </c>
    </row>
    <row r="35" spans="1:8" x14ac:dyDescent="0.3">
      <c r="A35" s="2">
        <v>2020</v>
      </c>
      <c r="B35" s="3">
        <v>10</v>
      </c>
      <c r="C35" s="3">
        <v>101.56</v>
      </c>
      <c r="D35" s="3">
        <v>-5.6</v>
      </c>
      <c r="E35" s="3">
        <v>0.73239538245795033</v>
      </c>
      <c r="F35" s="3">
        <v>104.367</v>
      </c>
      <c r="G35" s="3">
        <v>-6.2</v>
      </c>
      <c r="H35" s="3">
        <v>2.7965877970430538E-2</v>
      </c>
    </row>
    <row r="36" spans="1:8" x14ac:dyDescent="0.3">
      <c r="A36" s="2">
        <v>2020</v>
      </c>
      <c r="B36" s="3">
        <v>11</v>
      </c>
      <c r="C36" s="3">
        <v>101.73699999999999</v>
      </c>
      <c r="D36" s="3">
        <v>1.4</v>
      </c>
      <c r="E36" s="3">
        <v>0.94892008964471575</v>
      </c>
      <c r="F36" s="3">
        <v>102.88200000000001</v>
      </c>
      <c r="G36" s="3">
        <v>-2.2000000000000002</v>
      </c>
      <c r="H36" s="3">
        <v>0.25831601045609515</v>
      </c>
    </row>
    <row r="37" spans="1:8" x14ac:dyDescent="0.3">
      <c r="A37" s="2">
        <v>2020</v>
      </c>
      <c r="B37" s="3">
        <v>12</v>
      </c>
      <c r="C37" s="3">
        <v>90.372</v>
      </c>
      <c r="D37" s="3">
        <v>9.6</v>
      </c>
      <c r="E37" s="3">
        <v>1.1606297264575824</v>
      </c>
      <c r="F37" s="3">
        <v>94.287999999999997</v>
      </c>
      <c r="G37" s="3">
        <v>2.2000000000000002</v>
      </c>
      <c r="H37" s="3">
        <v>0.49175642869684116</v>
      </c>
    </row>
    <row r="38" spans="1:8" x14ac:dyDescent="0.3">
      <c r="A38" s="2">
        <v>2021</v>
      </c>
      <c r="B38" s="3">
        <v>1</v>
      </c>
      <c r="C38" s="3">
        <v>95.141000000000005</v>
      </c>
      <c r="D38" s="3">
        <v>-3.1</v>
      </c>
      <c r="E38" s="3">
        <v>1.3606875466845931</v>
      </c>
      <c r="F38" s="3">
        <v>94.001000000000005</v>
      </c>
      <c r="G38" s="3">
        <v>-6</v>
      </c>
      <c r="H38" s="3">
        <v>0.72328712248700699</v>
      </c>
    </row>
    <row r="39" spans="1:8" x14ac:dyDescent="0.3">
      <c r="A39" s="2">
        <v>2021</v>
      </c>
      <c r="B39" s="3">
        <v>2</v>
      </c>
      <c r="C39" s="3">
        <v>103.322</v>
      </c>
      <c r="D39" s="3">
        <v>11.4</v>
      </c>
      <c r="E39" s="3">
        <v>1.5428428714938973</v>
      </c>
      <c r="F39" s="3">
        <v>97.350999999999999</v>
      </c>
      <c r="G39" s="3">
        <v>-3.3</v>
      </c>
      <c r="H39" s="3">
        <v>0.94802670964671587</v>
      </c>
    </row>
    <row r="40" spans="1:8" x14ac:dyDescent="0.3">
      <c r="A40" s="2">
        <v>2021</v>
      </c>
      <c r="B40" s="3">
        <v>3</v>
      </c>
      <c r="C40" s="3">
        <v>115.364</v>
      </c>
      <c r="D40" s="3">
        <v>27.6</v>
      </c>
      <c r="E40" s="3">
        <v>1.7005352520851247</v>
      </c>
      <c r="F40" s="3">
        <v>108.74299999999999</v>
      </c>
      <c r="G40" s="3">
        <v>15.5</v>
      </c>
      <c r="H40" s="3">
        <v>1.1606269130570295</v>
      </c>
    </row>
    <row r="41" spans="1:8" x14ac:dyDescent="0.3">
      <c r="A41" s="2">
        <v>2021</v>
      </c>
      <c r="B41" s="3">
        <v>4</v>
      </c>
      <c r="C41" s="3">
        <v>98.956999999999994</v>
      </c>
      <c r="D41" s="3">
        <v>51</v>
      </c>
      <c r="E41" s="3">
        <v>1.8278887644584958</v>
      </c>
      <c r="F41" s="3">
        <v>98.766999999999996</v>
      </c>
      <c r="G41" s="3">
        <v>49.7</v>
      </c>
      <c r="H41" s="3">
        <v>1.3554444537441728</v>
      </c>
    </row>
    <row r="42" spans="1:8" x14ac:dyDescent="0.3">
      <c r="A42" s="2">
        <v>2021</v>
      </c>
      <c r="B42" s="3">
        <v>5</v>
      </c>
      <c r="C42" s="3">
        <v>103.527</v>
      </c>
      <c r="D42" s="3">
        <v>32.6</v>
      </c>
      <c r="E42" s="3">
        <v>1.9208260585550585</v>
      </c>
      <c r="F42" s="3">
        <v>101.986</v>
      </c>
      <c r="G42" s="3">
        <v>27.4</v>
      </c>
      <c r="H42" s="3">
        <v>1.5278318425320754</v>
      </c>
    </row>
    <row r="43" spans="1:8" x14ac:dyDescent="0.3">
      <c r="A43" s="2">
        <v>2021</v>
      </c>
      <c r="B43" s="3">
        <v>6</v>
      </c>
      <c r="C43" s="3">
        <v>99.465000000000003</v>
      </c>
      <c r="D43" s="3">
        <v>7.4</v>
      </c>
      <c r="E43" s="3">
        <v>1.9786845142627736</v>
      </c>
      <c r="F43" s="3">
        <v>102.828</v>
      </c>
      <c r="G43" s="3">
        <v>10.6</v>
      </c>
      <c r="H43" s="3">
        <v>1.67649885104649</v>
      </c>
    </row>
    <row r="44" spans="1:8" x14ac:dyDescent="0.3">
      <c r="A44" s="2">
        <v>2021</v>
      </c>
      <c r="B44" s="3">
        <v>7</v>
      </c>
      <c r="C44" s="3">
        <v>96.555999999999997</v>
      </c>
      <c r="D44" s="3">
        <v>4.0999999999999996</v>
      </c>
      <c r="E44" s="3">
        <v>2.0029320096599799</v>
      </c>
      <c r="F44" s="3">
        <v>104.337</v>
      </c>
      <c r="G44" s="3">
        <v>0</v>
      </c>
      <c r="H44" s="3">
        <v>1.8019519292574382</v>
      </c>
    </row>
    <row r="45" spans="1:8" x14ac:dyDescent="0.3">
      <c r="A45" s="2">
        <v>2021</v>
      </c>
      <c r="B45" s="3">
        <v>8</v>
      </c>
      <c r="C45" s="3">
        <v>89.789000000000001</v>
      </c>
      <c r="D45" s="3">
        <v>12.4</v>
      </c>
      <c r="E45" s="3">
        <v>1.9954129030670817</v>
      </c>
      <c r="F45" s="3">
        <v>81.132000000000005</v>
      </c>
      <c r="G45" s="3">
        <v>3.3</v>
      </c>
      <c r="H45" s="3">
        <v>1.9053172147147304</v>
      </c>
    </row>
    <row r="46" spans="1:8" x14ac:dyDescent="0.3">
      <c r="A46" s="2">
        <v>2021</v>
      </c>
      <c r="B46" s="3">
        <v>9</v>
      </c>
      <c r="C46" s="3">
        <v>103.682</v>
      </c>
      <c r="D46" s="3">
        <v>2.2999999999999998</v>
      </c>
      <c r="E46" s="3">
        <v>1.9581171825260355</v>
      </c>
      <c r="F46" s="3">
        <v>103.907</v>
      </c>
      <c r="G46" s="3">
        <v>1.2</v>
      </c>
      <c r="H46" s="3">
        <v>1.9875957094175343</v>
      </c>
    </row>
    <row r="47" spans="1:8" x14ac:dyDescent="0.3">
      <c r="A47" s="2">
        <v>2021</v>
      </c>
      <c r="B47" s="3">
        <v>10</v>
      </c>
      <c r="C47" s="3">
        <v>96.569000000000003</v>
      </c>
      <c r="D47" s="3">
        <v>-4.9000000000000004</v>
      </c>
      <c r="E47" s="3">
        <v>1.8937573768494174</v>
      </c>
      <c r="F47" s="3">
        <v>101.15</v>
      </c>
      <c r="G47" s="3">
        <v>-3.1</v>
      </c>
      <c r="H47" s="3">
        <v>2.0498852683362179</v>
      </c>
    </row>
    <row r="48" spans="1:8" x14ac:dyDescent="0.3">
      <c r="A48" s="2">
        <v>2021</v>
      </c>
      <c r="B48" s="3">
        <v>11</v>
      </c>
      <c r="C48" s="3">
        <v>101.542</v>
      </c>
      <c r="D48" s="3">
        <v>-0.2</v>
      </c>
      <c r="E48" s="3">
        <v>1.8050697567121281</v>
      </c>
      <c r="F48" s="3">
        <v>108.292</v>
      </c>
      <c r="G48" s="3">
        <v>5.3</v>
      </c>
      <c r="H48" s="3">
        <v>2.0932290522946619</v>
      </c>
    </row>
    <row r="49" spans="1:8" x14ac:dyDescent="0.3">
      <c r="A49" s="2">
        <v>2021</v>
      </c>
      <c r="B49" s="3">
        <v>12</v>
      </c>
      <c r="C49" s="3">
        <v>96.085999999999999</v>
      </c>
      <c r="D49" s="3">
        <v>6.3</v>
      </c>
      <c r="E49" s="3">
        <v>1.6943188040823431</v>
      </c>
      <c r="F49" s="3">
        <v>97.507000000000005</v>
      </c>
      <c r="G49" s="3">
        <v>3.4</v>
      </c>
      <c r="H49" s="3">
        <v>2.1183125911953349</v>
      </c>
    </row>
    <row r="50" spans="1:8" x14ac:dyDescent="0.3">
      <c r="A50" s="2">
        <v>2022</v>
      </c>
      <c r="B50" s="3">
        <v>1</v>
      </c>
      <c r="C50" s="3">
        <v>96.74</v>
      </c>
      <c r="D50" s="3">
        <v>1.7</v>
      </c>
      <c r="E50" s="3">
        <v>1.5636297599729103</v>
      </c>
      <c r="F50" s="3">
        <v>97.091999999999999</v>
      </c>
      <c r="G50" s="3">
        <v>3.3</v>
      </c>
      <c r="H50" s="3">
        <v>2.1260441073676288</v>
      </c>
    </row>
    <row r="51" spans="1:8" x14ac:dyDescent="0.3">
      <c r="A51" s="2">
        <v>2022</v>
      </c>
      <c r="B51" s="3">
        <v>2</v>
      </c>
      <c r="C51" s="3">
        <v>101.47499999999999</v>
      </c>
      <c r="D51" s="3">
        <v>-1.8</v>
      </c>
      <c r="E51" s="3">
        <v>1.4154477043686162</v>
      </c>
      <c r="F51" s="3">
        <v>100.96899999999999</v>
      </c>
      <c r="G51" s="3">
        <v>3.7</v>
      </c>
      <c r="H51" s="3">
        <v>2.117420829210992</v>
      </c>
    </row>
    <row r="52" spans="1:8" x14ac:dyDescent="0.3">
      <c r="A52" s="2">
        <v>2022</v>
      </c>
      <c r="B52" s="3">
        <v>3</v>
      </c>
      <c r="C52" s="3">
        <v>106.86799999999999</v>
      </c>
      <c r="D52" s="3">
        <v>-7.4</v>
      </c>
      <c r="E52" s="3">
        <v>1.2522271874098043</v>
      </c>
      <c r="F52" s="3">
        <v>108.60599999999999</v>
      </c>
      <c r="G52" s="3">
        <v>-0.1</v>
      </c>
      <c r="H52" s="3">
        <v>2.0935215098396376</v>
      </c>
    </row>
    <row r="53" spans="1:8" x14ac:dyDescent="0.3">
      <c r="A53" s="2">
        <v>2022</v>
      </c>
      <c r="B53" s="3">
        <v>4</v>
      </c>
      <c r="C53" s="3">
        <v>101.012</v>
      </c>
      <c r="D53" s="3">
        <v>2.1</v>
      </c>
      <c r="E53" s="3">
        <v>1.0761994642573482</v>
      </c>
      <c r="F53" s="3">
        <v>98.575999999999993</v>
      </c>
      <c r="G53" s="3">
        <v>-0.2</v>
      </c>
      <c r="H53" s="3">
        <v>2.0555348036990844</v>
      </c>
    </row>
    <row r="54" spans="1:8" x14ac:dyDescent="0.3">
      <c r="A54" s="2">
        <v>2022</v>
      </c>
      <c r="B54" s="3">
        <v>5</v>
      </c>
      <c r="C54" s="3">
        <v>111.10299999999999</v>
      </c>
      <c r="D54" s="3">
        <v>7.3</v>
      </c>
      <c r="E54" s="3">
        <v>0.88899494096188514</v>
      </c>
      <c r="F54" s="3">
        <v>109.33799999999999</v>
      </c>
      <c r="G54" s="3">
        <v>7.2</v>
      </c>
      <c r="H54" s="3">
        <v>2.0044970373522237</v>
      </c>
    </row>
    <row r="55" spans="1:8" x14ac:dyDescent="0.3">
      <c r="A55" s="2">
        <v>2022</v>
      </c>
      <c r="B55" s="3">
        <v>6</v>
      </c>
      <c r="C55" s="3">
        <v>99.965000000000003</v>
      </c>
      <c r="D55" s="3">
        <v>0.5</v>
      </c>
      <c r="E55" s="3">
        <v>0.69231512083347868</v>
      </c>
      <c r="F55" s="3">
        <v>109.401</v>
      </c>
      <c r="G55" s="3">
        <v>6.4</v>
      </c>
      <c r="H55" s="3">
        <v>1.9412879030005787</v>
      </c>
    </row>
    <row r="56" spans="1:8" x14ac:dyDescent="0.3">
      <c r="A56" s="2">
        <v>2022</v>
      </c>
      <c r="B56" s="3">
        <v>7</v>
      </c>
      <c r="C56" s="3">
        <v>91.838999999999999</v>
      </c>
      <c r="D56" s="3">
        <v>-4.9000000000000004</v>
      </c>
      <c r="E56" s="3">
        <v>0.48830671586684798</v>
      </c>
      <c r="F56" s="3">
        <v>105.63200000000001</v>
      </c>
      <c r="G56" s="3">
        <v>1.2</v>
      </c>
      <c r="H56" s="3">
        <v>1.8671478916625233</v>
      </c>
    </row>
    <row r="57" spans="1:8" x14ac:dyDescent="0.3">
      <c r="A57" s="2">
        <v>2022</v>
      </c>
      <c r="B57" s="3">
        <v>8</v>
      </c>
      <c r="C57" s="3">
        <v>87.006</v>
      </c>
      <c r="D57" s="3">
        <v>-3.1</v>
      </c>
      <c r="E57" s="3">
        <v>0.27910308283998769</v>
      </c>
      <c r="F57" s="3">
        <v>85.445999999999998</v>
      </c>
      <c r="G57" s="3">
        <v>5.3</v>
      </c>
      <c r="H57" s="3">
        <v>1.7836271271409454</v>
      </c>
    </row>
    <row r="58" spans="1:8" x14ac:dyDescent="0.3">
      <c r="A58" s="2">
        <v>2022</v>
      </c>
      <c r="B58" s="3">
        <v>9</v>
      </c>
      <c r="C58" s="3">
        <v>98.84</v>
      </c>
      <c r="D58" s="3">
        <v>-4.7</v>
      </c>
      <c r="E58" s="3">
        <v>6.6463390564512836E-2</v>
      </c>
      <c r="F58" s="3">
        <v>107.93899999999999</v>
      </c>
      <c r="G58" s="3">
        <v>3.9</v>
      </c>
      <c r="H58" s="3">
        <v>1.6922294035240344</v>
      </c>
    </row>
    <row r="59" spans="1:8" x14ac:dyDescent="0.3">
      <c r="A59" s="2">
        <v>2022</v>
      </c>
      <c r="B59" s="3">
        <v>10</v>
      </c>
      <c r="C59" s="3">
        <v>105.479</v>
      </c>
      <c r="D59" s="3">
        <v>9.1999999999999993</v>
      </c>
      <c r="E59" s="3">
        <v>-0.14808785208426994</v>
      </c>
      <c r="F59" s="3">
        <v>103.184</v>
      </c>
      <c r="G59" s="3">
        <v>2</v>
      </c>
      <c r="H59" s="3">
        <v>1.5947027074605942</v>
      </c>
    </row>
    <row r="60" spans="1:8" x14ac:dyDescent="0.3">
      <c r="A60" s="2">
        <v>2022</v>
      </c>
      <c r="B60" s="3">
        <v>11</v>
      </c>
      <c r="C60" s="3">
        <v>101.43899999999999</v>
      </c>
      <c r="D60" s="3">
        <v>-0.1</v>
      </c>
      <c r="E60" s="3">
        <v>-0.36335714063317653</v>
      </c>
      <c r="F60" s="3">
        <v>107.259</v>
      </c>
      <c r="G60" s="3">
        <v>-1</v>
      </c>
      <c r="H60" s="3">
        <v>1.4929483430019621</v>
      </c>
    </row>
    <row r="61" spans="1:8" x14ac:dyDescent="0.3">
      <c r="A61" s="2">
        <v>2022</v>
      </c>
      <c r="B61" s="3">
        <v>12</v>
      </c>
      <c r="C61" s="3">
        <v>88.251999999999995</v>
      </c>
      <c r="D61" s="3">
        <v>-8.1999999999999993</v>
      </c>
      <c r="E61" s="3">
        <v>-0.5775017978415169</v>
      </c>
      <c r="F61" s="3">
        <v>93.632999999999996</v>
      </c>
      <c r="G61" s="3">
        <v>-4</v>
      </c>
      <c r="H61" s="3">
        <v>1.3888957598447906</v>
      </c>
    </row>
    <row r="62" spans="1:8" x14ac:dyDescent="0.3">
      <c r="A62" s="2">
        <v>2023</v>
      </c>
      <c r="B62" s="3">
        <v>1</v>
      </c>
      <c r="C62" s="3">
        <v>97.887</v>
      </c>
      <c r="D62" s="3">
        <v>1.2</v>
      </c>
      <c r="E62" s="3">
        <v>-0.78866085777827921</v>
      </c>
      <c r="F62" s="3">
        <v>97.873999999999995</v>
      </c>
      <c r="G62" s="3">
        <v>0.8</v>
      </c>
      <c r="H62" s="3">
        <v>1.2843012862730234</v>
      </c>
    </row>
    <row r="63" spans="1:8" x14ac:dyDescent="0.3">
      <c r="A63" s="2">
        <v>2023</v>
      </c>
      <c r="B63" s="3">
        <v>2</v>
      </c>
      <c r="C63" s="3">
        <v>99.213999999999999</v>
      </c>
      <c r="D63" s="3">
        <v>-2.2000000000000002</v>
      </c>
      <c r="E63" s="3">
        <v>-0.99550269466537933</v>
      </c>
      <c r="F63" s="3">
        <v>99.947000000000003</v>
      </c>
      <c r="G63" s="3">
        <v>-1</v>
      </c>
      <c r="H63" s="3">
        <v>1.1805470216983929</v>
      </c>
    </row>
    <row r="64" spans="1:8" x14ac:dyDescent="0.3">
      <c r="A64" s="2">
        <v>2023</v>
      </c>
      <c r="B64" s="3">
        <v>3</v>
      </c>
      <c r="C64" s="3">
        <v>114.29600000000001</v>
      </c>
      <c r="D64" s="3">
        <v>7</v>
      </c>
      <c r="E64" s="3">
        <v>-1.1965575812762763</v>
      </c>
      <c r="F64" s="3">
        <v>113.733</v>
      </c>
      <c r="G64" s="3">
        <v>4.7</v>
      </c>
      <c r="H64" s="3">
        <v>1.0789814334988626</v>
      </c>
    </row>
    <row r="65" spans="1:8" x14ac:dyDescent="0.3">
      <c r="A65" s="2">
        <v>2023</v>
      </c>
      <c r="B65" s="3">
        <v>4</v>
      </c>
      <c r="C65" s="3">
        <v>93.213999999999999</v>
      </c>
      <c r="D65" s="3">
        <v>-7.7</v>
      </c>
      <c r="E65" s="3">
        <v>-1.3904394360306331</v>
      </c>
      <c r="F65" s="3">
        <v>93.271000000000001</v>
      </c>
      <c r="G65" s="3">
        <v>-5.4</v>
      </c>
      <c r="H65" s="3">
        <v>0.98080156217588921</v>
      </c>
    </row>
    <row r="66" spans="1:8" x14ac:dyDescent="0.3">
      <c r="A66" s="2">
        <v>2023</v>
      </c>
      <c r="B66" s="3">
        <v>5</v>
      </c>
      <c r="C66" s="3">
        <v>104.92100000000001</v>
      </c>
      <c r="D66" s="3">
        <v>-5.6</v>
      </c>
      <c r="E66" s="3">
        <v>-1.5751929719605242</v>
      </c>
      <c r="F66" s="3">
        <v>108.291</v>
      </c>
      <c r="G66" s="3">
        <v>-1</v>
      </c>
      <c r="H66" s="3">
        <v>0.88745590785360329</v>
      </c>
    </row>
    <row r="67" spans="1:8" x14ac:dyDescent="0.3">
      <c r="A67" s="2">
        <v>2023</v>
      </c>
      <c r="B67" s="3">
        <v>6</v>
      </c>
      <c r="C67" s="3">
        <v>99.286000000000001</v>
      </c>
      <c r="D67" s="3">
        <v>-0.7</v>
      </c>
      <c r="E67" s="3">
        <v>-1.7493010660260775</v>
      </c>
      <c r="F67" s="3">
        <v>106.84</v>
      </c>
      <c r="G67" s="3">
        <v>-2.2999999999999998</v>
      </c>
      <c r="H67" s="3">
        <v>0.79994985943653985</v>
      </c>
    </row>
    <row r="68" spans="1:8" x14ac:dyDescent="0.3">
      <c r="A68" s="2">
        <v>2023</v>
      </c>
      <c r="B68" s="3">
        <v>7</v>
      </c>
      <c r="C68" s="3">
        <v>86.01</v>
      </c>
      <c r="D68" s="3">
        <v>-6.3</v>
      </c>
      <c r="E68" s="3">
        <v>-1.9115260956754789</v>
      </c>
      <c r="F68" s="3">
        <v>103.068</v>
      </c>
      <c r="G68" s="3">
        <v>-2.4</v>
      </c>
      <c r="H68" s="3">
        <v>0.71915773250229953</v>
      </c>
    </row>
    <row r="69" spans="1:8" x14ac:dyDescent="0.3">
      <c r="A69" s="2">
        <v>2023</v>
      </c>
      <c r="B69" s="3">
        <v>8</v>
      </c>
      <c r="C69" s="3">
        <v>80.793999999999997</v>
      </c>
      <c r="D69" s="3">
        <v>-7.1</v>
      </c>
      <c r="E69" s="3">
        <v>-2.0605575702273291</v>
      </c>
      <c r="F69" s="3">
        <v>81.578999999999994</v>
      </c>
      <c r="G69" s="3">
        <v>-4.5</v>
      </c>
      <c r="H69" s="3">
        <v>0.64573856833268861</v>
      </c>
    </row>
    <row r="70" spans="1:8" x14ac:dyDescent="0.3">
      <c r="A70" s="2">
        <v>2023</v>
      </c>
      <c r="B70" s="3">
        <v>9</v>
      </c>
      <c r="C70" s="3">
        <v>92.781000000000006</v>
      </c>
      <c r="D70" s="3">
        <v>-6.1</v>
      </c>
      <c r="E70" s="3">
        <v>-2.1953897541324734</v>
      </c>
      <c r="F70" s="3">
        <v>102.76300000000001</v>
      </c>
      <c r="G70" s="3">
        <v>-4.8</v>
      </c>
      <c r="H70" s="3">
        <v>0.58013480003364526</v>
      </c>
    </row>
    <row r="71" spans="1:8" x14ac:dyDescent="0.3">
      <c r="A71" s="2">
        <v>2023</v>
      </c>
      <c r="B71" s="3">
        <v>10</v>
      </c>
      <c r="C71" s="3">
        <v>97.543000000000006</v>
      </c>
      <c r="D71" s="3">
        <v>-7.5</v>
      </c>
      <c r="E71" s="3">
        <v>-2.3153668731216026</v>
      </c>
      <c r="F71" s="3">
        <v>103.78</v>
      </c>
      <c r="G71" s="3">
        <v>0.6</v>
      </c>
      <c r="H71" s="3">
        <v>0.52243151775497332</v>
      </c>
    </row>
    <row r="72" spans="1:8" x14ac:dyDescent="0.3">
      <c r="A72" s="2">
        <v>2023</v>
      </c>
      <c r="B72" s="3">
        <v>11</v>
      </c>
      <c r="C72" s="3">
        <v>99.405000000000001</v>
      </c>
      <c r="D72" s="3">
        <v>-2</v>
      </c>
      <c r="E72" s="3">
        <v>-2.4201043064147036</v>
      </c>
      <c r="F72" s="3">
        <v>107.63200000000001</v>
      </c>
      <c r="G72" s="3">
        <v>0.3</v>
      </c>
      <c r="H72" s="3">
        <v>0.47234019117425213</v>
      </c>
    </row>
    <row r="73" spans="1:8" x14ac:dyDescent="0.3">
      <c r="A73" s="2">
        <v>2023</v>
      </c>
      <c r="B73" s="3">
        <v>12</v>
      </c>
      <c r="C73" s="3">
        <v>83.063000000000002</v>
      </c>
      <c r="D73" s="3">
        <v>-5.9</v>
      </c>
      <c r="E73" s="3">
        <v>-2.5095774771989077</v>
      </c>
      <c r="F73" s="3">
        <v>89.019000000000005</v>
      </c>
      <c r="G73" s="3">
        <v>-4.9000000000000004</v>
      </c>
      <c r="H73" s="3">
        <v>0.42957767666921687</v>
      </c>
    </row>
    <row r="74" spans="1:8" x14ac:dyDescent="0.3">
      <c r="A74" s="2">
        <v>2024</v>
      </c>
      <c r="B74" s="3">
        <v>1</v>
      </c>
      <c r="C74" s="3">
        <v>100.46899999999999</v>
      </c>
      <c r="D74" s="3">
        <v>2.6</v>
      </c>
      <c r="E74" s="3">
        <v>-2.5837326347511782</v>
      </c>
      <c r="F74" s="3">
        <v>101.649</v>
      </c>
      <c r="G74" s="3">
        <v>3.9</v>
      </c>
      <c r="H74" s="3">
        <v>0.39384886254877122</v>
      </c>
    </row>
    <row r="75" spans="1:8" x14ac:dyDescent="0.3">
      <c r="A75" s="2">
        <v>2024</v>
      </c>
      <c r="B75" s="3">
        <v>2</v>
      </c>
      <c r="C75" s="3">
        <v>97.408000000000001</v>
      </c>
      <c r="D75" s="3">
        <v>-1.8</v>
      </c>
      <c r="E75" s="3">
        <v>-2.6427514743570066</v>
      </c>
      <c r="F75" s="3">
        <v>104.175</v>
      </c>
      <c r="G75" s="3">
        <v>4.2</v>
      </c>
      <c r="H75" s="3">
        <v>0.36448852756093897</v>
      </c>
    </row>
    <row r="76" spans="1:8" x14ac:dyDescent="0.3">
      <c r="A76" s="2">
        <v>2024</v>
      </c>
      <c r="B76" s="3">
        <v>3</v>
      </c>
      <c r="C76" s="3">
        <v>93.507999999999996</v>
      </c>
      <c r="D76" s="3">
        <v>-18.2</v>
      </c>
      <c r="E76" s="3">
        <v>-2.6864557098689148</v>
      </c>
      <c r="F76" s="3">
        <v>99.971999999999994</v>
      </c>
      <c r="G76" s="3">
        <v>-12.1</v>
      </c>
      <c r="H76" s="3">
        <v>0.34107493317162252</v>
      </c>
    </row>
    <row r="77" spans="1:8" x14ac:dyDescent="0.3">
      <c r="A77" s="2">
        <v>2024</v>
      </c>
      <c r="B77" s="3">
        <v>4</v>
      </c>
      <c r="C77" s="3">
        <v>94.86</v>
      </c>
      <c r="D77" s="3">
        <v>1.8</v>
      </c>
      <c r="E77" s="3">
        <v>-2.7146085307314833</v>
      </c>
      <c r="F77" s="3">
        <v>104.405</v>
      </c>
      <c r="G77" s="3">
        <v>11.9</v>
      </c>
      <c r="H77" s="3">
        <v>0.32345269581008801</v>
      </c>
    </row>
    <row r="78" spans="1:8" x14ac:dyDescent="0.3">
      <c r="A78" s="2">
        <v>2024</v>
      </c>
      <c r="B78" s="3">
        <v>5</v>
      </c>
      <c r="C78" s="3">
        <v>94.927000000000007</v>
      </c>
      <c r="D78" s="3">
        <v>-9.5</v>
      </c>
      <c r="E78" s="3">
        <v>-2.7280504558538854</v>
      </c>
      <c r="F78" s="3">
        <v>108.032</v>
      </c>
      <c r="G78" s="3">
        <v>-0.2</v>
      </c>
      <c r="H78" s="3">
        <v>0.3106024683685758</v>
      </c>
    </row>
    <row r="79" spans="1:8" x14ac:dyDescent="0.3">
      <c r="A79" s="2">
        <v>2024</v>
      </c>
      <c r="B79" s="3">
        <v>6</v>
      </c>
      <c r="C79" s="3">
        <v>90.361000000000004</v>
      </c>
      <c r="D79" s="3">
        <v>-9</v>
      </c>
      <c r="E79" s="3">
        <v>-2.7273084896639928</v>
      </c>
      <c r="F79" s="3">
        <v>102.129</v>
      </c>
      <c r="G79" s="3">
        <v>-4.4000000000000004</v>
      </c>
      <c r="H79" s="3">
        <v>0.3023088306354505</v>
      </c>
    </row>
    <row r="80" spans="1:8" x14ac:dyDescent="0.3">
      <c r="A80" s="2">
        <v>2024</v>
      </c>
      <c r="B80" s="3">
        <v>7</v>
      </c>
      <c r="C80" s="3">
        <v>92.370999999999995</v>
      </c>
      <c r="D80" s="3">
        <v>7.4</v>
      </c>
      <c r="E80" s="3">
        <v>-2.7133799108635759</v>
      </c>
      <c r="F80" s="3">
        <v>107.61499999999999</v>
      </c>
      <c r="G80" s="3">
        <v>4.4000000000000004</v>
      </c>
      <c r="H80" s="3">
        <v>0.29832090389432891</v>
      </c>
    </row>
    <row r="81" spans="1:8" x14ac:dyDescent="0.3">
      <c r="A81" s="2">
        <v>2024</v>
      </c>
      <c r="B81" s="3">
        <v>8</v>
      </c>
      <c r="C81" s="3">
        <v>76.234999999999999</v>
      </c>
      <c r="D81" s="3">
        <v>-5.6</v>
      </c>
      <c r="E81" s="3">
        <v>-2.6876976017315126</v>
      </c>
      <c r="F81" s="3">
        <v>78.448999999999998</v>
      </c>
      <c r="G81" s="3">
        <v>-3.8</v>
      </c>
      <c r="H81" s="3">
        <v>0.29806126020447815</v>
      </c>
    </row>
    <row r="82" spans="1:8" x14ac:dyDescent="0.3">
      <c r="A82" s="2">
        <v>2024</v>
      </c>
      <c r="B82" s="3">
        <v>9</v>
      </c>
      <c r="C82" s="3">
        <v>88.736000000000004</v>
      </c>
      <c r="D82" s="3">
        <v>-4.4000000000000004</v>
      </c>
      <c r="E82" s="3">
        <v>-2.6509921264973153</v>
      </c>
      <c r="F82" s="3">
        <v>102.926</v>
      </c>
      <c r="G82" s="3">
        <v>0.2</v>
      </c>
      <c r="H82" s="3">
        <v>0.30123731045128377</v>
      </c>
    </row>
    <row r="83" spans="1:8" x14ac:dyDescent="0.3">
      <c r="A83" s="2">
        <v>2024</v>
      </c>
      <c r="B83" s="3">
        <v>10</v>
      </c>
      <c r="C83" s="3">
        <v>100.473</v>
      </c>
      <c r="D83" s="3">
        <v>3</v>
      </c>
      <c r="E83" s="3">
        <v>-2.6041962926125981</v>
      </c>
      <c r="F83" s="3">
        <v>110.402</v>
      </c>
      <c r="G83" s="3">
        <v>6.4</v>
      </c>
      <c r="H83" s="3">
        <v>0.30727187793261718</v>
      </c>
    </row>
    <row r="84" spans="1:8" x14ac:dyDescent="0.3">
      <c r="A84" s="2">
        <v>2024</v>
      </c>
      <c r="B84" s="3">
        <v>11</v>
      </c>
      <c r="C84" s="3">
        <v>89.28</v>
      </c>
      <c r="D84" s="3">
        <v>-10.199999999999999</v>
      </c>
      <c r="E84" s="3">
        <v>-2.5483643664090789</v>
      </c>
      <c r="F84" s="3">
        <v>103.86799999999999</v>
      </c>
      <c r="G84" s="3">
        <v>-3.5</v>
      </c>
      <c r="H84" s="3">
        <v>0.31558075557756837</v>
      </c>
    </row>
    <row r="85" spans="1:8" x14ac:dyDescent="0.3">
      <c r="A85" s="2">
        <v>2024</v>
      </c>
      <c r="B85" s="3">
        <v>12</v>
      </c>
      <c r="C85" s="3">
        <v>85.39</v>
      </c>
      <c r="D85" s="3">
        <v>2.8</v>
      </c>
      <c r="E85" s="3">
        <v>-2.4841614339203781</v>
      </c>
      <c r="F85" s="3">
        <v>92.81</v>
      </c>
      <c r="G85" s="3">
        <v>4.3</v>
      </c>
      <c r="H85" s="3">
        <v>0.32600284243481537</v>
      </c>
    </row>
    <row r="86" spans="1:8" x14ac:dyDescent="0.3">
      <c r="A86" s="2">
        <v>2025</v>
      </c>
      <c r="B86" s="3">
        <v>1</v>
      </c>
      <c r="C86" s="3">
        <v>89.314999999999998</v>
      </c>
      <c r="D86" s="3">
        <v>-11.1</v>
      </c>
      <c r="E86" s="3">
        <v>-2.4127839447657822</v>
      </c>
      <c r="F86" s="3">
        <v>100.252</v>
      </c>
      <c r="G86" s="3">
        <v>-1.4</v>
      </c>
      <c r="H86" s="3">
        <v>0.33811206666723226</v>
      </c>
    </row>
    <row r="87" spans="1:8" x14ac:dyDescent="0.3">
      <c r="A87" s="2">
        <v>2025</v>
      </c>
      <c r="B87" s="3">
        <v>2</v>
      </c>
      <c r="C87" s="3">
        <v>89.200999999999993</v>
      </c>
      <c r="D87" s="3">
        <v>-8.4</v>
      </c>
      <c r="E87" s="3">
        <v>-2.3350613929094437</v>
      </c>
      <c r="F87" s="3">
        <v>101.758</v>
      </c>
      <c r="G87" s="3">
        <v>-2.2999999999999998</v>
      </c>
      <c r="H87" s="3">
        <v>0.35175832846252397</v>
      </c>
    </row>
    <row r="88" spans="1:8" x14ac:dyDescent="0.3">
      <c r="A88" s="2">
        <v>2025</v>
      </c>
      <c r="B88" s="3">
        <v>3</v>
      </c>
      <c r="C88" s="3">
        <v>105.72</v>
      </c>
      <c r="D88" s="3">
        <v>13.1</v>
      </c>
      <c r="E88" s="3">
        <v>-2.2524265512082406</v>
      </c>
      <c r="F88" s="3">
        <v>108.19499999999999</v>
      </c>
      <c r="G88" s="3">
        <v>8.1999999999999993</v>
      </c>
      <c r="H88" s="3">
        <v>0.36667082578154359</v>
      </c>
    </row>
    <row r="89" spans="1:8" x14ac:dyDescent="0.3">
      <c r="A89" s="2">
        <v>2025</v>
      </c>
      <c r="B89" s="3">
        <v>4</v>
      </c>
      <c r="C89" s="3">
        <v>89.597999999999999</v>
      </c>
      <c r="D89" s="3">
        <v>-5.5</v>
      </c>
      <c r="E89" s="3">
        <v>-2.1667333688112098</v>
      </c>
      <c r="F89" s="3">
        <v>98.441999999999993</v>
      </c>
      <c r="G89" s="3">
        <v>-5.7</v>
      </c>
      <c r="H89" s="3">
        <v>0.38239460670122316</v>
      </c>
    </row>
    <row r="90" spans="1:8" x14ac:dyDescent="0.3">
      <c r="A90" s="2">
        <v>2025</v>
      </c>
      <c r="B90" s="3">
        <v>5</v>
      </c>
      <c r="C90" s="3">
        <v>97.828000000000003</v>
      </c>
      <c r="D90" s="3">
        <v>3.1</v>
      </c>
      <c r="E90" s="3">
        <v>-2.0787696541346659</v>
      </c>
      <c r="F90" s="3">
        <v>106.92700000000001</v>
      </c>
      <c r="G90" s="3">
        <v>-1</v>
      </c>
      <c r="H90" s="3">
        <v>0.3990187004911489</v>
      </c>
    </row>
    <row r="91" spans="1:8" x14ac:dyDescent="0.3">
      <c r="A91" s="2">
        <v>2025</v>
      </c>
      <c r="B91" s="3">
        <v>6</v>
      </c>
      <c r="C91" s="3">
        <v>93.444999999999993</v>
      </c>
      <c r="D91" s="3">
        <v>3.4</v>
      </c>
      <c r="E91" s="3">
        <v>-1.9895546924443117</v>
      </c>
      <c r="F91" s="3">
        <v>106.82599999999999</v>
      </c>
      <c r="G91" s="3">
        <v>4.5999999999999996</v>
      </c>
      <c r="H91" s="3">
        <v>0.41620974790655285</v>
      </c>
    </row>
    <row r="92" spans="1:8" x14ac:dyDescent="0.3">
      <c r="A92" s="2">
        <v>2025</v>
      </c>
      <c r="B92" s="3">
        <v>7</v>
      </c>
      <c r="C92" s="3">
        <v>90.302000000000007</v>
      </c>
      <c r="D92" s="3">
        <v>-2.2000000000000002</v>
      </c>
      <c r="E92" s="3">
        <v>-1.8997481322243133</v>
      </c>
      <c r="F92" s="3">
        <v>110.34399999999999</v>
      </c>
      <c r="G92" s="3">
        <v>2.5</v>
      </c>
      <c r="H92" s="3">
        <v>0.43353723562624408</v>
      </c>
    </row>
    <row r="93" spans="1:8" x14ac:dyDescent="0.3">
      <c r="A93" s="2">
        <v>2025</v>
      </c>
      <c r="B93" s="3">
        <v>8</v>
      </c>
      <c r="C93" s="3">
        <v>78.224999999999994</v>
      </c>
      <c r="D93" s="3">
        <v>2.6</v>
      </c>
      <c r="E93" s="3">
        <v>-1.8096353473274172</v>
      </c>
      <c r="F93" s="3">
        <v>78.769000000000005</v>
      </c>
      <c r="G93" s="3">
        <v>0.4</v>
      </c>
      <c r="H93" s="3">
        <v>0.4508611913187604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85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140625" style="2" bestFit="1" customWidth="1"/>
    <col min="7" max="7" width="18.42578125" style="2" bestFit="1" customWidth="1"/>
    <col min="8" max="8" width="18.14062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</row>
    <row r="2" spans="1:8" x14ac:dyDescent="0.3">
      <c r="A2" s="2">
        <v>2018</v>
      </c>
      <c r="B2" s="3">
        <v>1</v>
      </c>
      <c r="C2" s="3">
        <v>1401</v>
      </c>
      <c r="D2" s="3">
        <v>32.92220113851991</v>
      </c>
      <c r="E2" s="3">
        <v>5.1334343227390775</v>
      </c>
      <c r="F2" s="3">
        <v>139862</v>
      </c>
      <c r="G2" s="3">
        <v>18.468888173609589</v>
      </c>
      <c r="H2" s="3">
        <v>-3.7840390450399792</v>
      </c>
    </row>
    <row r="3" spans="1:8" x14ac:dyDescent="0.3">
      <c r="A3" s="1">
        <v>2018</v>
      </c>
      <c r="B3" s="3">
        <v>2</v>
      </c>
      <c r="C3" s="3">
        <v>1276</v>
      </c>
      <c r="D3" s="3">
        <v>9.7162510748065358</v>
      </c>
      <c r="E3" s="3">
        <v>5.7664861213431369</v>
      </c>
      <c r="F3" s="3">
        <v>148344</v>
      </c>
      <c r="G3" s="3">
        <v>12.115120093111841</v>
      </c>
      <c r="H3" s="3">
        <v>-3.3971382730487378</v>
      </c>
    </row>
    <row r="4" spans="1:8" x14ac:dyDescent="0.3">
      <c r="A4" s="1">
        <v>2018</v>
      </c>
      <c r="B4" s="3">
        <v>3</v>
      </c>
      <c r="C4" s="3">
        <v>1392</v>
      </c>
      <c r="D4" s="3">
        <v>6.9946195234435127</v>
      </c>
      <c r="E4" s="3">
        <v>6.5210406040889106</v>
      </c>
      <c r="F4" s="3">
        <v>170571</v>
      </c>
      <c r="G4" s="3">
        <v>-0.73096777572790872</v>
      </c>
      <c r="H4" s="3">
        <v>-3.0086921588895348</v>
      </c>
    </row>
    <row r="5" spans="1:8" x14ac:dyDescent="0.3">
      <c r="A5" s="1">
        <v>2018</v>
      </c>
      <c r="B5" s="3">
        <v>4</v>
      </c>
      <c r="C5" s="3">
        <v>1342</v>
      </c>
      <c r="D5" s="3">
        <v>21.447963800904969</v>
      </c>
      <c r="E5" s="3">
        <v>7.4046561788041592</v>
      </c>
      <c r="F5" s="3">
        <v>160402</v>
      </c>
      <c r="G5" s="3">
        <v>13.816788476548636</v>
      </c>
      <c r="H5" s="3">
        <v>-2.6160781202300911</v>
      </c>
    </row>
    <row r="6" spans="1:8" x14ac:dyDescent="0.3">
      <c r="A6" s="1">
        <v>2018</v>
      </c>
      <c r="B6" s="3">
        <v>5</v>
      </c>
      <c r="C6" s="3">
        <v>1532</v>
      </c>
      <c r="D6" s="3">
        <v>16.946564885496173</v>
      </c>
      <c r="E6" s="3">
        <v>8.4249241407416005</v>
      </c>
      <c r="F6" s="3">
        <v>185130</v>
      </c>
      <c r="G6" s="3">
        <v>5.7613756462623789</v>
      </c>
      <c r="H6" s="3">
        <v>-2.2165153994337419</v>
      </c>
    </row>
    <row r="7" spans="1:8" x14ac:dyDescent="0.3">
      <c r="A7" s="1">
        <v>2018</v>
      </c>
      <c r="B7" s="3">
        <v>6</v>
      </c>
      <c r="C7" s="3">
        <v>1583</v>
      </c>
      <c r="D7" s="3">
        <v>4.5574636723910267</v>
      </c>
      <c r="E7" s="3">
        <v>9.5904110148499324</v>
      </c>
      <c r="F7" s="3">
        <v>192680</v>
      </c>
      <c r="G7" s="3">
        <v>5.0548228276693141</v>
      </c>
      <c r="H7" s="3">
        <v>-1.8060820675723788</v>
      </c>
    </row>
    <row r="8" spans="1:8" x14ac:dyDescent="0.3">
      <c r="A8" s="1">
        <v>2018</v>
      </c>
      <c r="B8" s="3">
        <v>7</v>
      </c>
      <c r="C8" s="3">
        <v>1758</v>
      </c>
      <c r="D8" s="3">
        <v>27.668845315904143</v>
      </c>
      <c r="E8" s="3">
        <v>10.910275106685129</v>
      </c>
      <c r="F8" s="3">
        <v>179715</v>
      </c>
      <c r="G8" s="3">
        <v>12.922481448202628</v>
      </c>
      <c r="H8" s="3">
        <v>-1.3803021755063873</v>
      </c>
    </row>
    <row r="9" spans="1:8" x14ac:dyDescent="0.3">
      <c r="A9" s="1">
        <v>2018</v>
      </c>
      <c r="B9" s="3">
        <v>8</v>
      </c>
      <c r="C9" s="3">
        <v>1828</v>
      </c>
      <c r="D9" s="3">
        <v>52.715121136173757</v>
      </c>
      <c r="E9" s="3">
        <v>12.393325211571048</v>
      </c>
      <c r="F9" s="3">
        <v>145720</v>
      </c>
      <c r="G9" s="3">
        <v>33.931361555853748</v>
      </c>
      <c r="H9" s="3">
        <v>-0.93422332236731676</v>
      </c>
    </row>
    <row r="10" spans="1:8" x14ac:dyDescent="0.3">
      <c r="A10" s="1">
        <v>2018</v>
      </c>
      <c r="B10" s="3">
        <v>9</v>
      </c>
      <c r="C10" s="3">
        <v>1313</v>
      </c>
      <c r="D10" s="3">
        <v>-2.4517087667161985</v>
      </c>
      <c r="E10" s="3">
        <v>14.049533914429409</v>
      </c>
      <c r="F10" s="3">
        <v>108053</v>
      </c>
      <c r="G10" s="3">
        <v>-13.889641542213226</v>
      </c>
      <c r="H10" s="3">
        <v>-0.4618998584239587</v>
      </c>
    </row>
    <row r="11" spans="1:8" x14ac:dyDescent="0.3">
      <c r="A11" s="1">
        <v>2018</v>
      </c>
      <c r="B11" s="3">
        <v>10</v>
      </c>
      <c r="C11" s="3">
        <v>1485</v>
      </c>
      <c r="D11" s="3">
        <v>7.2976878612716733</v>
      </c>
      <c r="E11" s="3">
        <v>15.891673924898917</v>
      </c>
      <c r="F11" s="3">
        <v>133651</v>
      </c>
      <c r="G11" s="3">
        <v>-5.5169488529921207</v>
      </c>
      <c r="H11" s="3">
        <v>4.5035087226994175E-2</v>
      </c>
    </row>
    <row r="12" spans="1:8" x14ac:dyDescent="0.3">
      <c r="A12" s="1">
        <v>2018</v>
      </c>
      <c r="B12" s="3">
        <v>11</v>
      </c>
      <c r="C12" s="3">
        <v>1488</v>
      </c>
      <c r="D12" s="3">
        <v>8.5339168490153217</v>
      </c>
      <c r="E12" s="3">
        <v>17.931372032987646</v>
      </c>
      <c r="F12" s="3">
        <v>130934</v>
      </c>
      <c r="G12" s="3">
        <v>-12.931240856496872</v>
      </c>
      <c r="H12" s="3">
        <v>0.5940159034274749</v>
      </c>
    </row>
    <row r="13" spans="1:8" x14ac:dyDescent="0.3">
      <c r="A13" s="1">
        <v>2018</v>
      </c>
      <c r="B13" s="3">
        <v>12</v>
      </c>
      <c r="C13" s="3">
        <v>1481</v>
      </c>
      <c r="D13" s="3">
        <v>7.3966642494561308</v>
      </c>
      <c r="E13" s="3">
        <v>20.179658224115915</v>
      </c>
      <c r="F13" s="3">
        <v>136494</v>
      </c>
      <c r="G13" s="3">
        <v>-3.1421637501596655</v>
      </c>
      <c r="H13" s="3">
        <v>1.192090730134679</v>
      </c>
    </row>
    <row r="14" spans="1:8" x14ac:dyDescent="0.3">
      <c r="A14" s="2">
        <v>2019</v>
      </c>
      <c r="B14" s="3">
        <v>1</v>
      </c>
      <c r="C14" s="3">
        <v>1375</v>
      </c>
      <c r="D14" s="3">
        <v>-1.8558172733761591</v>
      </c>
      <c r="E14" s="3">
        <v>22.646909882649599</v>
      </c>
      <c r="F14" s="3">
        <v>133531</v>
      </c>
      <c r="G14" s="3">
        <v>-4.5266047961562084</v>
      </c>
      <c r="H14" s="3">
        <v>1.8453684533641408</v>
      </c>
    </row>
    <row r="15" spans="1:8" x14ac:dyDescent="0.3">
      <c r="A15" s="1">
        <v>2019</v>
      </c>
      <c r="B15" s="3">
        <v>2</v>
      </c>
      <c r="C15" s="3">
        <v>1346</v>
      </c>
      <c r="D15" s="3">
        <v>5.4858934169278895</v>
      </c>
      <c r="E15" s="3">
        <v>25.342616685039662</v>
      </c>
      <c r="F15" s="3">
        <v>139555</v>
      </c>
      <c r="G15" s="3">
        <v>-5.9247424904276595</v>
      </c>
      <c r="H15" s="3">
        <v>2.5596569692369298</v>
      </c>
    </row>
    <row r="16" spans="1:8" x14ac:dyDescent="0.3">
      <c r="A16" s="1">
        <v>2019</v>
      </c>
      <c r="B16" s="3">
        <v>3</v>
      </c>
      <c r="C16" s="3">
        <v>1571</v>
      </c>
      <c r="D16" s="3">
        <v>12.859195402298852</v>
      </c>
      <c r="E16" s="3">
        <v>28.274566729462343</v>
      </c>
      <c r="F16" s="3">
        <v>170136</v>
      </c>
      <c r="G16" s="3">
        <v>-0.25502576639639951</v>
      </c>
      <c r="H16" s="3">
        <v>3.3403216757317877</v>
      </c>
    </row>
    <row r="17" spans="1:8" x14ac:dyDescent="0.3">
      <c r="A17" s="1">
        <v>2019</v>
      </c>
      <c r="B17" s="3">
        <v>4</v>
      </c>
      <c r="C17" s="3">
        <v>1345</v>
      </c>
      <c r="D17" s="3">
        <v>0.22354694485842153</v>
      </c>
      <c r="E17" s="3">
        <v>31.449169174978035</v>
      </c>
      <c r="F17" s="3">
        <v>166641</v>
      </c>
      <c r="G17" s="3">
        <v>3.8896023740352392</v>
      </c>
      <c r="H17" s="3">
        <v>4.1921387764205358</v>
      </c>
    </row>
    <row r="18" spans="1:8" x14ac:dyDescent="0.3">
      <c r="A18" s="1">
        <v>2019</v>
      </c>
      <c r="B18" s="3">
        <v>5</v>
      </c>
      <c r="C18" s="3">
        <v>1594</v>
      </c>
      <c r="D18" s="3">
        <v>4.046997389033935</v>
      </c>
      <c r="E18" s="3">
        <v>34.871762668749412</v>
      </c>
      <c r="F18" s="3">
        <v>177868</v>
      </c>
      <c r="G18" s="3">
        <v>-3.9226489493869199</v>
      </c>
      <c r="H18" s="3">
        <v>5.1196347979692911</v>
      </c>
    </row>
    <row r="19" spans="1:8" x14ac:dyDescent="0.3">
      <c r="A19" s="1">
        <v>2019</v>
      </c>
      <c r="B19" s="3">
        <v>6</v>
      </c>
      <c r="C19" s="3">
        <v>1505</v>
      </c>
      <c r="D19" s="3">
        <v>-4.9273531269740989</v>
      </c>
      <c r="E19" s="3">
        <v>38.545517411950939</v>
      </c>
      <c r="F19" s="3">
        <v>181895</v>
      </c>
      <c r="G19" s="3">
        <v>-5.5973635042557586</v>
      </c>
      <c r="H19" s="3">
        <v>6.127315257571782</v>
      </c>
    </row>
    <row r="20" spans="1:8" x14ac:dyDescent="0.3">
      <c r="A20" s="1">
        <v>2019</v>
      </c>
      <c r="B20" s="3">
        <v>7</v>
      </c>
      <c r="C20" s="3">
        <v>1645</v>
      </c>
      <c r="D20" s="3">
        <v>-6.427758816837315</v>
      </c>
      <c r="E20" s="3">
        <v>42.471462997057102</v>
      </c>
      <c r="F20" s="3">
        <v>169503</v>
      </c>
      <c r="G20" s="3">
        <v>-5.6823303563976246</v>
      </c>
      <c r="H20" s="3">
        <v>7.2190577360503934</v>
      </c>
    </row>
    <row r="21" spans="1:8" x14ac:dyDescent="0.3">
      <c r="A21" s="1">
        <v>2019</v>
      </c>
      <c r="B21" s="3">
        <v>8</v>
      </c>
      <c r="C21" s="3">
        <v>1345</v>
      </c>
      <c r="D21" s="3">
        <v>-26.422319474835888</v>
      </c>
      <c r="E21" s="3">
        <v>46.647610067199395</v>
      </c>
      <c r="F21" s="3">
        <v>111276</v>
      </c>
      <c r="G21" s="3">
        <v>-23.637112270107053</v>
      </c>
      <c r="H21" s="3">
        <v>8.3979256004246032</v>
      </c>
    </row>
    <row r="22" spans="1:8" x14ac:dyDescent="0.3">
      <c r="A22" s="1">
        <v>2019</v>
      </c>
      <c r="B22" s="3">
        <v>9</v>
      </c>
      <c r="C22" s="3">
        <v>1429</v>
      </c>
      <c r="D22" s="3">
        <v>8.8347296268088229</v>
      </c>
      <c r="E22" s="3">
        <v>51.068573486216671</v>
      </c>
      <c r="F22" s="3">
        <v>121023</v>
      </c>
      <c r="G22" s="3">
        <v>12.0033687172036</v>
      </c>
      <c r="H22" s="3">
        <v>9.6660862879852463</v>
      </c>
    </row>
    <row r="23" spans="1:8" x14ac:dyDescent="0.3">
      <c r="A23" s="1">
        <v>2019</v>
      </c>
      <c r="B23" s="3">
        <v>10</v>
      </c>
      <c r="C23" s="3">
        <v>1609</v>
      </c>
      <c r="D23" s="3">
        <v>8.350168350168353</v>
      </c>
      <c r="E23" s="3">
        <v>55.723893817285152</v>
      </c>
      <c r="F23" s="3">
        <v>142956</v>
      </c>
      <c r="G23" s="3">
        <v>6.9621626474923426</v>
      </c>
      <c r="H23" s="3">
        <v>11.023482580615484</v>
      </c>
    </row>
    <row r="24" spans="1:8" x14ac:dyDescent="0.3">
      <c r="A24" s="1">
        <v>2019</v>
      </c>
      <c r="B24" s="3">
        <v>11</v>
      </c>
      <c r="C24" s="3">
        <v>1501</v>
      </c>
      <c r="D24" s="3">
        <v>0.8736559139784994</v>
      </c>
      <c r="E24" s="3">
        <v>60.600178717757494</v>
      </c>
      <c r="F24" s="3">
        <v>135774</v>
      </c>
      <c r="G24" s="3">
        <v>3.6965188568286234</v>
      </c>
      <c r="H24" s="3">
        <v>12.470219571478285</v>
      </c>
    </row>
    <row r="25" spans="1:8" x14ac:dyDescent="0.3">
      <c r="A25" s="1">
        <v>2019</v>
      </c>
      <c r="B25" s="3">
        <v>12</v>
      </c>
      <c r="C25" s="3">
        <v>1636</v>
      </c>
      <c r="D25" s="3">
        <v>10.465901417960843</v>
      </c>
      <c r="E25" s="3">
        <v>65.680746002940026</v>
      </c>
      <c r="F25" s="3">
        <v>142987</v>
      </c>
      <c r="G25" s="3">
        <v>4.756985655047119</v>
      </c>
      <c r="H25" s="3">
        <v>14.006120317630153</v>
      </c>
    </row>
    <row r="26" spans="1:8" x14ac:dyDescent="0.3">
      <c r="A26" s="2">
        <v>2020</v>
      </c>
      <c r="B26" s="3">
        <v>1</v>
      </c>
      <c r="C26" s="3">
        <v>1497</v>
      </c>
      <c r="D26" s="3">
        <v>8.8727272727272766</v>
      </c>
      <c r="E26" s="3">
        <v>70.944765812944368</v>
      </c>
      <c r="F26" s="3">
        <v>124532</v>
      </c>
      <c r="G26" s="3">
        <v>-6.7392590484606547</v>
      </c>
      <c r="H26" s="3">
        <v>15.630398591355736</v>
      </c>
    </row>
    <row r="27" spans="1:8" x14ac:dyDescent="0.3">
      <c r="A27" s="1">
        <v>2020</v>
      </c>
      <c r="B27" s="3">
        <v>2</v>
      </c>
      <c r="C27" s="3">
        <v>1274</v>
      </c>
      <c r="D27" s="3">
        <v>-5.3491827637444311</v>
      </c>
      <c r="E27" s="3">
        <v>76.36757392367484</v>
      </c>
      <c r="F27" s="3">
        <v>135046</v>
      </c>
      <c r="G27" s="3">
        <v>-3.2309841997778643</v>
      </c>
      <c r="H27" s="3">
        <v>17.34162586392145</v>
      </c>
    </row>
    <row r="28" spans="1:8" x14ac:dyDescent="0.3">
      <c r="A28" s="1">
        <v>2020</v>
      </c>
      <c r="B28" s="3">
        <v>3</v>
      </c>
      <c r="C28" s="3">
        <v>457</v>
      </c>
      <c r="D28" s="3">
        <v>-70.910248249522596</v>
      </c>
      <c r="E28" s="3">
        <v>81.92019555280379</v>
      </c>
      <c r="F28" s="3">
        <v>58710</v>
      </c>
      <c r="G28" s="3">
        <v>-65.492312032726758</v>
      </c>
      <c r="H28" s="3">
        <v>19.136820158146509</v>
      </c>
    </row>
    <row r="29" spans="1:8" x14ac:dyDescent="0.3">
      <c r="A29" s="1">
        <v>2020</v>
      </c>
      <c r="B29" s="3">
        <v>4</v>
      </c>
      <c r="C29" s="3">
        <v>27</v>
      </c>
      <c r="D29" s="3">
        <v>-97.992565055762086</v>
      </c>
      <c r="E29" s="3">
        <v>87.567981143233609</v>
      </c>
      <c r="F29" s="3">
        <v>8257</v>
      </c>
      <c r="G29" s="3">
        <v>-95.045036935688103</v>
      </c>
      <c r="H29" s="3">
        <v>21.011570843373477</v>
      </c>
    </row>
    <row r="30" spans="1:8" x14ac:dyDescent="0.3">
      <c r="A30" s="1">
        <v>2020</v>
      </c>
      <c r="B30" s="3">
        <v>5</v>
      </c>
      <c r="C30" s="3">
        <v>757</v>
      </c>
      <c r="D30" s="3">
        <v>-52.509410288582181</v>
      </c>
      <c r="E30" s="3">
        <v>93.265667912602666</v>
      </c>
      <c r="F30" s="3">
        <v>56582</v>
      </c>
      <c r="G30" s="3">
        <v>-68.188769199631196</v>
      </c>
      <c r="H30" s="3">
        <v>22.955590265876104</v>
      </c>
    </row>
    <row r="31" spans="1:8" x14ac:dyDescent="0.3">
      <c r="A31" s="1">
        <v>2020</v>
      </c>
      <c r="B31" s="3">
        <v>6</v>
      </c>
      <c r="C31" s="3">
        <v>1512</v>
      </c>
      <c r="D31" s="3">
        <v>0.46511627906977715</v>
      </c>
      <c r="E31" s="3">
        <v>98.955106929507707</v>
      </c>
      <c r="F31" s="3">
        <v>130386</v>
      </c>
      <c r="G31" s="3">
        <v>-28.317985651062429</v>
      </c>
      <c r="H31" s="3">
        <v>24.950531285276824</v>
      </c>
    </row>
    <row r="32" spans="1:8" x14ac:dyDescent="0.3">
      <c r="A32" s="1">
        <v>2020</v>
      </c>
      <c r="B32" s="3">
        <v>7</v>
      </c>
      <c r="C32" s="3">
        <v>1912</v>
      </c>
      <c r="D32" s="3">
        <v>16.231003039513681</v>
      </c>
      <c r="E32" s="3">
        <v>104.56802599322597</v>
      </c>
      <c r="F32" s="3">
        <v>174827</v>
      </c>
      <c r="G32" s="3">
        <v>3.1409473578638769</v>
      </c>
      <c r="H32" s="3">
        <v>26.971717291790739</v>
      </c>
    </row>
    <row r="33" spans="1:8" x14ac:dyDescent="0.3">
      <c r="A33" s="1">
        <v>2020</v>
      </c>
      <c r="B33" s="3">
        <v>8</v>
      </c>
      <c r="C33" s="3">
        <v>1661</v>
      </c>
      <c r="D33" s="3">
        <v>23.494423791821561</v>
      </c>
      <c r="E33" s="3">
        <v>110.02931332035067</v>
      </c>
      <c r="F33" s="3">
        <v>102909</v>
      </c>
      <c r="G33" s="3">
        <v>-7.5191415938746893</v>
      </c>
      <c r="H33" s="3">
        <v>28.990772473067928</v>
      </c>
    </row>
    <row r="34" spans="1:8" x14ac:dyDescent="0.3">
      <c r="A34" s="1">
        <v>2020</v>
      </c>
      <c r="B34" s="3">
        <v>9</v>
      </c>
      <c r="C34" s="3">
        <v>1387</v>
      </c>
      <c r="D34" s="3">
        <v>-2.939118264520646</v>
      </c>
      <c r="E34" s="3">
        <v>115.25772261199211</v>
      </c>
      <c r="F34" s="3">
        <v>112645</v>
      </c>
      <c r="G34" s="3">
        <v>-6.9226510663262353</v>
      </c>
      <c r="H34" s="3">
        <v>30.977666102179715</v>
      </c>
    </row>
    <row r="35" spans="1:8" x14ac:dyDescent="0.3">
      <c r="A35" s="1">
        <v>2020</v>
      </c>
      <c r="B35" s="3">
        <v>10</v>
      </c>
      <c r="C35" s="3">
        <v>1515</v>
      </c>
      <c r="D35" s="3">
        <v>-5.8421379738968326</v>
      </c>
      <c r="E35" s="3">
        <v>120.16599820193224</v>
      </c>
      <c r="F35" s="3">
        <v>117517</v>
      </c>
      <c r="G35" s="3">
        <v>-17.794985869778113</v>
      </c>
      <c r="H35" s="3">
        <v>32.899832041498335</v>
      </c>
    </row>
    <row r="36" spans="1:8" x14ac:dyDescent="0.3">
      <c r="A36" s="1">
        <v>2020</v>
      </c>
      <c r="B36" s="3">
        <v>11</v>
      </c>
      <c r="C36" s="3">
        <v>1277</v>
      </c>
      <c r="D36" s="3">
        <v>-14.923384410393069</v>
      </c>
      <c r="E36" s="3">
        <v>124.65867631000324</v>
      </c>
      <c r="F36" s="3">
        <v>114675</v>
      </c>
      <c r="G36" s="3">
        <v>-15.539794069556766</v>
      </c>
      <c r="H36" s="3">
        <v>34.722072186925992</v>
      </c>
    </row>
    <row r="37" spans="1:8" x14ac:dyDescent="0.3">
      <c r="A37" s="1">
        <v>2020</v>
      </c>
      <c r="B37" s="3">
        <v>12</v>
      </c>
      <c r="C37" s="3">
        <v>1601</v>
      </c>
      <c r="D37" s="3">
        <v>-2.1393643031784815</v>
      </c>
      <c r="E37" s="3">
        <v>128.6315425910251</v>
      </c>
      <c r="F37" s="3">
        <v>147460</v>
      </c>
      <c r="G37" s="3">
        <v>3.1282564149188286</v>
      </c>
      <c r="H37" s="3">
        <v>36.405667960898825</v>
      </c>
    </row>
    <row r="38" spans="1:8" x14ac:dyDescent="0.3">
      <c r="A38" s="2">
        <v>2021</v>
      </c>
      <c r="B38" s="3">
        <v>1</v>
      </c>
      <c r="C38" s="3">
        <v>904</v>
      </c>
      <c r="D38" s="3">
        <v>-39.612558450233806</v>
      </c>
      <c r="E38" s="3">
        <v>131.97068950115661</v>
      </c>
      <c r="F38" s="3">
        <v>68420</v>
      </c>
      <c r="G38" s="3">
        <v>-45.058298268718076</v>
      </c>
      <c r="H38" s="3">
        <v>37.908410378474052</v>
      </c>
    </row>
    <row r="39" spans="1:8" x14ac:dyDescent="0.3">
      <c r="A39" s="1">
        <v>2021</v>
      </c>
      <c r="B39" s="3">
        <v>2</v>
      </c>
      <c r="C39" s="3">
        <v>1071</v>
      </c>
      <c r="D39" s="3">
        <v>-15.934065934065933</v>
      </c>
      <c r="E39" s="3">
        <v>134.55312818357785</v>
      </c>
      <c r="F39" s="3">
        <v>92208</v>
      </c>
      <c r="G39" s="3">
        <v>-31.72104320009478</v>
      </c>
      <c r="H39" s="3">
        <v>39.185779523351528</v>
      </c>
    </row>
    <row r="40" spans="1:8" x14ac:dyDescent="0.3">
      <c r="A40" s="1">
        <v>2021</v>
      </c>
      <c r="B40" s="3">
        <v>3</v>
      </c>
      <c r="C40" s="3">
        <v>1387</v>
      </c>
      <c r="D40" s="3">
        <v>203.50109409190372</v>
      </c>
      <c r="E40" s="3">
        <v>136.24395427813889</v>
      </c>
      <c r="F40" s="3">
        <v>131073</v>
      </c>
      <c r="G40" s="3">
        <v>123.25498211548287</v>
      </c>
      <c r="H40" s="3">
        <v>40.187493902241712</v>
      </c>
    </row>
    <row r="41" spans="1:8" x14ac:dyDescent="0.3">
      <c r="A41" s="1">
        <v>2021</v>
      </c>
      <c r="B41" s="3">
        <v>4</v>
      </c>
      <c r="C41" s="3">
        <v>1198</v>
      </c>
      <c r="D41" s="3">
        <v>4337.0370370370374</v>
      </c>
      <c r="E41" s="3">
        <v>136.89781292509829</v>
      </c>
      <c r="F41" s="3">
        <v>119989</v>
      </c>
      <c r="G41" s="3">
        <v>1353.1791207460337</v>
      </c>
      <c r="H41" s="3">
        <v>40.858347936943709</v>
      </c>
    </row>
    <row r="42" spans="1:8" x14ac:dyDescent="0.3">
      <c r="A42" s="1">
        <v>2021</v>
      </c>
      <c r="B42" s="3">
        <v>5</v>
      </c>
      <c r="C42" s="3">
        <v>1228</v>
      </c>
      <c r="D42" s="3">
        <v>62.219286657859982</v>
      </c>
      <c r="E42" s="3">
        <v>136.37401989942396</v>
      </c>
      <c r="F42" s="3">
        <v>139033</v>
      </c>
      <c r="G42" s="3">
        <v>145.71948676257466</v>
      </c>
      <c r="H42" s="3">
        <v>41.148904624826983</v>
      </c>
    </row>
    <row r="43" spans="1:8" x14ac:dyDescent="0.3">
      <c r="A43" s="1">
        <v>2021</v>
      </c>
      <c r="B43" s="3">
        <v>6</v>
      </c>
      <c r="C43" s="3">
        <v>1428</v>
      </c>
      <c r="D43" s="3">
        <v>-5.555555555555558</v>
      </c>
      <c r="E43" s="3">
        <v>134.82356731109155</v>
      </c>
      <c r="F43" s="3">
        <v>142683</v>
      </c>
      <c r="G43" s="3">
        <v>9.431227279002341</v>
      </c>
      <c r="H43" s="3">
        <v>41.100860350261627</v>
      </c>
    </row>
    <row r="44" spans="1:8" x14ac:dyDescent="0.3">
      <c r="A44" s="1">
        <v>2021</v>
      </c>
      <c r="B44" s="3">
        <v>7</v>
      </c>
      <c r="C44" s="3">
        <v>1378</v>
      </c>
      <c r="D44" s="3">
        <v>-27.92887029288703</v>
      </c>
      <c r="E44" s="3">
        <v>132.39229763582384</v>
      </c>
      <c r="F44" s="3">
        <v>127870</v>
      </c>
      <c r="G44" s="3">
        <v>-26.859123590749711</v>
      </c>
      <c r="H44" s="3">
        <v>40.763173343599533</v>
      </c>
    </row>
    <row r="45" spans="1:8" x14ac:dyDescent="0.3">
      <c r="A45" s="1">
        <v>2021</v>
      </c>
      <c r="B45" s="3">
        <v>8</v>
      </c>
      <c r="C45" s="3">
        <v>1064</v>
      </c>
      <c r="D45" s="3">
        <v>-35.94220349187237</v>
      </c>
      <c r="E45" s="3">
        <v>129.21630479914455</v>
      </c>
      <c r="F45" s="3">
        <v>77822</v>
      </c>
      <c r="G45" s="3">
        <v>-24.377848390325429</v>
      </c>
      <c r="H45" s="3">
        <v>40.182602555118194</v>
      </c>
    </row>
    <row r="46" spans="1:8" x14ac:dyDescent="0.3">
      <c r="A46" s="1">
        <v>2021</v>
      </c>
      <c r="B46" s="3">
        <v>9</v>
      </c>
      <c r="C46" s="3">
        <v>1020</v>
      </c>
      <c r="D46" s="3">
        <v>-26.459985580389333</v>
      </c>
      <c r="E46" s="3">
        <v>125.42054931213794</v>
      </c>
      <c r="F46" s="3">
        <v>98293</v>
      </c>
      <c r="G46" s="3">
        <v>-12.740911713791114</v>
      </c>
      <c r="H46" s="3">
        <v>39.401210942252447</v>
      </c>
    </row>
    <row r="47" spans="1:8" x14ac:dyDescent="0.3">
      <c r="A47" s="1">
        <v>2021</v>
      </c>
      <c r="B47" s="3">
        <v>10</v>
      </c>
      <c r="C47" s="3">
        <v>1168</v>
      </c>
      <c r="D47" s="3">
        <v>-22.904290429042906</v>
      </c>
      <c r="E47" s="3">
        <v>121.11852234503463</v>
      </c>
      <c r="F47" s="3">
        <v>97754</v>
      </c>
      <c r="G47" s="3">
        <v>-16.817141349762167</v>
      </c>
      <c r="H47" s="3">
        <v>38.456578097788139</v>
      </c>
    </row>
    <row r="48" spans="1:8" x14ac:dyDescent="0.3">
      <c r="A48" s="1">
        <v>2021</v>
      </c>
      <c r="B48" s="3">
        <v>11</v>
      </c>
      <c r="C48" s="3">
        <v>1143</v>
      </c>
      <c r="D48" s="3">
        <v>-10.49334377447142</v>
      </c>
      <c r="E48" s="3">
        <v>116.41316780869778</v>
      </c>
      <c r="F48" s="3">
        <v>105816</v>
      </c>
      <c r="G48" s="3">
        <v>-7.7253106605624566</v>
      </c>
      <c r="H48" s="3">
        <v>37.382662633771119</v>
      </c>
    </row>
    <row r="49" spans="1:8" x14ac:dyDescent="0.3">
      <c r="A49" s="1">
        <v>2021</v>
      </c>
      <c r="B49" s="3">
        <v>12</v>
      </c>
      <c r="C49" s="3">
        <v>1286</v>
      </c>
      <c r="D49" s="3">
        <v>-19.675202998126174</v>
      </c>
      <c r="E49" s="3">
        <v>111.39742802977008</v>
      </c>
      <c r="F49" s="3">
        <v>124732</v>
      </c>
      <c r="G49" s="3">
        <v>-15.412993354129934</v>
      </c>
      <c r="H49" s="3">
        <v>36.209584709507816</v>
      </c>
    </row>
    <row r="50" spans="1:8" x14ac:dyDescent="0.3">
      <c r="A50" s="2">
        <v>2022</v>
      </c>
      <c r="B50" s="3">
        <v>1</v>
      </c>
      <c r="C50" s="3">
        <v>766</v>
      </c>
      <c r="D50" s="3">
        <v>-15.265486725663713</v>
      </c>
      <c r="E50" s="3">
        <v>106.15543238270098</v>
      </c>
      <c r="F50" s="3">
        <v>73174</v>
      </c>
      <c r="G50" s="3">
        <v>6.948260742472967</v>
      </c>
      <c r="H50" s="3">
        <v>34.964331986159216</v>
      </c>
    </row>
    <row r="51" spans="1:8" x14ac:dyDescent="0.3">
      <c r="A51" s="2">
        <v>2022</v>
      </c>
      <c r="B51" s="3">
        <v>2</v>
      </c>
      <c r="C51" s="3">
        <v>1104</v>
      </c>
      <c r="D51" s="3">
        <v>3.0812324929971879</v>
      </c>
      <c r="E51" s="3">
        <v>100.76220797589629</v>
      </c>
      <c r="F51" s="3">
        <v>97434</v>
      </c>
      <c r="G51" s="3">
        <v>5.6676210307131658</v>
      </c>
      <c r="H51" s="3">
        <v>33.67030722363188</v>
      </c>
    </row>
    <row r="52" spans="1:8" x14ac:dyDescent="0.3">
      <c r="A52" s="2">
        <v>2022</v>
      </c>
      <c r="B52" s="3">
        <v>3</v>
      </c>
      <c r="C52" s="3">
        <v>1085</v>
      </c>
      <c r="D52" s="3">
        <v>-21.773612112472961</v>
      </c>
      <c r="E52" s="3">
        <v>95.28434990949043</v>
      </c>
      <c r="F52" s="3">
        <v>99716</v>
      </c>
      <c r="G52" s="3">
        <v>-23.923309911270817</v>
      </c>
      <c r="H52" s="3">
        <v>32.348967621329329</v>
      </c>
    </row>
    <row r="53" spans="1:8" x14ac:dyDescent="0.3">
      <c r="A53" s="2">
        <v>2022</v>
      </c>
      <c r="B53" s="3">
        <v>4</v>
      </c>
      <c r="C53" s="3">
        <v>1044</v>
      </c>
      <c r="D53" s="3">
        <v>-12.854757929883142</v>
      </c>
      <c r="E53" s="3">
        <v>89.781669882542616</v>
      </c>
      <c r="F53" s="3">
        <v>105951</v>
      </c>
      <c r="G53" s="3">
        <v>-11.69940577886306</v>
      </c>
      <c r="H53" s="3">
        <v>31.019825747669472</v>
      </c>
    </row>
    <row r="54" spans="1:8" x14ac:dyDescent="0.3">
      <c r="A54" s="2">
        <v>2022</v>
      </c>
      <c r="B54" s="3">
        <v>5</v>
      </c>
      <c r="C54" s="3">
        <v>1122</v>
      </c>
      <c r="D54" s="3">
        <v>-8.6319218241042392</v>
      </c>
      <c r="E54" s="3">
        <v>84.30585056897165</v>
      </c>
      <c r="F54" s="3">
        <v>130209</v>
      </c>
      <c r="G54" s="3">
        <v>-6.3466946696108089</v>
      </c>
      <c r="H54" s="3">
        <v>29.698486374019339</v>
      </c>
    </row>
    <row r="55" spans="1:8" x14ac:dyDescent="0.3">
      <c r="A55" s="2">
        <v>2022</v>
      </c>
      <c r="B55" s="3">
        <v>6</v>
      </c>
      <c r="C55" s="3">
        <v>1172</v>
      </c>
      <c r="D55" s="3">
        <v>-17.927170868347343</v>
      </c>
      <c r="E55" s="3">
        <v>78.901447112987171</v>
      </c>
      <c r="F55" s="3">
        <v>134127</v>
      </c>
      <c r="G55" s="3">
        <v>-5.996509745379619</v>
      </c>
      <c r="H55" s="3">
        <v>28.397587658445513</v>
      </c>
    </row>
    <row r="56" spans="1:8" x14ac:dyDescent="0.3">
      <c r="A56" s="2">
        <v>2022</v>
      </c>
      <c r="B56" s="3">
        <v>7</v>
      </c>
      <c r="C56" s="3">
        <v>1023</v>
      </c>
      <c r="D56" s="3">
        <v>-25.761973875181422</v>
      </c>
      <c r="E56" s="3">
        <v>73.606560646827035</v>
      </c>
      <c r="F56" s="3">
        <v>114941</v>
      </c>
      <c r="G56" s="3">
        <v>-10.111050285446154</v>
      </c>
      <c r="H56" s="3">
        <v>27.127264621442091</v>
      </c>
    </row>
    <row r="57" spans="1:8" x14ac:dyDescent="0.3">
      <c r="A57" s="2">
        <v>2022</v>
      </c>
      <c r="B57" s="3">
        <v>8</v>
      </c>
      <c r="C57" s="3">
        <v>1055</v>
      </c>
      <c r="D57" s="3">
        <v>-0.84586466165413876</v>
      </c>
      <c r="E57" s="3">
        <v>68.452568093147065</v>
      </c>
      <c r="F57" s="3">
        <v>85204</v>
      </c>
      <c r="G57" s="3">
        <v>9.4857495309809572</v>
      </c>
      <c r="H57" s="3">
        <v>25.895263804516798</v>
      </c>
    </row>
    <row r="58" spans="1:8" x14ac:dyDescent="0.3">
      <c r="A58" s="2">
        <v>2022</v>
      </c>
      <c r="B58" s="3">
        <v>9</v>
      </c>
      <c r="C58" s="3">
        <v>1047</v>
      </c>
      <c r="D58" s="3">
        <v>2.6470588235294024</v>
      </c>
      <c r="E58" s="3">
        <v>63.463945781927947</v>
      </c>
      <c r="F58" s="3">
        <v>106461</v>
      </c>
      <c r="G58" s="3">
        <v>8.3098491245561679</v>
      </c>
      <c r="H58" s="3">
        <v>24.706745755086601</v>
      </c>
    </row>
    <row r="59" spans="1:8" x14ac:dyDescent="0.3">
      <c r="A59" s="2">
        <v>2022</v>
      </c>
      <c r="B59" s="3">
        <v>10</v>
      </c>
      <c r="C59" s="3">
        <v>1070</v>
      </c>
      <c r="D59" s="3">
        <v>-8.3904109589041038</v>
      </c>
      <c r="E59" s="3">
        <v>58.660357651986828</v>
      </c>
      <c r="F59" s="3">
        <v>104831</v>
      </c>
      <c r="G59" s="3">
        <v>7.2396014485340832</v>
      </c>
      <c r="H59" s="3">
        <v>23.565731470966135</v>
      </c>
    </row>
    <row r="60" spans="1:8" x14ac:dyDescent="0.3">
      <c r="A60" s="2">
        <v>2022</v>
      </c>
      <c r="B60" s="3">
        <v>11</v>
      </c>
      <c r="C60" s="3">
        <v>1244</v>
      </c>
      <c r="D60" s="3">
        <v>8.8363954505686682</v>
      </c>
      <c r="E60" s="3">
        <v>54.057244247213198</v>
      </c>
      <c r="F60" s="3">
        <v>113108</v>
      </c>
      <c r="G60" s="3">
        <v>6.891207378846298</v>
      </c>
      <c r="H60" s="3">
        <v>22.475103276592918</v>
      </c>
    </row>
    <row r="61" spans="1:8" x14ac:dyDescent="0.3">
      <c r="A61" s="2">
        <v>2022</v>
      </c>
      <c r="B61" s="3">
        <v>12</v>
      </c>
      <c r="C61" s="3">
        <v>1152</v>
      </c>
      <c r="D61" s="3">
        <v>-10.419906687402802</v>
      </c>
      <c r="E61" s="3">
        <v>49.665389808120786</v>
      </c>
      <c r="F61" s="3">
        <v>111238</v>
      </c>
      <c r="G61" s="3">
        <v>-10.81839463810409</v>
      </c>
      <c r="H61" s="3">
        <v>21.436609737375132</v>
      </c>
    </row>
    <row r="62" spans="1:8" x14ac:dyDescent="0.3">
      <c r="A62" s="2">
        <v>2023</v>
      </c>
      <c r="B62" s="3">
        <v>1</v>
      </c>
      <c r="C62" s="3">
        <v>985</v>
      </c>
      <c r="D62" s="3">
        <v>28.590078328981726</v>
      </c>
      <c r="E62" s="3">
        <v>45.492438238501329</v>
      </c>
      <c r="F62" s="3">
        <v>99876</v>
      </c>
      <c r="G62" s="3">
        <v>36.491103397381572</v>
      </c>
      <c r="H62" s="3">
        <v>20.450917203728057</v>
      </c>
    </row>
    <row r="63" spans="1:8" x14ac:dyDescent="0.3">
      <c r="A63" s="2">
        <v>2023</v>
      </c>
      <c r="B63" s="3">
        <v>2</v>
      </c>
      <c r="C63" s="3">
        <v>1145</v>
      </c>
      <c r="D63" s="3">
        <v>3.7137681159420399</v>
      </c>
      <c r="E63" s="3">
        <v>41.541860852112144</v>
      </c>
      <c r="F63" s="3">
        <v>110909</v>
      </c>
      <c r="G63" s="3">
        <v>13.829874581768165</v>
      </c>
      <c r="H63" s="3">
        <v>19.516452095207566</v>
      </c>
    </row>
    <row r="64" spans="1:8" x14ac:dyDescent="0.3">
      <c r="A64" s="2">
        <v>2023</v>
      </c>
      <c r="B64" s="3">
        <v>3</v>
      </c>
      <c r="C64" s="3">
        <v>1393</v>
      </c>
      <c r="D64" s="3">
        <v>28.387096774193555</v>
      </c>
      <c r="E64" s="3">
        <v>37.815955187716838</v>
      </c>
      <c r="F64" s="3">
        <v>147158</v>
      </c>
      <c r="G64" s="3">
        <v>47.57711901801116</v>
      </c>
      <c r="H64" s="3">
        <v>18.632754733188538</v>
      </c>
    </row>
    <row r="65" spans="1:8" x14ac:dyDescent="0.3">
      <c r="A65" s="2">
        <v>2023</v>
      </c>
      <c r="B65" s="3">
        <v>4</v>
      </c>
      <c r="C65" s="3">
        <v>1124</v>
      </c>
      <c r="D65" s="3">
        <v>7.6628352490421436</v>
      </c>
      <c r="E65" s="3">
        <v>34.314391833194556</v>
      </c>
      <c r="F65" s="3">
        <v>113367</v>
      </c>
      <c r="G65" s="3">
        <v>6.9994620154599785</v>
      </c>
      <c r="H65" s="3">
        <v>17.798970537829639</v>
      </c>
    </row>
    <row r="66" spans="1:8" x14ac:dyDescent="0.3">
      <c r="A66" s="2">
        <v>2023</v>
      </c>
      <c r="B66" s="3">
        <v>5</v>
      </c>
      <c r="C66" s="3">
        <v>1241</v>
      </c>
      <c r="D66" s="3">
        <v>10.606060606060597</v>
      </c>
      <c r="E66" s="3">
        <v>31.036186594590166</v>
      </c>
      <c r="F66" s="3">
        <v>140414</v>
      </c>
      <c r="G66" s="3">
        <v>7.8373998725126626</v>
      </c>
      <c r="H66" s="3">
        <v>17.016254954587094</v>
      </c>
    </row>
    <row r="67" spans="1:8" x14ac:dyDescent="0.3">
      <c r="A67" s="2">
        <v>2023</v>
      </c>
      <c r="B67" s="3">
        <v>6</v>
      </c>
      <c r="C67" s="3">
        <v>1344</v>
      </c>
      <c r="D67" s="3">
        <v>14.675767918088734</v>
      </c>
      <c r="E67" s="3">
        <v>27.978504475407981</v>
      </c>
      <c r="F67" s="3">
        <v>152972</v>
      </c>
      <c r="G67" s="3">
        <v>14.050116680459567</v>
      </c>
      <c r="H67" s="3">
        <v>16.285013463047516</v>
      </c>
    </row>
    <row r="68" spans="1:8" x14ac:dyDescent="0.3">
      <c r="A68" s="2">
        <v>2023</v>
      </c>
      <c r="B68" s="3">
        <v>7</v>
      </c>
      <c r="C68" s="3">
        <v>1119</v>
      </c>
      <c r="D68" s="3">
        <v>9.384164222873892</v>
      </c>
      <c r="E68" s="3">
        <v>25.137091720403095</v>
      </c>
      <c r="F68" s="3">
        <v>128989</v>
      </c>
      <c r="G68" s="3">
        <v>12.22192255156993</v>
      </c>
      <c r="H68" s="3">
        <v>15.605014122305713</v>
      </c>
    </row>
    <row r="69" spans="1:8" x14ac:dyDescent="0.3">
      <c r="A69" s="2">
        <v>2023</v>
      </c>
      <c r="B69" s="3">
        <v>8</v>
      </c>
      <c r="C69" s="3">
        <v>1082</v>
      </c>
      <c r="D69" s="3">
        <v>2.5592417061611306</v>
      </c>
      <c r="E69" s="3">
        <v>22.506770773180794</v>
      </c>
      <c r="F69" s="3">
        <v>92706</v>
      </c>
      <c r="G69" s="3">
        <v>8.8047509506596011</v>
      </c>
      <c r="H69" s="3">
        <v>14.975869790291032</v>
      </c>
    </row>
    <row r="70" spans="1:8" x14ac:dyDescent="0.3">
      <c r="A70" s="2">
        <v>2023</v>
      </c>
      <c r="B70" s="3">
        <v>9</v>
      </c>
      <c r="C70" s="3">
        <v>1158</v>
      </c>
      <c r="D70" s="3">
        <v>10.601719197707737</v>
      </c>
      <c r="E70" s="3">
        <v>20.081270124047922</v>
      </c>
      <c r="F70" s="3">
        <v>104801</v>
      </c>
      <c r="G70" s="3">
        <v>-1.5592564413259291</v>
      </c>
      <c r="H70" s="3">
        <v>14.396958388018193</v>
      </c>
    </row>
    <row r="71" spans="1:8" x14ac:dyDescent="0.3">
      <c r="A71" s="2">
        <v>2023</v>
      </c>
      <c r="B71" s="3">
        <v>10</v>
      </c>
      <c r="C71" s="3">
        <v>1455</v>
      </c>
      <c r="D71" s="3">
        <v>35.981308411214961</v>
      </c>
      <c r="E71" s="3">
        <v>17.852933018237231</v>
      </c>
      <c r="F71" s="3">
        <v>131416</v>
      </c>
      <c r="G71" s="3">
        <v>25.359864925451436</v>
      </c>
      <c r="H71" s="3">
        <v>13.867229286582498</v>
      </c>
    </row>
    <row r="72" spans="1:8" x14ac:dyDescent="0.3">
      <c r="A72" s="2">
        <v>2023</v>
      </c>
      <c r="B72" s="3">
        <v>11</v>
      </c>
      <c r="C72" s="3">
        <v>1272</v>
      </c>
      <c r="D72" s="3">
        <v>2.2508038585209</v>
      </c>
      <c r="E72" s="3">
        <v>15.8134443988338</v>
      </c>
      <c r="F72" s="3">
        <v>124644</v>
      </c>
      <c r="G72" s="3">
        <v>10.199101743466432</v>
      </c>
      <c r="H72" s="3">
        <v>13.384523786604987</v>
      </c>
    </row>
    <row r="73" spans="1:8" x14ac:dyDescent="0.3">
      <c r="A73" s="2">
        <v>2023</v>
      </c>
      <c r="B73" s="3">
        <v>12</v>
      </c>
      <c r="C73" s="3">
        <v>1270</v>
      </c>
      <c r="D73" s="3">
        <v>10.243055555555557</v>
      </c>
      <c r="E73" s="3">
        <v>13.955748123880563</v>
      </c>
      <c r="F73" s="3">
        <v>120318</v>
      </c>
      <c r="G73" s="3">
        <v>8.1626782214710758</v>
      </c>
      <c r="H73" s="3">
        <v>12.947481288403846</v>
      </c>
    </row>
    <row r="74" spans="1:8" x14ac:dyDescent="0.3">
      <c r="A74" s="2">
        <v>2024</v>
      </c>
      <c r="B74" s="3">
        <v>1</v>
      </c>
      <c r="C74" s="3">
        <v>1219</v>
      </c>
      <c r="D74" s="3">
        <v>23.756345177664983</v>
      </c>
      <c r="E74" s="3">
        <v>12.271846201382926</v>
      </c>
      <c r="F74" s="3">
        <v>110173</v>
      </c>
      <c r="G74" s="3">
        <v>10.309784132324085</v>
      </c>
      <c r="H74" s="3">
        <v>12.554519982433156</v>
      </c>
    </row>
    <row r="75" spans="1:8" x14ac:dyDescent="0.3">
      <c r="A75" s="2">
        <v>2024</v>
      </c>
      <c r="B75" s="3">
        <v>2</v>
      </c>
      <c r="C75" s="3">
        <v>1198</v>
      </c>
      <c r="D75" s="3">
        <v>4.6288209606986985</v>
      </c>
      <c r="E75" s="3">
        <v>10.753482813473498</v>
      </c>
      <c r="F75" s="3">
        <v>127140</v>
      </c>
      <c r="G75" s="3">
        <v>14.634520192229662</v>
      </c>
      <c r="H75" s="3">
        <v>12.203725781156235</v>
      </c>
    </row>
    <row r="76" spans="1:8" x14ac:dyDescent="0.3">
      <c r="A76" s="2">
        <v>2024</v>
      </c>
      <c r="B76" s="3">
        <v>3</v>
      </c>
      <c r="C76" s="3">
        <v>1084</v>
      </c>
      <c r="D76" s="3">
        <v>-22.182340272792533</v>
      </c>
      <c r="E76" s="3">
        <v>9.3931996769360193</v>
      </c>
      <c r="F76" s="3">
        <v>142185</v>
      </c>
      <c r="G76" s="3">
        <v>-3.3793609589692686</v>
      </c>
      <c r="H76" s="3">
        <v>11.893028712602366</v>
      </c>
    </row>
    <row r="77" spans="1:8" x14ac:dyDescent="0.3">
      <c r="A77" s="2">
        <v>2024</v>
      </c>
      <c r="B77" s="3">
        <v>4</v>
      </c>
      <c r="C77" s="3">
        <v>1241</v>
      </c>
      <c r="D77" s="3">
        <v>10.409252669039137</v>
      </c>
      <c r="E77" s="3">
        <v>8.183113184814454</v>
      </c>
      <c r="F77" s="3">
        <v>146202</v>
      </c>
      <c r="G77" s="3">
        <v>28.963454973669588</v>
      </c>
      <c r="H77" s="3">
        <v>11.620527609968269</v>
      </c>
    </row>
    <row r="78" spans="1:8" x14ac:dyDescent="0.3">
      <c r="A78" s="2">
        <v>2024</v>
      </c>
      <c r="B78" s="3">
        <v>5</v>
      </c>
      <c r="C78" s="3">
        <v>1127</v>
      </c>
      <c r="D78" s="3">
        <v>-9.1861402095084639</v>
      </c>
      <c r="E78" s="3">
        <v>7.1131469843229267</v>
      </c>
      <c r="F78" s="3">
        <v>150796</v>
      </c>
      <c r="G78" s="3">
        <v>7.3938496161351397</v>
      </c>
      <c r="H78" s="3">
        <v>11.383260723834583</v>
      </c>
    </row>
    <row r="79" spans="1:8" x14ac:dyDescent="0.3">
      <c r="A79" s="2">
        <v>2024</v>
      </c>
      <c r="B79" s="3">
        <v>6</v>
      </c>
      <c r="C79" s="3">
        <v>1244</v>
      </c>
      <c r="D79" s="3">
        <v>-7.4404761904761862</v>
      </c>
      <c r="E79" s="3">
        <v>6.1733793156953016</v>
      </c>
      <c r="F79" s="3">
        <v>158447</v>
      </c>
      <c r="G79" s="3">
        <v>3.5790863687472196</v>
      </c>
      <c r="H79" s="3">
        <v>11.179470674737759</v>
      </c>
    </row>
    <row r="80" spans="1:8" x14ac:dyDescent="0.3">
      <c r="A80" s="2">
        <v>2024</v>
      </c>
      <c r="B80" s="3">
        <v>7</v>
      </c>
      <c r="C80" s="3">
        <v>1401</v>
      </c>
      <c r="D80" s="3">
        <v>25.201072386058975</v>
      </c>
      <c r="E80" s="3">
        <v>5.3527565242214257</v>
      </c>
      <c r="F80" s="3">
        <v>141208</v>
      </c>
      <c r="G80" s="3">
        <v>9.4729007899898363</v>
      </c>
      <c r="H80" s="3">
        <v>11.007123040776214</v>
      </c>
    </row>
    <row r="81" spans="1:8" x14ac:dyDescent="0.3">
      <c r="A81" s="2">
        <v>2024</v>
      </c>
      <c r="B81" s="3">
        <v>8</v>
      </c>
      <c r="C81" s="3">
        <v>1198</v>
      </c>
      <c r="D81" s="3">
        <v>10.720887245841038</v>
      </c>
      <c r="E81" s="3">
        <v>4.6392795485587746</v>
      </c>
      <c r="F81" s="3">
        <v>91191</v>
      </c>
      <c r="G81" s="3">
        <v>-1.6341984337583382</v>
      </c>
      <c r="H81" s="3">
        <v>10.863655595582673</v>
      </c>
    </row>
    <row r="82" spans="1:8" x14ac:dyDescent="0.3">
      <c r="A82" s="2">
        <v>2024</v>
      </c>
      <c r="B82" s="3">
        <v>9</v>
      </c>
      <c r="C82" s="3">
        <v>1292</v>
      </c>
      <c r="D82" s="3">
        <v>11.571675302245254</v>
      </c>
      <c r="E82" s="3">
        <v>4.0223276826330085</v>
      </c>
      <c r="F82" s="3">
        <v>123411</v>
      </c>
      <c r="G82" s="3">
        <v>17.757464146334478</v>
      </c>
      <c r="H82" s="3">
        <v>10.746399569577996</v>
      </c>
    </row>
    <row r="83" spans="1:8" x14ac:dyDescent="0.3">
      <c r="A83" s="2">
        <v>2024</v>
      </c>
      <c r="B83" s="3">
        <v>10</v>
      </c>
      <c r="C83" s="3">
        <v>1390</v>
      </c>
      <c r="D83" s="3">
        <v>-4.4673539518900292</v>
      </c>
      <c r="E83" s="3">
        <v>3.491702554237655</v>
      </c>
      <c r="F83" s="3">
        <v>142569</v>
      </c>
      <c r="G83" s="3">
        <v>8.4867900407865182</v>
      </c>
      <c r="H83" s="3">
        <v>10.651818286653231</v>
      </c>
    </row>
    <row r="84" spans="1:8" x14ac:dyDescent="0.3">
      <c r="A84" s="2">
        <v>2024</v>
      </c>
      <c r="B84" s="3">
        <v>11</v>
      </c>
      <c r="C84" s="3">
        <v>1252</v>
      </c>
      <c r="D84" s="3">
        <v>-1.5723270440251569</v>
      </c>
      <c r="E84" s="3">
        <v>3.0377300514176024</v>
      </c>
      <c r="F84" s="3">
        <v>133405</v>
      </c>
      <c r="G84" s="3">
        <v>7.0288180738743877</v>
      </c>
      <c r="H84" s="3">
        <v>10.576861950183927</v>
      </c>
    </row>
    <row r="85" spans="1:8" x14ac:dyDescent="0.3">
      <c r="A85" s="2">
        <v>2024</v>
      </c>
      <c r="B85" s="3">
        <v>12</v>
      </c>
      <c r="C85" s="3">
        <v>1484</v>
      </c>
      <c r="D85" s="3">
        <v>16.850393700787404</v>
      </c>
      <c r="E85" s="3">
        <v>2.6501833499603702</v>
      </c>
      <c r="F85" s="3">
        <v>158535</v>
      </c>
      <c r="G85" s="3">
        <v>31.763327182965149</v>
      </c>
      <c r="H85" s="3">
        <v>10.518330414361886</v>
      </c>
    </row>
    <row r="86" spans="1:8" x14ac:dyDescent="0.3">
      <c r="A86" s="2">
        <v>2025</v>
      </c>
      <c r="B86" s="3">
        <v>1</v>
      </c>
      <c r="C86" s="3">
        <v>1108</v>
      </c>
      <c r="D86" s="3">
        <v>-9.1058244462674303</v>
      </c>
      <c r="E86" s="3">
        <v>2.3185154827996266</v>
      </c>
      <c r="F86" s="3">
        <v>117693</v>
      </c>
      <c r="G86" s="3">
        <v>6.8256287838218022</v>
      </c>
      <c r="H86" s="3">
        <v>10.472777141443055</v>
      </c>
    </row>
    <row r="87" spans="1:8" x14ac:dyDescent="0.3">
      <c r="A87" s="2">
        <v>2025</v>
      </c>
      <c r="B87" s="3">
        <v>2</v>
      </c>
      <c r="C87" s="3">
        <v>1311</v>
      </c>
      <c r="D87" s="3">
        <v>9.4323873121869859</v>
      </c>
      <c r="E87" s="3">
        <v>2.0331656085878476</v>
      </c>
      <c r="F87" s="3">
        <v>138912</v>
      </c>
      <c r="G87" s="3">
        <v>9.2590844738084108</v>
      </c>
      <c r="H87" s="3">
        <v>10.438230940681203</v>
      </c>
    </row>
    <row r="88" spans="1:8" x14ac:dyDescent="0.3">
      <c r="A88" s="2">
        <v>2025</v>
      </c>
      <c r="B88" s="3">
        <v>3</v>
      </c>
      <c r="C88" s="3">
        <v>1436</v>
      </c>
      <c r="D88" s="3">
        <v>32.47232472324724</v>
      </c>
      <c r="E88" s="3">
        <v>1.7837795290379899</v>
      </c>
      <c r="F88" s="3">
        <v>171109</v>
      </c>
      <c r="G88" s="3">
        <v>20.342511516686002</v>
      </c>
      <c r="H88" s="3">
        <v>10.412467347138595</v>
      </c>
    </row>
    <row r="89" spans="1:8" x14ac:dyDescent="0.3">
      <c r="A89" s="2">
        <v>2025</v>
      </c>
      <c r="B89" s="3">
        <v>4</v>
      </c>
      <c r="C89" s="3">
        <v>1253</v>
      </c>
      <c r="D89" s="3">
        <v>0.96696212731668396</v>
      </c>
      <c r="E89" s="3">
        <v>1.5605168807035383</v>
      </c>
      <c r="F89" s="3">
        <v>154758</v>
      </c>
      <c r="G89" s="3">
        <v>5.8521771247999288</v>
      </c>
      <c r="H89" s="3">
        <v>10.393180010706187</v>
      </c>
    </row>
    <row r="90" spans="1:8" x14ac:dyDescent="0.3">
      <c r="A90" s="2">
        <v>2025</v>
      </c>
      <c r="B90" s="3">
        <v>5</v>
      </c>
      <c r="C90" s="3">
        <v>1526</v>
      </c>
      <c r="D90" s="3">
        <v>35.403726708074522</v>
      </c>
      <c r="E90" s="3">
        <v>1.3556684491097979</v>
      </c>
      <c r="F90" s="3">
        <v>176369</v>
      </c>
      <c r="G90" s="3">
        <v>16.958672643836703</v>
      </c>
      <c r="H90" s="3">
        <v>10.378752167675598</v>
      </c>
    </row>
    <row r="91" spans="1:8" x14ac:dyDescent="0.3">
      <c r="A91" s="2">
        <v>2025</v>
      </c>
      <c r="B91" s="3">
        <v>6</v>
      </c>
      <c r="C91" s="3">
        <v>1591</v>
      </c>
      <c r="D91" s="3">
        <v>27.893890675241153</v>
      </c>
      <c r="E91" s="3">
        <v>1.1614838007019768</v>
      </c>
      <c r="F91" s="3">
        <v>184688</v>
      </c>
      <c r="G91" s="3">
        <v>16.561373834783865</v>
      </c>
      <c r="H91" s="3">
        <v>10.367251706915813</v>
      </c>
    </row>
    <row r="92" spans="1:8" x14ac:dyDescent="0.3">
      <c r="A92" s="2">
        <v>2025</v>
      </c>
      <c r="B92" s="3">
        <v>7</v>
      </c>
      <c r="C92" s="3">
        <v>1774</v>
      </c>
      <c r="D92" s="3">
        <v>26.623840114204135</v>
      </c>
      <c r="E92" s="3">
        <v>0.97257695041548897</v>
      </c>
      <c r="F92" s="3">
        <v>168803</v>
      </c>
      <c r="G92" s="3">
        <v>19.542093932355108</v>
      </c>
      <c r="H92" s="3">
        <v>10.357203456217768</v>
      </c>
    </row>
    <row r="93" spans="1:8" x14ac:dyDescent="0.3">
      <c r="A93" s="2">
        <v>2025</v>
      </c>
      <c r="B93" s="3">
        <v>8</v>
      </c>
      <c r="C93" s="3">
        <v>1509</v>
      </c>
      <c r="D93" s="3">
        <v>25.959933222036735</v>
      </c>
      <c r="E93" s="3">
        <v>0.78541833032981423</v>
      </c>
      <c r="F93" s="3">
        <v>105974</v>
      </c>
      <c r="G93" s="3">
        <v>16.211029597219028</v>
      </c>
      <c r="H93" s="3">
        <v>10.347562390742395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I645"/>
  <sheetViews>
    <sheetView topLeftCell="A79" workbookViewId="0">
      <selection activeCell="C93" sqref="C93"/>
    </sheetView>
  </sheetViews>
  <sheetFormatPr baseColWidth="10" defaultColWidth="11.42578125" defaultRowHeight="13.5" x14ac:dyDescent="0.3"/>
  <cols>
    <col min="1" max="1" width="4.42578125" style="2" bestFit="1" customWidth="1"/>
    <col min="2" max="2" width="4.42578125" style="2" customWidth="1"/>
    <col min="3" max="3" width="10.7109375" style="2" customWidth="1"/>
    <col min="4" max="4" width="13.42578125" style="2" bestFit="1" customWidth="1"/>
    <col min="5" max="5" width="20.5703125" style="2" bestFit="1" customWidth="1"/>
    <col min="6" max="6" width="18" style="2" bestFit="1" customWidth="1"/>
    <col min="7" max="7" width="11.140625" style="2" bestFit="1" customWidth="1"/>
    <col min="8" max="8" width="18.28515625" style="2" bestFit="1" customWidth="1"/>
    <col min="9" max="9" width="18" style="2" bestFit="1" customWidth="1"/>
    <col min="10" max="16384" width="11.42578125" style="2"/>
  </cols>
  <sheetData>
    <row r="1" spans="1:9" ht="21" customHeight="1" x14ac:dyDescent="0.3">
      <c r="A1" s="7" t="s">
        <v>0</v>
      </c>
      <c r="B1" s="7" t="s">
        <v>1</v>
      </c>
      <c r="C1" s="7" t="s">
        <v>80</v>
      </c>
      <c r="D1" s="7" t="s">
        <v>81</v>
      </c>
      <c r="E1" s="7" t="s">
        <v>82</v>
      </c>
      <c r="F1" s="7" t="s">
        <v>83</v>
      </c>
      <c r="G1" s="7" t="s">
        <v>84</v>
      </c>
      <c r="H1" s="7" t="s">
        <v>85</v>
      </c>
      <c r="I1" s="1"/>
    </row>
    <row r="2" spans="1:9" x14ac:dyDescent="0.3">
      <c r="A2" s="2">
        <v>2018</v>
      </c>
      <c r="B2" s="8">
        <v>1</v>
      </c>
      <c r="C2" s="8">
        <v>36885.14</v>
      </c>
      <c r="D2" s="8">
        <v>-0.46087102951430925</v>
      </c>
      <c r="E2" s="8">
        <v>0.52020509660334269</v>
      </c>
      <c r="F2" s="8">
        <v>3026750.2000000011</v>
      </c>
      <c r="G2" s="8">
        <v>1.8236766462812026</v>
      </c>
      <c r="H2" s="8">
        <v>1.2780691225042664</v>
      </c>
    </row>
    <row r="3" spans="1:9" x14ac:dyDescent="0.3">
      <c r="A3" s="2">
        <v>2018</v>
      </c>
      <c r="B3" s="8">
        <v>2</v>
      </c>
      <c r="C3" s="8">
        <v>36202.620000000003</v>
      </c>
      <c r="D3" s="8">
        <v>5.6348310606953556</v>
      </c>
      <c r="E3" s="8">
        <v>0.3244800187480445</v>
      </c>
      <c r="F3" s="8">
        <v>2985026.959999999</v>
      </c>
      <c r="G3" s="8">
        <v>7.1744072440828921</v>
      </c>
      <c r="H3" s="8">
        <v>1.093614475990923</v>
      </c>
    </row>
    <row r="4" spans="1:9" x14ac:dyDescent="0.3">
      <c r="A4" s="2">
        <v>2018</v>
      </c>
      <c r="B4" s="8">
        <v>3</v>
      </c>
      <c r="C4" s="8">
        <v>40738.410000000003</v>
      </c>
      <c r="D4" s="8">
        <v>2.7323224286727621</v>
      </c>
      <c r="E4" s="8">
        <v>0.12318239488357134</v>
      </c>
      <c r="F4" s="8">
        <v>3202782.2499999991</v>
      </c>
      <c r="G4" s="8">
        <v>1.1996448955937433</v>
      </c>
      <c r="H4" s="8">
        <v>0.89980622840254054</v>
      </c>
    </row>
    <row r="5" spans="1:9" x14ac:dyDescent="0.3">
      <c r="A5" s="2">
        <v>2018</v>
      </c>
      <c r="B5" s="8">
        <v>4</v>
      </c>
      <c r="C5" s="8">
        <v>37821.369999999995</v>
      </c>
      <c r="D5" s="8">
        <v>1.3887232051401188</v>
      </c>
      <c r="E5" s="8">
        <v>-8.3411062928564247E-2</v>
      </c>
      <c r="F5" s="8">
        <v>2966529.6099999994</v>
      </c>
      <c r="G5" s="8">
        <v>6.1033522748608737</v>
      </c>
      <c r="H5" s="8">
        <v>0.69733828209869519</v>
      </c>
    </row>
    <row r="6" spans="1:9" x14ac:dyDescent="0.3">
      <c r="A6" s="2">
        <v>2018</v>
      </c>
      <c r="B6" s="8">
        <v>5</v>
      </c>
      <c r="C6" s="8">
        <v>40768.589999999997</v>
      </c>
      <c r="D6" s="8">
        <v>6.0730964398327147</v>
      </c>
      <c r="E6" s="8">
        <v>-0.29484245234672546</v>
      </c>
      <c r="F6" s="8">
        <v>3070004.4899999984</v>
      </c>
      <c r="G6" s="8">
        <v>1.9615662914358456</v>
      </c>
      <c r="H6" s="8">
        <v>0.48692536156862914</v>
      </c>
    </row>
    <row r="7" spans="1:9" x14ac:dyDescent="0.3">
      <c r="A7" s="2">
        <v>2018</v>
      </c>
      <c r="B7" s="8">
        <v>6</v>
      </c>
      <c r="C7" s="8">
        <v>38181.189999999995</v>
      </c>
      <c r="D7" s="8">
        <v>1.9737638069588392</v>
      </c>
      <c r="E7" s="8">
        <v>-0.51055163948288185</v>
      </c>
      <c r="F7" s="8">
        <v>2994611.08</v>
      </c>
      <c r="G7" s="8">
        <v>-2.9521508785978479</v>
      </c>
      <c r="H7" s="8">
        <v>0.26965760893997109</v>
      </c>
    </row>
    <row r="8" spans="1:9" x14ac:dyDescent="0.3">
      <c r="A8" s="2">
        <v>2018</v>
      </c>
      <c r="B8" s="8">
        <v>7</v>
      </c>
      <c r="C8" s="8">
        <v>40366.81</v>
      </c>
      <c r="D8" s="8">
        <v>-0.31788685865160593</v>
      </c>
      <c r="E8" s="8">
        <v>-0.72953627247037944</v>
      </c>
      <c r="F8" s="8">
        <v>3189052.0099999993</v>
      </c>
      <c r="G8" s="8">
        <v>2.7831608062800051</v>
      </c>
      <c r="H8" s="8">
        <v>4.6727571960479358E-2</v>
      </c>
    </row>
    <row r="9" spans="1:9" x14ac:dyDescent="0.3">
      <c r="A9" s="2">
        <v>2018</v>
      </c>
      <c r="B9" s="8">
        <v>8</v>
      </c>
      <c r="C9" s="8">
        <v>42590.17</v>
      </c>
      <c r="D9" s="8">
        <v>-3.1663719683340141</v>
      </c>
      <c r="E9" s="8">
        <v>-0.95062147753656134</v>
      </c>
      <c r="F9" s="8">
        <v>3080142.7699999986</v>
      </c>
      <c r="G9" s="8">
        <v>2.2203962272505429</v>
      </c>
      <c r="H9" s="8">
        <v>-0.18089593832261117</v>
      </c>
    </row>
    <row r="10" spans="1:9" x14ac:dyDescent="0.3">
      <c r="A10" s="2">
        <v>2018</v>
      </c>
      <c r="B10" s="8">
        <v>9</v>
      </c>
      <c r="C10" s="8">
        <v>35592.449999999997</v>
      </c>
      <c r="D10" s="8">
        <v>-0.97215336101137417</v>
      </c>
      <c r="E10" s="8">
        <v>-1.172603794143922</v>
      </c>
      <c r="F10" s="8">
        <v>2856258.2199999993</v>
      </c>
      <c r="G10" s="8">
        <v>-2.0372677593686661</v>
      </c>
      <c r="H10" s="8">
        <v>-0.41205408077634897</v>
      </c>
    </row>
    <row r="11" spans="1:9" x14ac:dyDescent="0.3">
      <c r="A11" s="2">
        <v>2018</v>
      </c>
      <c r="B11" s="8">
        <v>10</v>
      </c>
      <c r="C11" s="8">
        <v>39943.78</v>
      </c>
      <c r="D11" s="8">
        <v>7.5021833473507105</v>
      </c>
      <c r="E11" s="8">
        <v>-1.394433633316817</v>
      </c>
      <c r="F11" s="8">
        <v>3182101.4800000004</v>
      </c>
      <c r="G11" s="8">
        <v>6.1594961399960457</v>
      </c>
      <c r="H11" s="8">
        <v>-0.64542125786739557</v>
      </c>
    </row>
    <row r="12" spans="1:9" x14ac:dyDescent="0.3">
      <c r="A12" s="2">
        <v>2018</v>
      </c>
      <c r="B12" s="8">
        <v>11</v>
      </c>
      <c r="C12" s="8">
        <v>37674.19</v>
      </c>
      <c r="D12" s="8">
        <v>-1.6269053261004363</v>
      </c>
      <c r="E12" s="8">
        <v>-1.6150474859106345</v>
      </c>
      <c r="F12" s="8">
        <v>3103524.2099999986</v>
      </c>
      <c r="G12" s="8">
        <v>0.98935835907005831</v>
      </c>
      <c r="H12" s="8">
        <v>-0.87978473412342595</v>
      </c>
    </row>
    <row r="13" spans="1:9" x14ac:dyDescent="0.3">
      <c r="A13" s="2">
        <v>2018</v>
      </c>
      <c r="B13" s="8">
        <v>12</v>
      </c>
      <c r="C13" s="8">
        <v>39270.75</v>
      </c>
      <c r="D13" s="8">
        <v>2.3344152899862802</v>
      </c>
      <c r="E13" s="8">
        <v>-1.8327640221571051</v>
      </c>
      <c r="F13" s="8">
        <v>3129967.3599999994</v>
      </c>
      <c r="G13" s="8">
        <v>0.51564033571958046</v>
      </c>
      <c r="H13" s="8">
        <v>-1.11345921036393</v>
      </c>
    </row>
    <row r="14" spans="1:9" x14ac:dyDescent="0.3">
      <c r="A14" s="2">
        <v>2019</v>
      </c>
      <c r="B14" s="8">
        <v>1</v>
      </c>
      <c r="C14" s="8">
        <v>37304.26</v>
      </c>
      <c r="D14" s="8">
        <v>1.1362841512869482</v>
      </c>
      <c r="E14" s="8">
        <v>-2.0459027357490833</v>
      </c>
      <c r="F14" s="8">
        <v>3216448.8699999992</v>
      </c>
      <c r="G14" s="8">
        <v>6.2674042278083597</v>
      </c>
      <c r="H14" s="8">
        <v>-1.3446295858047037</v>
      </c>
    </row>
    <row r="15" spans="1:9" x14ac:dyDescent="0.3">
      <c r="A15" s="2">
        <v>2019</v>
      </c>
      <c r="B15" s="8">
        <v>2</v>
      </c>
      <c r="C15" s="8">
        <v>35923.119999999995</v>
      </c>
      <c r="D15" s="8">
        <v>-0.77204357032725213</v>
      </c>
      <c r="E15" s="8">
        <v>-2.2524937329271912</v>
      </c>
      <c r="F15" s="8">
        <v>2888691.4600000004</v>
      </c>
      <c r="G15" s="8">
        <v>-3.2272907846701226</v>
      </c>
      <c r="H15" s="8">
        <v>-1.5713676277486202</v>
      </c>
    </row>
    <row r="16" spans="1:9" x14ac:dyDescent="0.3">
      <c r="A16" s="2">
        <v>2019</v>
      </c>
      <c r="B16" s="8">
        <v>3</v>
      </c>
      <c r="C16" s="8">
        <v>39048.410000000003</v>
      </c>
      <c r="D16" s="8">
        <v>-4.1484191454698394</v>
      </c>
      <c r="E16" s="8">
        <v>-2.4503461347315625</v>
      </c>
      <c r="F16" s="8">
        <v>3031194.3499999987</v>
      </c>
      <c r="G16" s="8">
        <v>-5.3574638113471629</v>
      </c>
      <c r="H16" s="8">
        <v>-1.7912164900392737</v>
      </c>
    </row>
    <row r="17" spans="1:8" x14ac:dyDescent="0.3">
      <c r="A17" s="2">
        <v>2019</v>
      </c>
      <c r="B17" s="8">
        <v>4</v>
      </c>
      <c r="C17" s="8">
        <v>40292.74</v>
      </c>
      <c r="D17" s="8">
        <v>6.5343217339826731</v>
      </c>
      <c r="E17" s="8">
        <v>-2.6371662531632607</v>
      </c>
      <c r="F17" s="8">
        <v>3028026.2</v>
      </c>
      <c r="G17" s="8">
        <v>2.0730145349872497</v>
      </c>
      <c r="H17" s="8">
        <v>-2.0018343211839338</v>
      </c>
    </row>
    <row r="18" spans="1:8" x14ac:dyDescent="0.3">
      <c r="A18" s="2">
        <v>2019</v>
      </c>
      <c r="B18" s="8">
        <v>5</v>
      </c>
      <c r="C18" s="8">
        <v>39707.999999999993</v>
      </c>
      <c r="D18" s="8">
        <v>-2.6014880573500432</v>
      </c>
      <c r="E18" s="8">
        <v>-2.810778321960206</v>
      </c>
      <c r="F18" s="8">
        <v>3091395.8700000015</v>
      </c>
      <c r="G18" s="8">
        <v>0.69678660307115337</v>
      </c>
      <c r="H18" s="8">
        <v>-2.2011269257538491</v>
      </c>
    </row>
    <row r="19" spans="1:8" x14ac:dyDescent="0.3">
      <c r="A19" s="2">
        <v>2019</v>
      </c>
      <c r="B19" s="8">
        <v>6</v>
      </c>
      <c r="C19" s="8">
        <v>36564.61</v>
      </c>
      <c r="D19" s="8">
        <v>-4.2339696588817528</v>
      </c>
      <c r="E19" s="8">
        <v>-2.9683696659723222</v>
      </c>
      <c r="F19" s="8">
        <v>2931888.4700000016</v>
      </c>
      <c r="G19" s="8">
        <v>-2.0945160598283219</v>
      </c>
      <c r="H19" s="8">
        <v>-2.3867171327052565</v>
      </c>
    </row>
    <row r="20" spans="1:8" x14ac:dyDescent="0.3">
      <c r="A20" s="2">
        <v>2019</v>
      </c>
      <c r="B20" s="8">
        <v>7</v>
      </c>
      <c r="C20" s="8">
        <v>41424.160000000003</v>
      </c>
      <c r="D20" s="8">
        <v>2.6193548610851547</v>
      </c>
      <c r="E20" s="8">
        <v>-3.1071130760033792</v>
      </c>
      <c r="F20" s="8">
        <v>3257212.64</v>
      </c>
      <c r="G20" s="8">
        <v>2.1373320280217323</v>
      </c>
      <c r="H20" s="8">
        <v>-2.5560265269993354</v>
      </c>
    </row>
    <row r="21" spans="1:8" x14ac:dyDescent="0.3">
      <c r="A21" s="2">
        <v>2019</v>
      </c>
      <c r="B21" s="8">
        <v>8</v>
      </c>
      <c r="C21" s="8">
        <v>43151.12999999999</v>
      </c>
      <c r="D21" s="8">
        <v>1.3171114367469983</v>
      </c>
      <c r="E21" s="8">
        <v>-3.2242692317455428</v>
      </c>
      <c r="F21" s="8">
        <v>2974064.0300000007</v>
      </c>
      <c r="G21" s="8">
        <v>-3.4439552943189677</v>
      </c>
      <c r="H21" s="8">
        <v>-2.7064564018560922</v>
      </c>
    </row>
    <row r="22" spans="1:8" x14ac:dyDescent="0.3">
      <c r="A22" s="2">
        <v>2019</v>
      </c>
      <c r="B22" s="8">
        <v>9</v>
      </c>
      <c r="C22" s="8">
        <v>35161.679999999993</v>
      </c>
      <c r="D22" s="8">
        <v>-1.2102847654488658</v>
      </c>
      <c r="E22" s="8">
        <v>-3.3167011415064582</v>
      </c>
      <c r="F22" s="8">
        <v>2884053.4400000009</v>
      </c>
      <c r="G22" s="8">
        <v>0.97313400466998434</v>
      </c>
      <c r="H22" s="8">
        <v>-2.8350821228181009</v>
      </c>
    </row>
    <row r="23" spans="1:8" x14ac:dyDescent="0.3">
      <c r="A23" s="2">
        <v>2019</v>
      </c>
      <c r="B23" s="8">
        <v>10</v>
      </c>
      <c r="C23" s="8">
        <v>38131.99</v>
      </c>
      <c r="D23" s="8">
        <v>-4.5358501373680689</v>
      </c>
      <c r="E23" s="8">
        <v>-3.3809564399362375</v>
      </c>
      <c r="F23" s="8">
        <v>3200658.5499999984</v>
      </c>
      <c r="G23" s="8">
        <v>0.5831702765179525</v>
      </c>
      <c r="H23" s="8">
        <v>-2.9390302706288023</v>
      </c>
    </row>
    <row r="24" spans="1:8" x14ac:dyDescent="0.3">
      <c r="A24" s="2">
        <v>2019</v>
      </c>
      <c r="B24" s="8">
        <v>11</v>
      </c>
      <c r="C24" s="8">
        <v>35127.429999999993</v>
      </c>
      <c r="D24" s="8">
        <v>-6.7599595372853649</v>
      </c>
      <c r="E24" s="8">
        <v>-3.4134364827699883</v>
      </c>
      <c r="F24" s="8">
        <v>3063297.399999999</v>
      </c>
      <c r="G24" s="8">
        <v>-1.2961654969657732</v>
      </c>
      <c r="H24" s="8">
        <v>-3.0151629665783388</v>
      </c>
    </row>
    <row r="25" spans="1:8" x14ac:dyDescent="0.3">
      <c r="A25" s="2">
        <v>2019</v>
      </c>
      <c r="B25" s="8">
        <v>12</v>
      </c>
      <c r="C25" s="8">
        <v>36845.19</v>
      </c>
      <c r="D25" s="8">
        <v>-6.1765054143350877</v>
      </c>
      <c r="E25" s="8">
        <v>-3.4106228266940297</v>
      </c>
      <c r="F25" s="8">
        <v>3065394.1199999996</v>
      </c>
      <c r="G25" s="8">
        <v>-2.0630643253736647</v>
      </c>
      <c r="H25" s="8">
        <v>-3.0600977346966349</v>
      </c>
    </row>
    <row r="26" spans="1:8" x14ac:dyDescent="0.3">
      <c r="A26" s="2">
        <v>2020</v>
      </c>
      <c r="B26" s="8">
        <v>1</v>
      </c>
      <c r="C26" s="8">
        <v>35279.610000000008</v>
      </c>
      <c r="D26" s="8">
        <v>-5.4273962276694228</v>
      </c>
      <c r="E26" s="8">
        <v>-3.3692294258290212</v>
      </c>
      <c r="F26" s="8">
        <v>3031500.0800000005</v>
      </c>
      <c r="G26" s="8">
        <v>-5.7500926479828856</v>
      </c>
      <c r="H26" s="8">
        <v>-3.0703327241893361</v>
      </c>
    </row>
    <row r="27" spans="1:8" x14ac:dyDescent="0.3">
      <c r="A27" s="2">
        <v>2020</v>
      </c>
      <c r="B27" s="8">
        <v>2</v>
      </c>
      <c r="C27" s="8">
        <v>35328.619999999995</v>
      </c>
      <c r="D27" s="8">
        <v>-1.6549230690430017</v>
      </c>
      <c r="E27" s="8">
        <v>-3.2861623094753192</v>
      </c>
      <c r="F27" s="8">
        <v>2858003.3500000006</v>
      </c>
      <c r="G27" s="8">
        <v>-1.0623533328131818</v>
      </c>
      <c r="H27" s="8">
        <v>-3.0422968458308843</v>
      </c>
    </row>
    <row r="28" spans="1:8" x14ac:dyDescent="0.3">
      <c r="A28" s="2">
        <v>2020</v>
      </c>
      <c r="B28" s="8">
        <v>3</v>
      </c>
      <c r="C28" s="8">
        <v>31303.599999999999</v>
      </c>
      <c r="D28" s="8">
        <v>-19.833867755434863</v>
      </c>
      <c r="E28" s="8">
        <v>-3.1584704351834079</v>
      </c>
      <c r="F28" s="8">
        <v>2469778.4500000007</v>
      </c>
      <c r="G28" s="8">
        <v>-18.521276934948038</v>
      </c>
      <c r="H28" s="8">
        <v>-2.9726051048348738</v>
      </c>
    </row>
    <row r="29" spans="1:8" x14ac:dyDescent="0.3">
      <c r="A29" s="2">
        <v>2020</v>
      </c>
      <c r="B29" s="8">
        <v>4</v>
      </c>
      <c r="C29" s="8">
        <v>18255.93</v>
      </c>
      <c r="D29" s="8">
        <v>-54.691763330068888</v>
      </c>
      <c r="E29" s="8">
        <v>-2.983089480000964</v>
      </c>
      <c r="F29" s="8">
        <v>1600760.4199999995</v>
      </c>
      <c r="G29" s="8">
        <v>-47.135185950504678</v>
      </c>
      <c r="H29" s="8">
        <v>-2.8577350103376058</v>
      </c>
    </row>
    <row r="30" spans="1:8" x14ac:dyDescent="0.3">
      <c r="A30" s="2">
        <v>2020</v>
      </c>
      <c r="B30" s="8">
        <v>5</v>
      </c>
      <c r="C30" s="8">
        <v>23775.73</v>
      </c>
      <c r="D30" s="8">
        <v>-40.123577112924337</v>
      </c>
      <c r="E30" s="8">
        <v>-2.7581131346784593</v>
      </c>
      <c r="F30" s="8">
        <v>1973580.18</v>
      </c>
      <c r="G30" s="8">
        <v>-36.158930690426295</v>
      </c>
      <c r="H30" s="8">
        <v>-2.695243840352473</v>
      </c>
    </row>
    <row r="31" spans="1:8" x14ac:dyDescent="0.3">
      <c r="A31" s="2">
        <v>2020</v>
      </c>
      <c r="B31" s="8">
        <v>6</v>
      </c>
      <c r="C31" s="8">
        <v>29363.19</v>
      </c>
      <c r="D31" s="8">
        <v>-19.695054863158667</v>
      </c>
      <c r="E31" s="8">
        <v>-2.4852259700948429</v>
      </c>
      <c r="F31" s="8">
        <v>2421675.8899999987</v>
      </c>
      <c r="G31" s="8">
        <v>-17.402182423399026</v>
      </c>
      <c r="H31" s="8">
        <v>-2.4857636958748244</v>
      </c>
    </row>
    <row r="32" spans="1:8" x14ac:dyDescent="0.3">
      <c r="A32" s="2">
        <v>2020</v>
      </c>
      <c r="B32" s="8">
        <v>7</v>
      </c>
      <c r="C32" s="8">
        <v>38963.659999999996</v>
      </c>
      <c r="D32" s="8">
        <v>-5.9397704141737728</v>
      </c>
      <c r="E32" s="8">
        <v>-2.1687073810164419</v>
      </c>
      <c r="F32" s="8">
        <v>2935120.3199999984</v>
      </c>
      <c r="G32" s="8">
        <v>-9.8885874395968738</v>
      </c>
      <c r="H32" s="8">
        <v>-2.2322505450423753</v>
      </c>
    </row>
    <row r="33" spans="1:8" x14ac:dyDescent="0.3">
      <c r="A33" s="2">
        <v>2020</v>
      </c>
      <c r="B33" s="8">
        <v>8</v>
      </c>
      <c r="C33" s="8">
        <v>39089.930000000015</v>
      </c>
      <c r="D33" s="8">
        <v>-9.4115727676192371</v>
      </c>
      <c r="E33" s="8">
        <v>-1.8140318892160467</v>
      </c>
      <c r="F33" s="8">
        <v>2594592.0099999993</v>
      </c>
      <c r="G33" s="8">
        <v>-12.75937626669058</v>
      </c>
      <c r="H33" s="8">
        <v>-1.9386962184044751</v>
      </c>
    </row>
    <row r="34" spans="1:8" x14ac:dyDescent="0.3">
      <c r="A34" s="2">
        <v>2020</v>
      </c>
      <c r="B34" s="8">
        <v>9</v>
      </c>
      <c r="C34" s="8">
        <v>33229.990000000005</v>
      </c>
      <c r="D34" s="8">
        <v>-5.4937363629951381</v>
      </c>
      <c r="E34" s="8">
        <v>-1.426935895843751</v>
      </c>
      <c r="F34" s="8">
        <v>2672693.1000000015</v>
      </c>
      <c r="G34" s="8">
        <v>-7.3285861166289434</v>
      </c>
      <c r="H34" s="8">
        <v>-1.6096242365725952</v>
      </c>
    </row>
    <row r="35" spans="1:8" x14ac:dyDescent="0.3">
      <c r="A35" s="2">
        <v>2020</v>
      </c>
      <c r="B35" s="8">
        <v>10</v>
      </c>
      <c r="C35" s="8">
        <v>33797.44000000001</v>
      </c>
      <c r="D35" s="8">
        <v>-11.367227359495235</v>
      </c>
      <c r="E35" s="8">
        <v>-1.013683409055093</v>
      </c>
      <c r="F35" s="8">
        <v>2812309.5400000005</v>
      </c>
      <c r="G35" s="8">
        <v>-12.133409544732544</v>
      </c>
      <c r="H35" s="8">
        <v>-1.2503095562726716</v>
      </c>
    </row>
    <row r="36" spans="1:8" x14ac:dyDescent="0.3">
      <c r="A36" s="2">
        <v>2020</v>
      </c>
      <c r="B36" s="8">
        <v>11</v>
      </c>
      <c r="C36" s="8">
        <v>29546.080000000005</v>
      </c>
      <c r="D36" s="8">
        <v>-15.888865197368517</v>
      </c>
      <c r="E36" s="8">
        <v>-0.58082085370471859</v>
      </c>
      <c r="F36" s="8">
        <v>2529761.9699999993</v>
      </c>
      <c r="G36" s="8">
        <v>-17.41703009312775</v>
      </c>
      <c r="H36" s="8">
        <v>-0.86642428436119956</v>
      </c>
    </row>
    <row r="37" spans="1:8" x14ac:dyDescent="0.3">
      <c r="A37" s="2">
        <v>2020</v>
      </c>
      <c r="B37" s="8">
        <v>12</v>
      </c>
      <c r="C37" s="8">
        <v>35042.219999999994</v>
      </c>
      <c r="D37" s="8">
        <v>-4.8933659997411061</v>
      </c>
      <c r="E37" s="8">
        <v>-0.135613650754943</v>
      </c>
      <c r="F37" s="8">
        <v>2866924.1099999994</v>
      </c>
      <c r="G37" s="8">
        <v>-6.4745348307773343</v>
      </c>
      <c r="H37" s="8">
        <v>-0.46439629852720637</v>
      </c>
    </row>
    <row r="38" spans="1:8" x14ac:dyDescent="0.3">
      <c r="A38" s="2">
        <v>2021</v>
      </c>
      <c r="B38" s="8">
        <v>1</v>
      </c>
      <c r="C38" s="8">
        <v>32429.370000000003</v>
      </c>
      <c r="D38" s="8">
        <v>-8.0790008733089831</v>
      </c>
      <c r="E38" s="8">
        <v>0.31360972019694161</v>
      </c>
      <c r="F38" s="8">
        <v>2481396.810000001</v>
      </c>
      <c r="G38" s="8">
        <v>-18.146239666271079</v>
      </c>
      <c r="H38" s="8">
        <v>-5.1802824085328186E-2</v>
      </c>
    </row>
    <row r="39" spans="1:8" x14ac:dyDescent="0.3">
      <c r="A39" s="2">
        <v>2021</v>
      </c>
      <c r="B39" s="8">
        <v>2</v>
      </c>
      <c r="C39" s="8">
        <v>29210.489999999998</v>
      </c>
      <c r="D39" s="8">
        <v>-17.317772389637632</v>
      </c>
      <c r="E39" s="8">
        <v>0.75819038008496364</v>
      </c>
      <c r="F39" s="8">
        <v>2415902.5300000021</v>
      </c>
      <c r="G39" s="8">
        <v>-15.468869901779447</v>
      </c>
      <c r="H39" s="8">
        <v>0.36336154291839273</v>
      </c>
    </row>
    <row r="40" spans="1:8" x14ac:dyDescent="0.3">
      <c r="A40" s="2">
        <v>2021</v>
      </c>
      <c r="B40" s="8">
        <v>3</v>
      </c>
      <c r="C40" s="8">
        <v>33906.239999999991</v>
      </c>
      <c r="D40" s="8">
        <v>8.314187505590386</v>
      </c>
      <c r="E40" s="8">
        <v>1.1888866296630469</v>
      </c>
      <c r="F40" s="8">
        <v>2990130.9300000006</v>
      </c>
      <c r="G40" s="8">
        <v>21.068791818148714</v>
      </c>
      <c r="H40" s="8">
        <v>0.77184564832387348</v>
      </c>
    </row>
    <row r="41" spans="1:8" x14ac:dyDescent="0.3">
      <c r="A41" s="2">
        <v>2021</v>
      </c>
      <c r="B41" s="8">
        <v>4</v>
      </c>
      <c r="C41" s="8">
        <v>33761.620000000003</v>
      </c>
      <c r="D41" s="8">
        <v>84.935086845753688</v>
      </c>
      <c r="E41" s="8">
        <v>1.5952014944927735</v>
      </c>
      <c r="F41" s="8">
        <v>2566937.4499999988</v>
      </c>
      <c r="G41" s="8">
        <v>60.357378776269321</v>
      </c>
      <c r="H41" s="8">
        <v>1.1632988774540383</v>
      </c>
    </row>
    <row r="42" spans="1:8" x14ac:dyDescent="0.3">
      <c r="A42" s="2">
        <v>2021</v>
      </c>
      <c r="B42" s="8">
        <v>5</v>
      </c>
      <c r="C42" s="8">
        <v>31218.78</v>
      </c>
      <c r="D42" s="8">
        <v>31.30524278329203</v>
      </c>
      <c r="E42" s="8">
        <v>1.9671328126965539</v>
      </c>
      <c r="F42" s="8">
        <v>2747349.2100000009</v>
      </c>
      <c r="G42" s="8">
        <v>39.206364040400985</v>
      </c>
      <c r="H42" s="8">
        <v>1.5287801257824938</v>
      </c>
    </row>
    <row r="43" spans="1:8" ht="14.25" customHeight="1" x14ac:dyDescent="0.3">
      <c r="A43" s="2">
        <v>2021</v>
      </c>
      <c r="B43" s="8">
        <v>6</v>
      </c>
      <c r="C43" s="8">
        <v>37497.31</v>
      </c>
      <c r="D43" s="8">
        <v>27.701758562336032</v>
      </c>
      <c r="E43" s="8">
        <v>2.300465914435081</v>
      </c>
      <c r="F43" s="8">
        <v>2887678.2699999996</v>
      </c>
      <c r="G43" s="8">
        <v>19.242970618995624</v>
      </c>
      <c r="H43" s="8">
        <v>1.8634589887758202</v>
      </c>
    </row>
    <row r="44" spans="1:8" x14ac:dyDescent="0.3">
      <c r="A44" s="2">
        <v>2021</v>
      </c>
      <c r="B44" s="8">
        <v>7</v>
      </c>
      <c r="C44" s="8">
        <v>40308.44999999999</v>
      </c>
      <c r="D44" s="8">
        <v>3.4513954797880775</v>
      </c>
      <c r="E44" s="8">
        <v>2.5930234986170051</v>
      </c>
      <c r="F44" s="8">
        <v>3070666.3800000008</v>
      </c>
      <c r="G44" s="8">
        <v>4.618075077753625</v>
      </c>
      <c r="H44" s="8">
        <v>2.165121560783557</v>
      </c>
    </row>
    <row r="45" spans="1:8" x14ac:dyDescent="0.3">
      <c r="A45" s="2">
        <v>2021</v>
      </c>
      <c r="B45" s="8">
        <v>8</v>
      </c>
      <c r="C45" s="8">
        <v>43639.86</v>
      </c>
      <c r="D45" s="8">
        <v>11.639647346516057</v>
      </c>
      <c r="E45" s="8">
        <v>2.8443922428070816</v>
      </c>
      <c r="F45" s="8">
        <v>2859058.350000002</v>
      </c>
      <c r="G45" s="8">
        <v>10.192983674531654</v>
      </c>
      <c r="H45" s="8">
        <v>2.4327608466851207</v>
      </c>
    </row>
    <row r="46" spans="1:8" x14ac:dyDescent="0.3">
      <c r="A46" s="2">
        <v>2021</v>
      </c>
      <c r="B46" s="8">
        <v>9</v>
      </c>
      <c r="C46" s="8">
        <v>37376.939999999995</v>
      </c>
      <c r="D46" s="8">
        <v>12.479540318850502</v>
      </c>
      <c r="E46" s="8">
        <v>3.054218433735425</v>
      </c>
      <c r="F46" s="8">
        <v>2942680.709999999</v>
      </c>
      <c r="G46" s="8">
        <v>10.101706402429711</v>
      </c>
      <c r="H46" s="8">
        <v>2.6655401953541618</v>
      </c>
    </row>
    <row r="47" spans="1:8" x14ac:dyDescent="0.3">
      <c r="A47" s="2">
        <v>2021</v>
      </c>
      <c r="B47" s="8">
        <v>10</v>
      </c>
      <c r="C47" s="8">
        <v>36574.020000000004</v>
      </c>
      <c r="D47" s="8">
        <v>8.2153559559540401</v>
      </c>
      <c r="E47" s="8">
        <v>3.2227591397365734</v>
      </c>
      <c r="F47" s="8">
        <v>2986048.069999998</v>
      </c>
      <c r="G47" s="8">
        <v>6.1777883098884434</v>
      </c>
      <c r="H47" s="8">
        <v>2.8631618600273749</v>
      </c>
    </row>
    <row r="48" spans="1:8" x14ac:dyDescent="0.3">
      <c r="A48" s="2">
        <v>2021</v>
      </c>
      <c r="B48" s="8">
        <v>11</v>
      </c>
      <c r="C48" s="8">
        <v>37580.17</v>
      </c>
      <c r="D48" s="8">
        <v>27.191728987398633</v>
      </c>
      <c r="E48" s="8">
        <v>3.3509259653870864</v>
      </c>
      <c r="F48" s="8">
        <v>3107042.9500000011</v>
      </c>
      <c r="G48" s="8">
        <v>22.819576973876398</v>
      </c>
      <c r="H48" s="8">
        <v>3.0258444943725018</v>
      </c>
    </row>
    <row r="49" spans="1:8" x14ac:dyDescent="0.3">
      <c r="A49" s="2">
        <v>2021</v>
      </c>
      <c r="B49" s="8">
        <v>12</v>
      </c>
      <c r="C49" s="8">
        <v>36853.680000000008</v>
      </c>
      <c r="D49" s="8">
        <v>5.1693642697295372</v>
      </c>
      <c r="E49" s="8">
        <v>3.4399772233757617</v>
      </c>
      <c r="F49" s="8">
        <v>3050855.1600000006</v>
      </c>
      <c r="G49" s="8">
        <v>6.4156232583359563</v>
      </c>
      <c r="H49" s="8">
        <v>3.1540369344496355</v>
      </c>
    </row>
    <row r="50" spans="1:8" x14ac:dyDescent="0.3">
      <c r="A50" s="2">
        <v>2022</v>
      </c>
      <c r="B50" s="8">
        <v>1</v>
      </c>
      <c r="C50" s="8">
        <v>33475.660000000003</v>
      </c>
      <c r="D50" s="8">
        <v>3.2263654828940558</v>
      </c>
      <c r="E50" s="8">
        <v>3.4928268377123692</v>
      </c>
      <c r="F50" s="8">
        <v>2775073.8300000015</v>
      </c>
      <c r="G50" s="8">
        <v>11.835149413285517</v>
      </c>
      <c r="H50" s="8">
        <v>3.24956258107439</v>
      </c>
    </row>
    <row r="51" spans="1:8" x14ac:dyDescent="0.3">
      <c r="A51" s="2">
        <v>2022</v>
      </c>
      <c r="B51" s="8">
        <v>2</v>
      </c>
      <c r="C51" s="8">
        <v>33898.509999999995</v>
      </c>
      <c r="D51" s="8">
        <v>16.049097430409411</v>
      </c>
      <c r="E51" s="8">
        <v>3.5125088287293424</v>
      </c>
      <c r="F51" s="8">
        <v>2866960.2300000009</v>
      </c>
      <c r="G51" s="8">
        <v>18.670360016552422</v>
      </c>
      <c r="H51" s="8">
        <v>3.3144713341126493</v>
      </c>
    </row>
    <row r="52" spans="1:8" x14ac:dyDescent="0.3">
      <c r="A52" s="2">
        <v>2022</v>
      </c>
      <c r="B52" s="8">
        <v>3</v>
      </c>
      <c r="C52" s="8">
        <v>32388.370000000006</v>
      </c>
      <c r="D52" s="8">
        <v>-4.4766686014137358</v>
      </c>
      <c r="E52" s="8">
        <v>3.5020387124983636</v>
      </c>
      <c r="F52" s="8">
        <v>2802643.3500000006</v>
      </c>
      <c r="G52" s="8">
        <v>-6.2702130571921195</v>
      </c>
      <c r="H52" s="8">
        <v>3.3514093147380897</v>
      </c>
    </row>
    <row r="53" spans="1:8" x14ac:dyDescent="0.3">
      <c r="A53" s="2">
        <v>2022</v>
      </c>
      <c r="B53" s="8">
        <v>4</v>
      </c>
      <c r="C53" s="8">
        <v>36164.76999999999</v>
      </c>
      <c r="D53" s="8">
        <v>7.1179937455607467</v>
      </c>
      <c r="E53" s="8">
        <v>3.4653026015217878</v>
      </c>
      <c r="F53" s="8">
        <v>2887062.1899999985</v>
      </c>
      <c r="G53" s="8">
        <v>12.471076768933331</v>
      </c>
      <c r="H53" s="8">
        <v>3.3640890252828908</v>
      </c>
    </row>
    <row r="54" spans="1:8" x14ac:dyDescent="0.3">
      <c r="A54" s="2">
        <v>2022</v>
      </c>
      <c r="B54" s="8">
        <v>5</v>
      </c>
      <c r="C54" s="8">
        <v>36256.399999999994</v>
      </c>
      <c r="D54" s="8">
        <v>16.136505013969149</v>
      </c>
      <c r="E54" s="8">
        <v>3.4056325314051703</v>
      </c>
      <c r="F54" s="8">
        <v>2905465.9899999984</v>
      </c>
      <c r="G54" s="8">
        <v>5.755248711174854</v>
      </c>
      <c r="H54" s="8">
        <v>3.3555547998589592</v>
      </c>
    </row>
    <row r="55" spans="1:8" x14ac:dyDescent="0.3">
      <c r="A55" s="2">
        <v>2022</v>
      </c>
      <c r="B55" s="8">
        <v>6</v>
      </c>
      <c r="C55" s="8">
        <v>35564.420000000006</v>
      </c>
      <c r="D55" s="8">
        <v>-5.1547431002383686</v>
      </c>
      <c r="E55" s="8">
        <v>3.3266141968612923</v>
      </c>
      <c r="F55" s="8">
        <v>2899811.29</v>
      </c>
      <c r="G55" s="8">
        <v>0.42016522844841031</v>
      </c>
      <c r="H55" s="8">
        <v>3.3294834022826225</v>
      </c>
    </row>
    <row r="56" spans="1:8" x14ac:dyDescent="0.3">
      <c r="A56" s="2">
        <v>2022</v>
      </c>
      <c r="B56" s="8">
        <v>7</v>
      </c>
      <c r="C56" s="8">
        <v>38322.080000000002</v>
      </c>
      <c r="D56" s="8">
        <v>-4.9279245418764273</v>
      </c>
      <c r="E56" s="8">
        <v>3.2327173809697789</v>
      </c>
      <c r="F56" s="8">
        <v>2880673.5800000015</v>
      </c>
      <c r="G56" s="8">
        <v>-6.1873475164045395</v>
      </c>
      <c r="H56" s="8">
        <v>3.2897182417807151</v>
      </c>
    </row>
    <row r="57" spans="1:8" x14ac:dyDescent="0.3">
      <c r="A57" s="2">
        <v>2022</v>
      </c>
      <c r="B57" s="8">
        <v>8</v>
      </c>
      <c r="C57" s="8">
        <v>43184.540000000008</v>
      </c>
      <c r="D57" s="8">
        <v>-1.0433580676014853</v>
      </c>
      <c r="E57" s="8">
        <v>3.1278228836646225</v>
      </c>
      <c r="F57" s="8">
        <v>2898342.9800000009</v>
      </c>
      <c r="G57" s="8">
        <v>1.3740408620900979</v>
      </c>
      <c r="H57" s="8">
        <v>3.2399006915957775</v>
      </c>
    </row>
    <row r="58" spans="1:8" x14ac:dyDescent="0.3">
      <c r="A58" s="2">
        <v>2022</v>
      </c>
      <c r="B58" s="8">
        <v>9</v>
      </c>
      <c r="C58" s="8">
        <v>37265.510000000009</v>
      </c>
      <c r="D58" s="8">
        <v>-0.29812499364577638</v>
      </c>
      <c r="E58" s="8">
        <v>3.0152447936351736</v>
      </c>
      <c r="F58" s="8">
        <v>2887682.02</v>
      </c>
      <c r="G58" s="8">
        <v>-1.8689995762400935</v>
      </c>
      <c r="H58" s="8">
        <v>3.1830139954038095</v>
      </c>
    </row>
    <row r="59" spans="1:8" x14ac:dyDescent="0.3">
      <c r="A59" s="2">
        <v>2022</v>
      </c>
      <c r="B59" s="8">
        <v>10</v>
      </c>
      <c r="C59" s="8">
        <v>35380.909999999996</v>
      </c>
      <c r="D59" s="8">
        <v>-3.262179000284926</v>
      </c>
      <c r="E59" s="8">
        <v>2.8980075342269451</v>
      </c>
      <c r="F59" s="8">
        <v>2811079.1</v>
      </c>
      <c r="G59" s="8">
        <v>-5.8595496756352672</v>
      </c>
      <c r="H59" s="8">
        <v>3.1219118232815393</v>
      </c>
    </row>
    <row r="60" spans="1:8" x14ac:dyDescent="0.3">
      <c r="A60" s="2">
        <v>2022</v>
      </c>
      <c r="B60" s="8">
        <v>11</v>
      </c>
      <c r="C60" s="8">
        <v>34502.6</v>
      </c>
      <c r="D60" s="8">
        <v>-8.1893456043439894</v>
      </c>
      <c r="E60" s="8">
        <v>2.778905433661333</v>
      </c>
      <c r="F60" s="8">
        <v>2856839.97</v>
      </c>
      <c r="G60" s="8">
        <v>-8.0527686300571055</v>
      </c>
      <c r="H60" s="8">
        <v>3.0590970110298867</v>
      </c>
    </row>
    <row r="61" spans="1:8" x14ac:dyDescent="0.3">
      <c r="A61" s="2">
        <v>2022</v>
      </c>
      <c r="B61" s="8">
        <v>12</v>
      </c>
      <c r="C61" s="8">
        <v>40326.670000000006</v>
      </c>
      <c r="D61" s="8">
        <v>9.4237264772473175</v>
      </c>
      <c r="E61" s="8">
        <v>2.6603050294281694</v>
      </c>
      <c r="F61" s="8">
        <v>3220608.9500000016</v>
      </c>
      <c r="G61" s="8">
        <v>5.5641379579619565</v>
      </c>
      <c r="H61" s="8">
        <v>2.9964486818456799</v>
      </c>
    </row>
    <row r="62" spans="1:8" x14ac:dyDescent="0.3">
      <c r="A62" s="2">
        <v>2023</v>
      </c>
      <c r="B62" s="8">
        <v>1</v>
      </c>
      <c r="C62" s="8">
        <v>30077.279999999992</v>
      </c>
      <c r="D62" s="8">
        <v>-10.151793870531634</v>
      </c>
      <c r="E62" s="8">
        <v>2.5438111749174253</v>
      </c>
      <c r="F62" s="8">
        <v>2603363.7600000012</v>
      </c>
      <c r="G62" s="8">
        <v>-6.1875856470456565</v>
      </c>
      <c r="H62" s="8">
        <v>2.9350743015895602</v>
      </c>
    </row>
    <row r="63" spans="1:8" x14ac:dyDescent="0.3">
      <c r="A63" s="2">
        <v>2023</v>
      </c>
      <c r="B63" s="8">
        <v>2</v>
      </c>
      <c r="C63" s="8">
        <v>34644.14</v>
      </c>
      <c r="D63" s="8">
        <v>2.1995952034470134</v>
      </c>
      <c r="E63" s="8">
        <v>2.4314984055640587</v>
      </c>
      <c r="F63" s="8">
        <v>2848637.85</v>
      </c>
      <c r="G63" s="8">
        <v>-0.63908734443800519</v>
      </c>
      <c r="H63" s="8">
        <v>2.8762596478774549</v>
      </c>
    </row>
    <row r="64" spans="1:8" x14ac:dyDescent="0.3">
      <c r="A64" s="2">
        <v>2023</v>
      </c>
      <c r="B64" s="8">
        <v>3</v>
      </c>
      <c r="C64" s="8">
        <v>37633.549999999996</v>
      </c>
      <c r="D64" s="8">
        <v>16.194640236603419</v>
      </c>
      <c r="E64" s="8">
        <v>2.3245596175637604</v>
      </c>
      <c r="F64" s="8">
        <v>3051671.2499999995</v>
      </c>
      <c r="G64" s="8">
        <v>8.8854652162573267</v>
      </c>
      <c r="H64" s="8">
        <v>2.8206569802733026</v>
      </c>
    </row>
    <row r="65" spans="1:8" x14ac:dyDescent="0.3">
      <c r="A65" s="2">
        <v>2023</v>
      </c>
      <c r="B65" s="8">
        <v>4</v>
      </c>
      <c r="C65" s="8">
        <v>36119.769999999997</v>
      </c>
      <c r="D65" s="8">
        <v>-0.12443048856661809</v>
      </c>
      <c r="E65" s="8">
        <v>2.2241716027231853</v>
      </c>
      <c r="F65" s="8">
        <v>2681530.3199999998</v>
      </c>
      <c r="G65" s="8">
        <v>-7.1190662505264175</v>
      </c>
      <c r="H65" s="8">
        <v>2.7686744370221303</v>
      </c>
    </row>
    <row r="66" spans="1:8" x14ac:dyDescent="0.3">
      <c r="A66" s="2">
        <v>2023</v>
      </c>
      <c r="B66" s="8">
        <v>5</v>
      </c>
      <c r="C66" s="8">
        <v>36913.319999999992</v>
      </c>
      <c r="D66" s="8">
        <v>1.811873214108406</v>
      </c>
      <c r="E66" s="8">
        <v>2.1324743528919767</v>
      </c>
      <c r="F66" s="8">
        <v>2920160.9899999984</v>
      </c>
      <c r="G66" s="8">
        <v>0.50577084882690304</v>
      </c>
      <c r="H66" s="8">
        <v>2.7211413236075757</v>
      </c>
    </row>
    <row r="67" spans="1:8" x14ac:dyDescent="0.3">
      <c r="A67" s="2">
        <v>2023</v>
      </c>
      <c r="B67" s="8">
        <v>6</v>
      </c>
      <c r="C67" s="8">
        <v>33130.850000000006</v>
      </c>
      <c r="D67" s="8">
        <v>-6.842709651949896</v>
      </c>
      <c r="E67" s="8">
        <v>2.0514447625523275</v>
      </c>
      <c r="F67" s="8">
        <v>2956124.1500000008</v>
      </c>
      <c r="G67" s="8">
        <v>1.9419491259378141</v>
      </c>
      <c r="H67" s="8">
        <v>2.6782002968544183</v>
      </c>
    </row>
    <row r="68" spans="1:8" x14ac:dyDescent="0.3">
      <c r="A68" s="2">
        <v>2023</v>
      </c>
      <c r="B68" s="8">
        <v>7</v>
      </c>
      <c r="C68" s="8">
        <v>37412.949999999997</v>
      </c>
      <c r="D68" s="8">
        <v>-2.3723399147436819</v>
      </c>
      <c r="E68" s="8">
        <v>1.983037462218459</v>
      </c>
      <c r="F68" s="8">
        <v>2968864.2699999996</v>
      </c>
      <c r="G68" s="8">
        <v>3.0614607157260165</v>
      </c>
      <c r="H68" s="8">
        <v>2.6398401684155779</v>
      </c>
    </row>
    <row r="69" spans="1:8" x14ac:dyDescent="0.3">
      <c r="A69" s="2">
        <v>2023</v>
      </c>
      <c r="B69" s="8">
        <v>8</v>
      </c>
      <c r="C69" s="8">
        <v>40661</v>
      </c>
      <c r="D69" s="8">
        <v>-5.843619035886471</v>
      </c>
      <c r="E69" s="8">
        <v>1.9285894327924746</v>
      </c>
      <c r="F69" s="8">
        <v>2795121.0599999991</v>
      </c>
      <c r="G69" s="8">
        <v>-3.5614114931284524</v>
      </c>
      <c r="H69" s="8">
        <v>2.6059986213904387</v>
      </c>
    </row>
    <row r="70" spans="1:8" x14ac:dyDescent="0.3">
      <c r="A70" s="2">
        <v>2023</v>
      </c>
      <c r="B70" s="8">
        <v>9</v>
      </c>
      <c r="C70" s="8">
        <v>35402.469999999994</v>
      </c>
      <c r="D70" s="8">
        <v>-4.9993680483643281</v>
      </c>
      <c r="E70" s="8">
        <v>1.8891351984141886</v>
      </c>
      <c r="F70" s="8">
        <v>2808627.1900000009</v>
      </c>
      <c r="G70" s="8">
        <v>-2.7376570360748809</v>
      </c>
      <c r="H70" s="8">
        <v>2.5766426180830591</v>
      </c>
    </row>
    <row r="71" spans="1:8" x14ac:dyDescent="0.3">
      <c r="A71" s="2">
        <v>2023</v>
      </c>
      <c r="B71" s="8">
        <v>10</v>
      </c>
      <c r="C71" s="8">
        <v>34846.23000000001</v>
      </c>
      <c r="D71" s="8">
        <v>-1.5112104239263124</v>
      </c>
      <c r="E71" s="8">
        <v>1.8651695465242015</v>
      </c>
      <c r="F71" s="8">
        <v>2899220.27</v>
      </c>
      <c r="G71" s="8">
        <v>3.1354923452705297</v>
      </c>
      <c r="H71" s="8">
        <v>2.5513108284284334</v>
      </c>
    </row>
    <row r="72" spans="1:8" x14ac:dyDescent="0.3">
      <c r="A72" s="2">
        <v>2023</v>
      </c>
      <c r="B72" s="8">
        <v>11</v>
      </c>
      <c r="C72" s="8">
        <v>33044.490000000005</v>
      </c>
      <c r="D72" s="8">
        <v>-4.2260873093621694</v>
      </c>
      <c r="E72" s="8">
        <v>1.8567088962820872</v>
      </c>
      <c r="F72" s="8">
        <v>2986207.79</v>
      </c>
      <c r="G72" s="8">
        <v>4.528353753045522</v>
      </c>
      <c r="H72" s="8">
        <v>2.5291728737744616</v>
      </c>
    </row>
    <row r="73" spans="1:8" x14ac:dyDescent="0.3">
      <c r="A73" s="2">
        <v>2023</v>
      </c>
      <c r="B73" s="8">
        <v>12</v>
      </c>
      <c r="C73" s="8">
        <v>35193.550000000003</v>
      </c>
      <c r="D73" s="8">
        <v>-12.728846691283957</v>
      </c>
      <c r="E73" s="8">
        <v>1.8635351960161388</v>
      </c>
      <c r="F73" s="8">
        <v>2982882.76</v>
      </c>
      <c r="G73" s="8">
        <v>-7.3814049979585956</v>
      </c>
      <c r="H73" s="8">
        <v>2.5094389436299358</v>
      </c>
    </row>
    <row r="74" spans="1:8" x14ac:dyDescent="0.3">
      <c r="A74" s="2">
        <v>2024</v>
      </c>
      <c r="B74" s="8">
        <v>1</v>
      </c>
      <c r="C74" s="8">
        <v>35079.660000000003</v>
      </c>
      <c r="D74" s="8">
        <v>16.631756595011304</v>
      </c>
      <c r="E74" s="8">
        <v>1.8850079776514794</v>
      </c>
      <c r="F74" s="8">
        <v>2987461.8299999991</v>
      </c>
      <c r="G74" s="8">
        <v>14.753914758343178</v>
      </c>
      <c r="H74" s="8">
        <v>2.4914580595091529</v>
      </c>
    </row>
    <row r="75" spans="1:8" x14ac:dyDescent="0.3">
      <c r="A75" s="2">
        <v>2024</v>
      </c>
      <c r="B75" s="8">
        <v>2</v>
      </c>
      <c r="C75" s="8">
        <v>34150.639999999999</v>
      </c>
      <c r="D75" s="8">
        <v>-1.4244833325347428</v>
      </c>
      <c r="E75" s="8">
        <v>1.9194734132599474</v>
      </c>
      <c r="F75" s="8">
        <v>2833163.51</v>
      </c>
      <c r="G75" s="8">
        <v>-0.54321892830287988</v>
      </c>
      <c r="H75" s="8">
        <v>2.4738923787637996</v>
      </c>
    </row>
    <row r="76" spans="1:8" x14ac:dyDescent="0.3">
      <c r="A76" s="2">
        <v>2024</v>
      </c>
      <c r="B76" s="8">
        <v>3</v>
      </c>
      <c r="C76" s="8">
        <v>35545.000000000007</v>
      </c>
      <c r="D76" s="8">
        <v>-5.5497023267801922</v>
      </c>
      <c r="E76" s="8">
        <v>1.9663017546784756</v>
      </c>
      <c r="F76" s="8">
        <v>3022784.3899999992</v>
      </c>
      <c r="G76" s="8">
        <v>-0.94659147835797208</v>
      </c>
      <c r="H76" s="8">
        <v>2.4562556182385369</v>
      </c>
    </row>
    <row r="77" spans="1:8" x14ac:dyDescent="0.3">
      <c r="A77" s="2">
        <v>2024</v>
      </c>
      <c r="B77" s="8">
        <v>4</v>
      </c>
      <c r="C77" s="8">
        <v>35849.30999999999</v>
      </c>
      <c r="D77" s="8">
        <v>-0.74878660633777017</v>
      </c>
      <c r="E77" s="8">
        <v>2.0246310345255392</v>
      </c>
      <c r="F77" s="8">
        <v>3083338.27</v>
      </c>
      <c r="G77" s="8">
        <v>14.984277709006101</v>
      </c>
      <c r="H77" s="8">
        <v>2.4378519731594803</v>
      </c>
    </row>
    <row r="78" spans="1:8" x14ac:dyDescent="0.3">
      <c r="A78" s="2">
        <v>2024</v>
      </c>
      <c r="B78" s="8">
        <v>5</v>
      </c>
      <c r="C78" s="8">
        <v>36249.61</v>
      </c>
      <c r="D78" s="8">
        <v>-1.7980230442560918</v>
      </c>
      <c r="E78" s="8">
        <v>2.0930773406917345</v>
      </c>
      <c r="F78" s="8">
        <v>3118351.3099999996</v>
      </c>
      <c r="G78" s="8">
        <v>6.7869655364446668</v>
      </c>
      <c r="H78" s="8">
        <v>2.4177493299265929</v>
      </c>
    </row>
    <row r="79" spans="1:8" x14ac:dyDescent="0.3">
      <c r="A79" s="2">
        <v>2024</v>
      </c>
      <c r="B79" s="8">
        <v>6</v>
      </c>
      <c r="C79" s="8">
        <v>33295.489999999991</v>
      </c>
      <c r="D79" s="8">
        <v>0.49693865385278535</v>
      </c>
      <c r="E79" s="8">
        <v>2.1700641626203763</v>
      </c>
      <c r="F79" s="8">
        <v>2838844.92</v>
      </c>
      <c r="G79" s="8">
        <v>-3.9673310067170564</v>
      </c>
      <c r="H79" s="8">
        <v>2.3958868545048273</v>
      </c>
    </row>
    <row r="80" spans="1:8" x14ac:dyDescent="0.3">
      <c r="A80" s="2">
        <v>2024</v>
      </c>
      <c r="B80" s="8">
        <v>7</v>
      </c>
      <c r="C80" s="8">
        <v>41323.380000000005</v>
      </c>
      <c r="D80" s="8">
        <v>10.452076085954221</v>
      </c>
      <c r="E80" s="8">
        <v>2.253744774450269</v>
      </c>
      <c r="F80" s="8">
        <v>3086230.47</v>
      </c>
      <c r="G80" s="8">
        <v>3.9532356256892998</v>
      </c>
      <c r="H80" s="8">
        <v>2.3725071306512562</v>
      </c>
    </row>
    <row r="81" spans="1:8" x14ac:dyDescent="0.3">
      <c r="A81" s="2">
        <v>2024</v>
      </c>
      <c r="B81" s="8">
        <v>8</v>
      </c>
      <c r="C81" s="8">
        <v>44632.04</v>
      </c>
      <c r="D81" s="8">
        <v>9.7662133248075591</v>
      </c>
      <c r="E81" s="8">
        <v>2.3421562610487747</v>
      </c>
      <c r="F81" s="8">
        <v>3016195.0499999984</v>
      </c>
      <c r="G81" s="8">
        <v>7.9092813962054143</v>
      </c>
      <c r="H81" s="8">
        <v>2.3474108519937005</v>
      </c>
    </row>
    <row r="82" spans="1:8" x14ac:dyDescent="0.3">
      <c r="A82" s="2">
        <v>2024</v>
      </c>
      <c r="B82" s="8">
        <v>9</v>
      </c>
      <c r="C82" s="8">
        <v>37287.78</v>
      </c>
      <c r="D82" s="8">
        <v>5.3253628913462858</v>
      </c>
      <c r="E82" s="8">
        <v>2.4339050358465553</v>
      </c>
      <c r="F82" s="8">
        <v>2913706.2800000012</v>
      </c>
      <c r="G82" s="8">
        <v>3.7412971851205512</v>
      </c>
      <c r="H82" s="8">
        <v>2.3205084849721374</v>
      </c>
    </row>
    <row r="83" spans="1:8" x14ac:dyDescent="0.3">
      <c r="A83" s="2">
        <v>2024</v>
      </c>
      <c r="B83" s="8">
        <v>10</v>
      </c>
      <c r="C83" s="8">
        <v>37407.279999999999</v>
      </c>
      <c r="D83" s="8">
        <v>7.3495755494926929</v>
      </c>
      <c r="E83" s="8">
        <v>2.5281130717925895</v>
      </c>
      <c r="F83" s="8">
        <v>3098151.6500000008</v>
      </c>
      <c r="G83" s="8">
        <v>6.8615476394969122</v>
      </c>
      <c r="H83" s="8">
        <v>2.2920967370365584</v>
      </c>
    </row>
    <row r="84" spans="1:8" x14ac:dyDescent="0.3">
      <c r="A84" s="2">
        <v>2024</v>
      </c>
      <c r="B84" s="8">
        <v>11</v>
      </c>
      <c r="C84" s="8">
        <v>36364.730000000003</v>
      </c>
      <c r="D84" s="8">
        <v>10.047787089466343</v>
      </c>
      <c r="E84" s="8">
        <v>2.6241031375202657</v>
      </c>
      <c r="F84" s="8">
        <v>2884280.120000001</v>
      </c>
      <c r="G84" s="8">
        <v>-3.413281230506704</v>
      </c>
      <c r="H84" s="8">
        <v>2.2625709815189103</v>
      </c>
    </row>
    <row r="85" spans="1:8" x14ac:dyDescent="0.3">
      <c r="A85" s="2">
        <v>2024</v>
      </c>
      <c r="B85" s="8">
        <v>12</v>
      </c>
      <c r="C85" s="8">
        <v>35889.530000000006</v>
      </c>
      <c r="D85" s="8">
        <v>1.9775782778378437</v>
      </c>
      <c r="E85" s="8">
        <v>2.7215328254461455</v>
      </c>
      <c r="F85" s="8">
        <v>3076053.0700000008</v>
      </c>
      <c r="G85" s="8">
        <v>3.123498893399379</v>
      </c>
      <c r="H85" s="8">
        <v>2.2326439147304775</v>
      </c>
    </row>
    <row r="86" spans="1:8" x14ac:dyDescent="0.3">
      <c r="A86" s="2">
        <v>2025</v>
      </c>
      <c r="B86" s="8">
        <v>1</v>
      </c>
      <c r="C86" s="8">
        <v>33467.469999999994</v>
      </c>
      <c r="D86" s="8">
        <v>-4.5957971086379112</v>
      </c>
      <c r="E86" s="8">
        <v>2.820575261594565</v>
      </c>
      <c r="F86" s="8">
        <v>2972994.0000000014</v>
      </c>
      <c r="G86" s="8">
        <v>-0.48428501595274565</v>
      </c>
      <c r="H86" s="8">
        <v>2.202634076578931</v>
      </c>
    </row>
    <row r="87" spans="1:8" x14ac:dyDescent="0.3">
      <c r="A87" s="2">
        <v>2025</v>
      </c>
      <c r="B87" s="8">
        <v>2</v>
      </c>
      <c r="C87" s="8">
        <v>34476.130000000005</v>
      </c>
      <c r="D87" s="8">
        <v>0.95310073251924088</v>
      </c>
      <c r="E87" s="8">
        <v>2.9213519084796089</v>
      </c>
      <c r="F87" s="8">
        <v>2852819.5800000029</v>
      </c>
      <c r="G87" s="8">
        <v>0.6937852309132353</v>
      </c>
      <c r="H87" s="8">
        <v>2.1729218719010159</v>
      </c>
    </row>
    <row r="88" spans="1:8" x14ac:dyDescent="0.3">
      <c r="A88" s="2">
        <v>2025</v>
      </c>
      <c r="B88" s="8">
        <v>3</v>
      </c>
      <c r="C88" s="8">
        <v>37292.67</v>
      </c>
      <c r="D88" s="8">
        <v>4.9167815445209984</v>
      </c>
      <c r="E88" s="8">
        <v>3.0234692027563179</v>
      </c>
      <c r="F88" s="8">
        <v>3064581.959999999</v>
      </c>
      <c r="G88" s="8">
        <v>1.3827506235070786</v>
      </c>
      <c r="H88" s="8">
        <v>2.1437011139298288</v>
      </c>
    </row>
    <row r="89" spans="1:8" x14ac:dyDescent="0.3">
      <c r="A89" s="2">
        <v>2025</v>
      </c>
      <c r="B89" s="8">
        <v>4</v>
      </c>
      <c r="C89" s="8">
        <v>37221.5</v>
      </c>
      <c r="D89" s="8">
        <v>3.8276608392184164</v>
      </c>
      <c r="E89" s="8">
        <v>3.1263968969702911</v>
      </c>
      <c r="F89" s="8">
        <v>3085372.6799999978</v>
      </c>
      <c r="G89" s="8">
        <v>6.598075922423785E-2</v>
      </c>
      <c r="H89" s="8">
        <v>2.1150628980761761</v>
      </c>
    </row>
    <row r="90" spans="1:8" x14ac:dyDescent="0.3">
      <c r="A90" s="2">
        <v>2025</v>
      </c>
      <c r="B90" s="8">
        <v>5</v>
      </c>
      <c r="C90" s="8">
        <v>37691.630000000012</v>
      </c>
      <c r="D90" s="8">
        <v>3.9780290050017486</v>
      </c>
      <c r="E90" s="8">
        <v>3.2297362236908609</v>
      </c>
      <c r="F90" s="8">
        <v>3045701.89</v>
      </c>
      <c r="G90" s="8">
        <v>-2.3297381461487521</v>
      </c>
      <c r="H90" s="8">
        <v>2.0870454759668067</v>
      </c>
    </row>
    <row r="91" spans="1:8" x14ac:dyDescent="0.3">
      <c r="A91" s="2">
        <v>2025</v>
      </c>
      <c r="B91" s="8">
        <v>6</v>
      </c>
      <c r="C91" s="8">
        <v>36968.65</v>
      </c>
      <c r="D91" s="8">
        <v>11.032004634862002</v>
      </c>
      <c r="E91" s="8">
        <v>3.3331371143722381</v>
      </c>
      <c r="F91" s="8">
        <v>3021906.6499999976</v>
      </c>
      <c r="G91" s="8">
        <v>6.4484582694287473</v>
      </c>
      <c r="H91" s="8">
        <v>2.0595448018577156</v>
      </c>
    </row>
    <row r="92" spans="1:8" x14ac:dyDescent="0.3">
      <c r="A92" s="2">
        <v>2025</v>
      </c>
      <c r="B92" s="8">
        <v>7</v>
      </c>
      <c r="C92" s="8">
        <v>41335.83</v>
      </c>
      <c r="D92" s="8">
        <v>3.0128222812364491E-2</v>
      </c>
      <c r="E92" s="8">
        <v>3.4363014652451129</v>
      </c>
      <c r="F92" s="8">
        <v>3196047.1599999992</v>
      </c>
      <c r="G92" s="8">
        <v>3.558278977136764</v>
      </c>
      <c r="H92" s="8">
        <v>2.0321501089200282</v>
      </c>
    </row>
    <row r="93" spans="1:8" x14ac:dyDescent="0.3">
      <c r="B93" s="8"/>
      <c r="C93" s="8"/>
      <c r="D93" s="8"/>
      <c r="E93" s="8"/>
      <c r="F93" s="8"/>
      <c r="G93" s="8"/>
      <c r="H93" s="8"/>
    </row>
    <row r="94" spans="1:8" x14ac:dyDescent="0.3">
      <c r="B94" s="8"/>
      <c r="C94" s="8"/>
      <c r="D94" s="8"/>
      <c r="E94" s="8"/>
      <c r="F94" s="8"/>
      <c r="G94" s="8"/>
      <c r="H94" s="8"/>
    </row>
    <row r="95" spans="1:8" x14ac:dyDescent="0.3">
      <c r="B95" s="8"/>
      <c r="C95" s="8"/>
      <c r="D95" s="8"/>
      <c r="E95" s="8"/>
      <c r="F95" s="8"/>
      <c r="G95" s="8"/>
      <c r="H95" s="8"/>
    </row>
    <row r="96" spans="1:8" x14ac:dyDescent="0.3">
      <c r="B96" s="8"/>
      <c r="C96" s="8"/>
      <c r="D96" s="8"/>
      <c r="E96" s="8"/>
      <c r="F96" s="8"/>
      <c r="G96" s="8"/>
      <c r="H96" s="8"/>
    </row>
    <row r="97" spans="2:8" x14ac:dyDescent="0.3">
      <c r="B97" s="8"/>
      <c r="C97" s="8"/>
      <c r="D97" s="8"/>
      <c r="E97" s="8"/>
      <c r="F97" s="8"/>
      <c r="G97" s="8"/>
      <c r="H97" s="8"/>
    </row>
    <row r="98" spans="2:8" x14ac:dyDescent="0.3">
      <c r="D98" s="4"/>
      <c r="E98" s="3"/>
      <c r="F98" s="3"/>
      <c r="G98" s="4"/>
      <c r="H98" s="3"/>
    </row>
    <row r="99" spans="2:8" x14ac:dyDescent="0.3">
      <c r="D99" s="4"/>
      <c r="E99" s="3"/>
      <c r="F99" s="3"/>
      <c r="G99" s="4"/>
      <c r="H99" s="3"/>
    </row>
    <row r="100" spans="2:8" x14ac:dyDescent="0.3">
      <c r="D100" s="4"/>
      <c r="E100" s="3"/>
      <c r="F100" s="3"/>
      <c r="G100" s="4"/>
      <c r="H100" s="3"/>
    </row>
    <row r="101" spans="2:8" x14ac:dyDescent="0.3">
      <c r="D101" s="4"/>
      <c r="E101" s="3"/>
      <c r="F101" s="3"/>
      <c r="G101" s="4"/>
      <c r="H101" s="3"/>
    </row>
    <row r="102" spans="2:8" x14ac:dyDescent="0.3">
      <c r="D102" s="4"/>
      <c r="E102" s="3"/>
      <c r="F102" s="3"/>
      <c r="G102" s="4"/>
      <c r="H102" s="3"/>
    </row>
    <row r="103" spans="2:8" x14ac:dyDescent="0.3">
      <c r="D103" s="4"/>
      <c r="E103" s="3"/>
      <c r="F103" s="3"/>
      <c r="G103" s="4"/>
      <c r="H103" s="3"/>
    </row>
    <row r="104" spans="2:8" x14ac:dyDescent="0.3">
      <c r="D104" s="4"/>
      <c r="E104" s="3"/>
      <c r="F104" s="3"/>
      <c r="G104" s="4"/>
      <c r="H104" s="3"/>
    </row>
    <row r="105" spans="2:8" x14ac:dyDescent="0.3">
      <c r="D105" s="4"/>
      <c r="E105" s="3"/>
      <c r="F105" s="3"/>
      <c r="G105" s="4"/>
      <c r="H105" s="3"/>
    </row>
    <row r="106" spans="2:8" x14ac:dyDescent="0.3">
      <c r="D106" s="4"/>
      <c r="E106" s="3"/>
      <c r="F106" s="3"/>
      <c r="G106" s="4"/>
      <c r="H106" s="3"/>
    </row>
    <row r="107" spans="2:8" x14ac:dyDescent="0.3">
      <c r="D107" s="4"/>
      <c r="E107" s="3"/>
      <c r="F107" s="3"/>
      <c r="G107" s="4"/>
      <c r="H107" s="3"/>
    </row>
    <row r="108" spans="2:8" x14ac:dyDescent="0.3">
      <c r="D108" s="4"/>
      <c r="E108" s="3"/>
      <c r="F108" s="3"/>
      <c r="G108" s="4"/>
      <c r="H108" s="3"/>
    </row>
    <row r="109" spans="2:8" x14ac:dyDescent="0.3">
      <c r="D109" s="4"/>
      <c r="E109" s="3"/>
      <c r="F109" s="3"/>
      <c r="G109" s="4"/>
      <c r="H109" s="3"/>
    </row>
    <row r="110" spans="2:8" x14ac:dyDescent="0.3">
      <c r="D110" s="4"/>
      <c r="E110" s="3"/>
      <c r="F110" s="3"/>
      <c r="G110" s="4"/>
      <c r="H110" s="3"/>
    </row>
    <row r="111" spans="2:8" x14ac:dyDescent="0.3">
      <c r="D111" s="4"/>
      <c r="E111" s="3"/>
      <c r="F111" s="3"/>
      <c r="G111" s="4"/>
      <c r="H111" s="3"/>
    </row>
    <row r="112" spans="2:8" x14ac:dyDescent="0.3">
      <c r="D112" s="4"/>
      <c r="E112" s="3"/>
      <c r="F112" s="3"/>
      <c r="G112" s="4"/>
      <c r="H112" s="3"/>
    </row>
    <row r="113" spans="4:8" x14ac:dyDescent="0.3">
      <c r="D113" s="4"/>
      <c r="E113" s="3"/>
      <c r="F113" s="3"/>
      <c r="G113" s="4"/>
      <c r="H113" s="3"/>
    </row>
    <row r="114" spans="4:8" x14ac:dyDescent="0.3">
      <c r="D114" s="4"/>
      <c r="E114" s="3"/>
      <c r="F114" s="3"/>
      <c r="G114" s="4"/>
      <c r="H114" s="3"/>
    </row>
    <row r="115" spans="4:8" x14ac:dyDescent="0.3">
      <c r="D115" s="4"/>
      <c r="E115" s="3"/>
      <c r="F115" s="3"/>
      <c r="G115" s="4"/>
      <c r="H115" s="3"/>
    </row>
    <row r="116" spans="4:8" x14ac:dyDescent="0.3">
      <c r="D116" s="4"/>
      <c r="E116" s="3"/>
      <c r="F116" s="3"/>
      <c r="G116" s="4"/>
      <c r="H116" s="3"/>
    </row>
    <row r="117" spans="4:8" x14ac:dyDescent="0.3">
      <c r="D117" s="4"/>
      <c r="E117" s="3"/>
      <c r="F117" s="3"/>
      <c r="G117" s="4"/>
      <c r="H117" s="3"/>
    </row>
    <row r="118" spans="4:8" x14ac:dyDescent="0.3">
      <c r="D118" s="4"/>
      <c r="E118" s="3"/>
      <c r="F118" s="3"/>
      <c r="G118" s="4"/>
      <c r="H118" s="3"/>
    </row>
    <row r="119" spans="4:8" x14ac:dyDescent="0.3">
      <c r="D119" s="4"/>
      <c r="E119" s="3"/>
      <c r="F119" s="3"/>
      <c r="G119" s="4"/>
      <c r="H119" s="3"/>
    </row>
    <row r="120" spans="4:8" x14ac:dyDescent="0.3">
      <c r="D120" s="4"/>
      <c r="E120" s="3"/>
      <c r="F120" s="3"/>
      <c r="G120" s="4"/>
      <c r="H120" s="3"/>
    </row>
    <row r="121" spans="4:8" x14ac:dyDescent="0.3">
      <c r="D121" s="4"/>
      <c r="E121" s="3"/>
      <c r="F121" s="3"/>
      <c r="G121" s="4"/>
      <c r="H121" s="3"/>
    </row>
    <row r="122" spans="4:8" x14ac:dyDescent="0.3">
      <c r="D122" s="4"/>
      <c r="E122" s="3"/>
      <c r="F122" s="3"/>
      <c r="G122" s="4"/>
      <c r="H122" s="3"/>
    </row>
    <row r="123" spans="4:8" x14ac:dyDescent="0.3">
      <c r="D123" s="4"/>
      <c r="E123" s="3"/>
      <c r="F123" s="3"/>
      <c r="G123" s="4"/>
      <c r="H123" s="3"/>
    </row>
    <row r="124" spans="4:8" x14ac:dyDescent="0.3">
      <c r="D124" s="4"/>
      <c r="E124" s="3"/>
      <c r="F124" s="3"/>
      <c r="G124" s="4"/>
      <c r="H124" s="3"/>
    </row>
    <row r="125" spans="4:8" x14ac:dyDescent="0.3">
      <c r="D125" s="4"/>
      <c r="E125" s="3"/>
      <c r="F125" s="3"/>
      <c r="G125" s="4"/>
      <c r="H125" s="3"/>
    </row>
    <row r="126" spans="4:8" x14ac:dyDescent="0.3">
      <c r="D126" s="4"/>
      <c r="E126" s="3"/>
      <c r="F126" s="3"/>
      <c r="G126" s="4"/>
      <c r="H126" s="3"/>
    </row>
    <row r="127" spans="4:8" x14ac:dyDescent="0.3">
      <c r="D127" s="4"/>
      <c r="E127" s="3"/>
      <c r="F127" s="3"/>
      <c r="G127" s="4"/>
      <c r="H127" s="3"/>
    </row>
    <row r="128" spans="4:8" x14ac:dyDescent="0.3">
      <c r="D128" s="4"/>
      <c r="E128" s="3"/>
      <c r="F128" s="3"/>
      <c r="G128" s="4"/>
      <c r="H128" s="3"/>
    </row>
    <row r="129" spans="4:8" x14ac:dyDescent="0.3">
      <c r="D129" s="4"/>
      <c r="E129" s="3"/>
      <c r="F129" s="3"/>
      <c r="G129" s="4"/>
      <c r="H129" s="3"/>
    </row>
    <row r="130" spans="4:8" x14ac:dyDescent="0.3">
      <c r="D130" s="4"/>
      <c r="E130" s="3"/>
      <c r="F130" s="3"/>
      <c r="G130" s="4"/>
      <c r="H130" s="3"/>
    </row>
    <row r="131" spans="4:8" x14ac:dyDescent="0.3">
      <c r="D131" s="4"/>
      <c r="E131" s="3"/>
      <c r="F131" s="3"/>
      <c r="G131" s="4"/>
      <c r="H131" s="3"/>
    </row>
    <row r="132" spans="4:8" x14ac:dyDescent="0.3">
      <c r="D132" s="4"/>
      <c r="E132" s="3"/>
      <c r="F132" s="3"/>
      <c r="G132" s="4"/>
      <c r="H132" s="3"/>
    </row>
    <row r="133" spans="4:8" x14ac:dyDescent="0.3">
      <c r="D133" s="4"/>
      <c r="E133" s="3"/>
      <c r="F133" s="3"/>
      <c r="G133" s="4"/>
      <c r="H133" s="3"/>
    </row>
    <row r="134" spans="4:8" x14ac:dyDescent="0.3">
      <c r="D134" s="4"/>
      <c r="E134" s="3"/>
      <c r="F134" s="3"/>
      <c r="G134" s="4"/>
      <c r="H134" s="3"/>
    </row>
    <row r="135" spans="4:8" x14ac:dyDescent="0.3">
      <c r="D135" s="4"/>
      <c r="E135" s="3"/>
      <c r="F135" s="3"/>
      <c r="G135" s="4"/>
      <c r="H135" s="3"/>
    </row>
    <row r="136" spans="4:8" x14ac:dyDescent="0.3">
      <c r="D136" s="4"/>
      <c r="E136" s="3"/>
      <c r="F136" s="3"/>
      <c r="G136" s="4"/>
      <c r="H136" s="3"/>
    </row>
    <row r="137" spans="4:8" x14ac:dyDescent="0.3">
      <c r="D137" s="4"/>
      <c r="E137" s="3"/>
      <c r="F137" s="3"/>
      <c r="G137" s="4"/>
      <c r="H137" s="3"/>
    </row>
    <row r="138" spans="4:8" x14ac:dyDescent="0.3">
      <c r="D138" s="4"/>
      <c r="E138" s="3"/>
      <c r="F138" s="3"/>
      <c r="G138" s="4"/>
      <c r="H138" s="3"/>
    </row>
    <row r="139" spans="4:8" x14ac:dyDescent="0.3">
      <c r="D139" s="4"/>
      <c r="E139" s="3"/>
      <c r="F139" s="3"/>
      <c r="G139" s="4"/>
      <c r="H139" s="3"/>
    </row>
    <row r="140" spans="4:8" x14ac:dyDescent="0.3">
      <c r="D140" s="4"/>
      <c r="E140" s="3"/>
      <c r="F140" s="3"/>
      <c r="G140" s="4"/>
      <c r="H140" s="3"/>
    </row>
    <row r="141" spans="4:8" x14ac:dyDescent="0.3">
      <c r="D141" s="4"/>
      <c r="E141" s="3"/>
      <c r="F141" s="3"/>
      <c r="G141" s="4"/>
      <c r="H141" s="3"/>
    </row>
    <row r="142" spans="4:8" x14ac:dyDescent="0.3">
      <c r="D142" s="4"/>
      <c r="E142" s="3"/>
      <c r="F142" s="3"/>
      <c r="G142" s="4"/>
      <c r="H142" s="3"/>
    </row>
    <row r="143" spans="4:8" x14ac:dyDescent="0.3">
      <c r="D143" s="4"/>
      <c r="E143" s="3"/>
      <c r="F143" s="3"/>
      <c r="G143" s="4"/>
      <c r="H143" s="3"/>
    </row>
    <row r="144" spans="4:8" x14ac:dyDescent="0.3">
      <c r="D144" s="4"/>
      <c r="E144" s="3"/>
      <c r="F144" s="3"/>
      <c r="G144" s="4"/>
      <c r="H144" s="3"/>
    </row>
    <row r="145" spans="4:8" x14ac:dyDescent="0.3">
      <c r="D145" s="4"/>
      <c r="E145" s="3"/>
      <c r="F145" s="3"/>
      <c r="G145" s="4"/>
      <c r="H145" s="3"/>
    </row>
    <row r="146" spans="4:8" x14ac:dyDescent="0.3">
      <c r="D146" s="4"/>
      <c r="E146" s="3"/>
      <c r="F146" s="3"/>
      <c r="G146" s="4"/>
      <c r="H146" s="3"/>
    </row>
    <row r="147" spans="4:8" x14ac:dyDescent="0.3">
      <c r="D147" s="4"/>
      <c r="E147" s="3"/>
      <c r="F147" s="3"/>
      <c r="G147" s="4"/>
      <c r="H147" s="3"/>
    </row>
    <row r="148" spans="4:8" x14ac:dyDescent="0.3">
      <c r="D148" s="4"/>
      <c r="E148" s="3"/>
      <c r="F148" s="3"/>
      <c r="G148" s="4"/>
      <c r="H148" s="3"/>
    </row>
    <row r="149" spans="4:8" x14ac:dyDescent="0.3">
      <c r="D149" s="4"/>
      <c r="E149" s="3"/>
      <c r="F149" s="3"/>
      <c r="G149" s="4"/>
      <c r="H149" s="3"/>
    </row>
    <row r="150" spans="4:8" x14ac:dyDescent="0.3">
      <c r="D150" s="4"/>
      <c r="E150" s="3"/>
      <c r="F150" s="3"/>
      <c r="G150" s="4"/>
      <c r="H150" s="3"/>
    </row>
    <row r="151" spans="4:8" x14ac:dyDescent="0.3">
      <c r="D151" s="4"/>
      <c r="E151" s="3"/>
      <c r="F151" s="3"/>
      <c r="G151" s="4"/>
      <c r="H151" s="3"/>
    </row>
    <row r="152" spans="4:8" x14ac:dyDescent="0.3">
      <c r="D152" s="4"/>
      <c r="E152" s="3"/>
      <c r="F152" s="3"/>
      <c r="G152" s="4"/>
      <c r="H152" s="3"/>
    </row>
    <row r="153" spans="4:8" x14ac:dyDescent="0.3">
      <c r="D153" s="4"/>
      <c r="E153" s="3"/>
      <c r="F153" s="3"/>
      <c r="G153" s="4"/>
      <c r="H153" s="3"/>
    </row>
    <row r="154" spans="4:8" x14ac:dyDescent="0.3">
      <c r="D154" s="4"/>
      <c r="E154" s="3"/>
      <c r="F154" s="3"/>
      <c r="G154" s="4"/>
      <c r="H154" s="3"/>
    </row>
    <row r="155" spans="4:8" x14ac:dyDescent="0.3">
      <c r="D155" s="4"/>
      <c r="E155" s="3"/>
      <c r="F155" s="3"/>
      <c r="G155" s="4"/>
      <c r="H155" s="3"/>
    </row>
    <row r="156" spans="4:8" x14ac:dyDescent="0.3">
      <c r="D156" s="4"/>
      <c r="E156" s="3"/>
      <c r="F156" s="3"/>
      <c r="G156" s="4"/>
      <c r="H156" s="3"/>
    </row>
    <row r="157" spans="4:8" x14ac:dyDescent="0.3">
      <c r="D157" s="4"/>
      <c r="E157" s="3"/>
      <c r="F157" s="3"/>
      <c r="G157" s="4"/>
      <c r="H157" s="3"/>
    </row>
    <row r="158" spans="4:8" x14ac:dyDescent="0.3">
      <c r="D158" s="4"/>
      <c r="E158" s="3"/>
      <c r="F158" s="3"/>
      <c r="G158" s="4"/>
      <c r="H158" s="3"/>
    </row>
    <row r="159" spans="4:8" x14ac:dyDescent="0.3">
      <c r="D159" s="4"/>
      <c r="E159" s="3"/>
      <c r="F159" s="3"/>
      <c r="G159" s="4"/>
      <c r="H159" s="3"/>
    </row>
    <row r="160" spans="4:8" x14ac:dyDescent="0.3">
      <c r="D160" s="4"/>
      <c r="E160" s="3"/>
      <c r="F160" s="3"/>
      <c r="G160" s="4"/>
      <c r="H160" s="3"/>
    </row>
    <row r="161" spans="4:8" x14ac:dyDescent="0.3">
      <c r="D161" s="4"/>
      <c r="E161" s="3"/>
      <c r="F161" s="3"/>
      <c r="G161" s="4"/>
      <c r="H161" s="3"/>
    </row>
    <row r="162" spans="4:8" x14ac:dyDescent="0.3">
      <c r="D162" s="4"/>
      <c r="E162" s="3"/>
      <c r="F162" s="3"/>
      <c r="G162" s="4"/>
      <c r="H162" s="3"/>
    </row>
    <row r="163" spans="4:8" x14ac:dyDescent="0.3">
      <c r="D163" s="4"/>
      <c r="E163" s="3"/>
      <c r="F163" s="3"/>
      <c r="G163" s="4"/>
      <c r="H163" s="3"/>
    </row>
    <row r="164" spans="4:8" x14ac:dyDescent="0.3">
      <c r="D164" s="4"/>
      <c r="E164" s="3"/>
      <c r="F164" s="3"/>
      <c r="G164" s="4"/>
      <c r="H164" s="3"/>
    </row>
    <row r="165" spans="4:8" x14ac:dyDescent="0.3">
      <c r="D165" s="4"/>
      <c r="E165" s="3"/>
      <c r="F165" s="3"/>
      <c r="G165" s="4"/>
      <c r="H165" s="3"/>
    </row>
    <row r="166" spans="4:8" x14ac:dyDescent="0.3">
      <c r="D166" s="4"/>
      <c r="E166" s="3"/>
      <c r="F166" s="3"/>
      <c r="G166" s="4"/>
      <c r="H166" s="3"/>
    </row>
    <row r="167" spans="4:8" x14ac:dyDescent="0.3">
      <c r="D167" s="4"/>
      <c r="E167" s="3"/>
      <c r="F167" s="3"/>
      <c r="G167" s="4"/>
      <c r="H167" s="3"/>
    </row>
    <row r="168" spans="4:8" x14ac:dyDescent="0.3">
      <c r="D168" s="4"/>
      <c r="E168" s="3"/>
      <c r="F168" s="3"/>
      <c r="G168" s="4"/>
      <c r="H168" s="3"/>
    </row>
    <row r="169" spans="4:8" x14ac:dyDescent="0.3">
      <c r="D169" s="4"/>
      <c r="E169" s="3"/>
      <c r="F169" s="3"/>
      <c r="G169" s="4"/>
      <c r="H169" s="3"/>
    </row>
    <row r="170" spans="4:8" x14ac:dyDescent="0.3">
      <c r="D170" s="4"/>
      <c r="E170" s="3"/>
      <c r="F170" s="3"/>
      <c r="G170" s="4"/>
      <c r="H170" s="3"/>
    </row>
    <row r="171" spans="4:8" x14ac:dyDescent="0.3">
      <c r="D171" s="4"/>
      <c r="E171" s="3"/>
      <c r="F171" s="3"/>
      <c r="G171" s="4"/>
      <c r="H171" s="3"/>
    </row>
    <row r="172" spans="4:8" x14ac:dyDescent="0.3">
      <c r="D172" s="4"/>
      <c r="E172" s="3"/>
      <c r="F172" s="3"/>
      <c r="G172" s="4"/>
      <c r="H172" s="3"/>
    </row>
    <row r="173" spans="4:8" x14ac:dyDescent="0.3">
      <c r="D173" s="4"/>
      <c r="E173" s="3"/>
      <c r="F173" s="3"/>
      <c r="G173" s="4"/>
      <c r="H173" s="3"/>
    </row>
    <row r="174" spans="4:8" x14ac:dyDescent="0.3">
      <c r="D174" s="4"/>
      <c r="E174" s="3"/>
      <c r="F174" s="3"/>
      <c r="G174" s="4"/>
      <c r="H174" s="3"/>
    </row>
    <row r="175" spans="4:8" x14ac:dyDescent="0.3">
      <c r="D175" s="4"/>
      <c r="E175" s="3"/>
      <c r="F175" s="3"/>
      <c r="G175" s="4"/>
      <c r="H175" s="3"/>
    </row>
    <row r="176" spans="4:8" x14ac:dyDescent="0.3">
      <c r="D176" s="4"/>
      <c r="E176" s="3"/>
      <c r="F176" s="3"/>
      <c r="G176" s="4"/>
      <c r="H176" s="3"/>
    </row>
    <row r="177" spans="4:8" x14ac:dyDescent="0.3">
      <c r="D177" s="4"/>
      <c r="E177" s="3"/>
      <c r="F177" s="3"/>
      <c r="G177" s="4"/>
      <c r="H177" s="3"/>
    </row>
    <row r="178" spans="4:8" x14ac:dyDescent="0.3">
      <c r="D178" s="4"/>
      <c r="E178" s="3"/>
      <c r="F178" s="3"/>
      <c r="G178" s="4"/>
      <c r="H178" s="3"/>
    </row>
    <row r="179" spans="4:8" x14ac:dyDescent="0.3">
      <c r="D179" s="4"/>
      <c r="E179" s="3"/>
      <c r="F179" s="3"/>
      <c r="G179" s="4"/>
      <c r="H179" s="3"/>
    </row>
    <row r="180" spans="4:8" x14ac:dyDescent="0.3">
      <c r="D180" s="4"/>
      <c r="E180" s="3"/>
      <c r="F180" s="3"/>
      <c r="G180" s="4"/>
      <c r="H180" s="3"/>
    </row>
    <row r="181" spans="4:8" x14ac:dyDescent="0.3">
      <c r="D181" s="4"/>
      <c r="E181" s="3"/>
      <c r="F181" s="3"/>
      <c r="G181" s="4"/>
      <c r="H181" s="3"/>
    </row>
    <row r="182" spans="4:8" x14ac:dyDescent="0.3">
      <c r="D182" s="4"/>
      <c r="E182" s="3"/>
      <c r="F182" s="3"/>
      <c r="G182" s="4"/>
      <c r="H182" s="3"/>
    </row>
    <row r="183" spans="4:8" x14ac:dyDescent="0.3">
      <c r="D183" s="4"/>
      <c r="E183" s="3"/>
      <c r="F183" s="3"/>
      <c r="G183" s="4"/>
      <c r="H183" s="3"/>
    </row>
    <row r="184" spans="4:8" x14ac:dyDescent="0.3">
      <c r="D184" s="4"/>
      <c r="E184" s="3"/>
      <c r="F184" s="3"/>
      <c r="G184" s="4"/>
      <c r="H184" s="3"/>
    </row>
    <row r="185" spans="4:8" x14ac:dyDescent="0.3">
      <c r="D185" s="4"/>
      <c r="E185" s="3"/>
      <c r="F185" s="3"/>
      <c r="G185" s="4"/>
      <c r="H185" s="3"/>
    </row>
    <row r="186" spans="4:8" x14ac:dyDescent="0.3">
      <c r="D186" s="4"/>
      <c r="E186" s="3"/>
      <c r="F186" s="3"/>
      <c r="G186" s="4"/>
      <c r="H186" s="3"/>
    </row>
    <row r="187" spans="4:8" x14ac:dyDescent="0.3">
      <c r="D187" s="4"/>
      <c r="E187" s="3"/>
      <c r="F187" s="3"/>
      <c r="G187" s="4"/>
      <c r="H187" s="3"/>
    </row>
    <row r="188" spans="4:8" x14ac:dyDescent="0.3">
      <c r="D188" s="4"/>
      <c r="E188" s="3"/>
      <c r="F188" s="3"/>
      <c r="G188" s="4"/>
      <c r="H188" s="3"/>
    </row>
    <row r="189" spans="4:8" x14ac:dyDescent="0.3">
      <c r="D189" s="4"/>
      <c r="E189" s="3"/>
      <c r="F189" s="3"/>
      <c r="G189" s="4"/>
      <c r="H189" s="3"/>
    </row>
    <row r="190" spans="4:8" x14ac:dyDescent="0.3">
      <c r="D190" s="4"/>
      <c r="E190" s="3"/>
      <c r="F190" s="3"/>
      <c r="G190" s="4"/>
      <c r="H190" s="3"/>
    </row>
    <row r="191" spans="4:8" x14ac:dyDescent="0.3">
      <c r="D191" s="4"/>
      <c r="E191" s="3"/>
      <c r="F191" s="3"/>
      <c r="G191" s="4"/>
      <c r="H191" s="3"/>
    </row>
    <row r="192" spans="4:8" x14ac:dyDescent="0.3">
      <c r="D192" s="4"/>
      <c r="E192" s="3"/>
      <c r="F192" s="3"/>
      <c r="G192" s="4"/>
      <c r="H192" s="3"/>
    </row>
    <row r="193" spans="4:8" x14ac:dyDescent="0.3">
      <c r="D193" s="4"/>
      <c r="E193" s="3"/>
      <c r="F193" s="3"/>
      <c r="G193" s="4"/>
      <c r="H193" s="3"/>
    </row>
    <row r="194" spans="4:8" x14ac:dyDescent="0.3">
      <c r="D194" s="4"/>
      <c r="E194" s="3"/>
      <c r="F194" s="3"/>
      <c r="G194" s="4"/>
      <c r="H194" s="3"/>
    </row>
    <row r="195" spans="4:8" x14ac:dyDescent="0.3">
      <c r="D195" s="4"/>
      <c r="E195" s="3"/>
      <c r="F195" s="3"/>
      <c r="G195" s="4"/>
      <c r="H195" s="3"/>
    </row>
    <row r="196" spans="4:8" x14ac:dyDescent="0.3">
      <c r="D196" s="4"/>
      <c r="E196" s="3"/>
      <c r="F196" s="3"/>
      <c r="G196" s="4"/>
      <c r="H196" s="3"/>
    </row>
    <row r="197" spans="4:8" x14ac:dyDescent="0.3">
      <c r="D197" s="4"/>
      <c r="E197" s="3"/>
      <c r="F197" s="3"/>
      <c r="G197" s="4"/>
      <c r="H197" s="3"/>
    </row>
    <row r="198" spans="4:8" x14ac:dyDescent="0.3">
      <c r="D198" s="4"/>
      <c r="E198" s="3"/>
      <c r="F198" s="3"/>
      <c r="G198" s="4"/>
      <c r="H198" s="3"/>
    </row>
    <row r="199" spans="4:8" x14ac:dyDescent="0.3">
      <c r="D199" s="4"/>
      <c r="E199" s="3"/>
      <c r="F199" s="3"/>
      <c r="G199" s="4"/>
      <c r="H199" s="3"/>
    </row>
    <row r="200" spans="4:8" x14ac:dyDescent="0.3">
      <c r="D200" s="4"/>
      <c r="E200" s="3"/>
      <c r="F200" s="3"/>
      <c r="G200" s="4"/>
      <c r="H200" s="3"/>
    </row>
    <row r="201" spans="4:8" x14ac:dyDescent="0.3">
      <c r="D201" s="4"/>
      <c r="E201" s="3"/>
      <c r="F201" s="3"/>
      <c r="G201" s="4"/>
      <c r="H201" s="3"/>
    </row>
    <row r="202" spans="4:8" x14ac:dyDescent="0.3">
      <c r="D202" s="4"/>
      <c r="E202" s="3"/>
      <c r="F202" s="3"/>
      <c r="G202" s="4"/>
      <c r="H202" s="3"/>
    </row>
    <row r="203" spans="4:8" x14ac:dyDescent="0.3">
      <c r="D203" s="4"/>
      <c r="E203" s="3"/>
      <c r="F203" s="3"/>
      <c r="G203" s="4"/>
      <c r="H203" s="3"/>
    </row>
    <row r="204" spans="4:8" x14ac:dyDescent="0.3">
      <c r="D204" s="4"/>
      <c r="E204" s="3"/>
      <c r="F204" s="3"/>
      <c r="G204" s="4"/>
      <c r="H204" s="3"/>
    </row>
    <row r="205" spans="4:8" x14ac:dyDescent="0.3">
      <c r="D205" s="4"/>
      <c r="E205" s="3"/>
      <c r="F205" s="3"/>
      <c r="G205" s="4"/>
      <c r="H205" s="3"/>
    </row>
    <row r="206" spans="4:8" x14ac:dyDescent="0.3">
      <c r="D206" s="4"/>
      <c r="E206" s="3"/>
      <c r="F206" s="3"/>
      <c r="G206" s="4"/>
      <c r="H206" s="3"/>
    </row>
    <row r="207" spans="4:8" x14ac:dyDescent="0.3">
      <c r="D207" s="4"/>
      <c r="E207" s="3"/>
      <c r="F207" s="3"/>
      <c r="G207" s="4"/>
      <c r="H207" s="3"/>
    </row>
    <row r="208" spans="4:8" x14ac:dyDescent="0.3">
      <c r="D208" s="4"/>
      <c r="E208" s="3"/>
      <c r="F208" s="3"/>
      <c r="G208" s="4"/>
      <c r="H208" s="3"/>
    </row>
    <row r="209" spans="4:8" x14ac:dyDescent="0.3">
      <c r="D209" s="4"/>
      <c r="E209" s="3"/>
      <c r="F209" s="3"/>
      <c r="G209" s="4"/>
      <c r="H209" s="3"/>
    </row>
    <row r="210" spans="4:8" x14ac:dyDescent="0.3">
      <c r="D210" s="4"/>
      <c r="E210" s="3"/>
      <c r="F210" s="3"/>
      <c r="G210" s="4"/>
      <c r="H210" s="3"/>
    </row>
    <row r="211" spans="4:8" x14ac:dyDescent="0.3">
      <c r="D211" s="4"/>
      <c r="E211" s="3"/>
      <c r="F211" s="3"/>
      <c r="G211" s="4"/>
      <c r="H211" s="3"/>
    </row>
    <row r="212" spans="4:8" x14ac:dyDescent="0.3">
      <c r="D212" s="4"/>
      <c r="E212" s="3"/>
      <c r="F212" s="3"/>
      <c r="G212" s="4"/>
      <c r="H212" s="3"/>
    </row>
    <row r="213" spans="4:8" x14ac:dyDescent="0.3">
      <c r="D213" s="4"/>
      <c r="E213" s="3"/>
      <c r="F213" s="3"/>
      <c r="G213" s="4"/>
      <c r="H213" s="3"/>
    </row>
    <row r="214" spans="4:8" x14ac:dyDescent="0.3">
      <c r="D214" s="4"/>
      <c r="E214" s="3"/>
      <c r="F214" s="3"/>
      <c r="G214" s="4"/>
      <c r="H214" s="3"/>
    </row>
    <row r="215" spans="4:8" x14ac:dyDescent="0.3">
      <c r="D215" s="4"/>
      <c r="E215" s="3"/>
      <c r="F215" s="3"/>
      <c r="G215" s="4"/>
      <c r="H215" s="3"/>
    </row>
    <row r="216" spans="4:8" x14ac:dyDescent="0.3">
      <c r="D216" s="4"/>
      <c r="E216" s="3"/>
      <c r="F216" s="3"/>
      <c r="G216" s="4"/>
      <c r="H216" s="3"/>
    </row>
    <row r="217" spans="4:8" x14ac:dyDescent="0.3">
      <c r="D217" s="4"/>
      <c r="E217" s="3"/>
      <c r="F217" s="3"/>
      <c r="G217" s="4"/>
      <c r="H217" s="3"/>
    </row>
    <row r="218" spans="4:8" x14ac:dyDescent="0.3">
      <c r="D218" s="4"/>
      <c r="E218" s="3"/>
      <c r="F218" s="3"/>
      <c r="G218" s="4"/>
      <c r="H218" s="3"/>
    </row>
    <row r="219" spans="4:8" x14ac:dyDescent="0.3">
      <c r="D219" s="4"/>
      <c r="E219" s="3"/>
      <c r="F219" s="3"/>
      <c r="G219" s="4"/>
      <c r="H219" s="3"/>
    </row>
    <row r="220" spans="4:8" x14ac:dyDescent="0.3">
      <c r="D220" s="4"/>
      <c r="E220" s="3"/>
      <c r="F220" s="3"/>
      <c r="G220" s="4"/>
      <c r="H220" s="3"/>
    </row>
    <row r="221" spans="4:8" x14ac:dyDescent="0.3">
      <c r="D221" s="4"/>
      <c r="E221" s="3"/>
      <c r="F221" s="3"/>
      <c r="G221" s="4"/>
      <c r="H221" s="3"/>
    </row>
    <row r="222" spans="4:8" x14ac:dyDescent="0.3">
      <c r="D222" s="4"/>
      <c r="E222" s="3"/>
      <c r="F222" s="3"/>
      <c r="G222" s="4"/>
      <c r="H222" s="3"/>
    </row>
    <row r="223" spans="4:8" x14ac:dyDescent="0.3">
      <c r="D223" s="4"/>
      <c r="E223" s="3"/>
      <c r="F223" s="3"/>
      <c r="G223" s="4"/>
      <c r="H223" s="3"/>
    </row>
    <row r="224" spans="4:8" x14ac:dyDescent="0.3">
      <c r="D224" s="4"/>
      <c r="E224" s="3"/>
      <c r="F224" s="3"/>
      <c r="G224" s="4"/>
      <c r="H224" s="3"/>
    </row>
    <row r="225" spans="4:8" x14ac:dyDescent="0.3">
      <c r="D225" s="4"/>
      <c r="E225" s="3"/>
      <c r="F225" s="3"/>
      <c r="G225" s="4"/>
      <c r="H225" s="3"/>
    </row>
    <row r="226" spans="4:8" x14ac:dyDescent="0.3">
      <c r="D226" s="4"/>
      <c r="E226" s="3"/>
      <c r="F226" s="3"/>
      <c r="G226" s="4"/>
      <c r="H226" s="3"/>
    </row>
    <row r="227" spans="4:8" x14ac:dyDescent="0.3">
      <c r="D227" s="4"/>
      <c r="E227" s="3"/>
      <c r="F227" s="3"/>
      <c r="G227" s="4"/>
      <c r="H227" s="3"/>
    </row>
    <row r="228" spans="4:8" x14ac:dyDescent="0.3">
      <c r="D228" s="4"/>
      <c r="E228" s="3"/>
      <c r="F228" s="3"/>
      <c r="G228" s="4"/>
      <c r="H228" s="3"/>
    </row>
    <row r="229" spans="4:8" x14ac:dyDescent="0.3">
      <c r="D229" s="4"/>
      <c r="E229" s="3"/>
      <c r="F229" s="3"/>
      <c r="G229" s="4"/>
      <c r="H229" s="3"/>
    </row>
    <row r="230" spans="4:8" x14ac:dyDescent="0.3">
      <c r="D230" s="4"/>
      <c r="E230" s="3"/>
      <c r="F230" s="3"/>
      <c r="G230" s="4"/>
      <c r="H230" s="3"/>
    </row>
    <row r="231" spans="4:8" x14ac:dyDescent="0.3">
      <c r="D231" s="4"/>
      <c r="E231" s="3"/>
      <c r="F231" s="3"/>
      <c r="G231" s="4"/>
      <c r="H231" s="3"/>
    </row>
    <row r="232" spans="4:8" x14ac:dyDescent="0.3">
      <c r="D232" s="4"/>
      <c r="E232" s="3"/>
      <c r="F232" s="3"/>
      <c r="G232" s="4"/>
      <c r="H232" s="3"/>
    </row>
    <row r="233" spans="4:8" x14ac:dyDescent="0.3">
      <c r="D233" s="4"/>
      <c r="E233" s="3"/>
      <c r="F233" s="3"/>
      <c r="G233" s="4"/>
      <c r="H233" s="3"/>
    </row>
    <row r="234" spans="4:8" x14ac:dyDescent="0.3">
      <c r="D234" s="4"/>
      <c r="E234" s="3"/>
      <c r="F234" s="3"/>
      <c r="G234" s="4"/>
      <c r="H234" s="3"/>
    </row>
    <row r="235" spans="4:8" x14ac:dyDescent="0.3">
      <c r="D235" s="4"/>
      <c r="E235" s="3"/>
      <c r="F235" s="3"/>
      <c r="G235" s="4"/>
      <c r="H235" s="3"/>
    </row>
    <row r="236" spans="4:8" x14ac:dyDescent="0.3">
      <c r="D236" s="4"/>
      <c r="E236" s="3"/>
      <c r="F236" s="3"/>
      <c r="G236" s="4"/>
      <c r="H236" s="3"/>
    </row>
    <row r="237" spans="4:8" x14ac:dyDescent="0.3">
      <c r="D237" s="4"/>
      <c r="E237" s="3"/>
      <c r="F237" s="3"/>
      <c r="G237" s="4"/>
      <c r="H237" s="3"/>
    </row>
    <row r="238" spans="4:8" x14ac:dyDescent="0.3">
      <c r="D238" s="4"/>
      <c r="E238" s="3"/>
      <c r="F238" s="3"/>
      <c r="G238" s="4"/>
      <c r="H238" s="3"/>
    </row>
    <row r="239" spans="4:8" x14ac:dyDescent="0.3">
      <c r="D239" s="4"/>
      <c r="E239" s="3"/>
      <c r="F239" s="3"/>
      <c r="G239" s="4"/>
      <c r="H239" s="3"/>
    </row>
    <row r="240" spans="4:8" x14ac:dyDescent="0.3">
      <c r="D240" s="4"/>
      <c r="E240" s="3"/>
      <c r="F240" s="3"/>
      <c r="G240" s="4"/>
      <c r="H240" s="3"/>
    </row>
    <row r="241" spans="4:8" x14ac:dyDescent="0.3">
      <c r="D241" s="4"/>
      <c r="E241" s="3"/>
      <c r="F241" s="3"/>
      <c r="G241" s="4"/>
      <c r="H241" s="3"/>
    </row>
    <row r="242" spans="4:8" x14ac:dyDescent="0.3">
      <c r="D242" s="4"/>
      <c r="E242" s="3"/>
      <c r="F242" s="3"/>
      <c r="G242" s="4"/>
      <c r="H242" s="3"/>
    </row>
    <row r="243" spans="4:8" x14ac:dyDescent="0.3">
      <c r="D243" s="4"/>
      <c r="E243" s="3"/>
      <c r="F243" s="3"/>
      <c r="G243" s="4"/>
      <c r="H243" s="3"/>
    </row>
    <row r="244" spans="4:8" x14ac:dyDescent="0.3">
      <c r="D244" s="4"/>
      <c r="E244" s="3"/>
      <c r="F244" s="3"/>
      <c r="G244" s="4"/>
      <c r="H244" s="3"/>
    </row>
    <row r="245" spans="4:8" x14ac:dyDescent="0.3">
      <c r="D245" s="4"/>
      <c r="E245" s="3"/>
      <c r="F245" s="3"/>
      <c r="G245" s="4"/>
      <c r="H245" s="3"/>
    </row>
    <row r="246" spans="4:8" x14ac:dyDescent="0.3">
      <c r="D246" s="4"/>
      <c r="E246" s="3"/>
      <c r="F246" s="3"/>
      <c r="G246" s="4"/>
      <c r="H246" s="3"/>
    </row>
    <row r="247" spans="4:8" x14ac:dyDescent="0.3">
      <c r="D247" s="4"/>
      <c r="E247" s="3"/>
      <c r="F247" s="3"/>
      <c r="G247" s="4"/>
      <c r="H247" s="3"/>
    </row>
    <row r="248" spans="4:8" x14ac:dyDescent="0.3">
      <c r="D248" s="4"/>
      <c r="E248" s="3"/>
      <c r="F248" s="3"/>
      <c r="G248" s="4"/>
      <c r="H248" s="3"/>
    </row>
    <row r="249" spans="4:8" x14ac:dyDescent="0.3">
      <c r="D249" s="4"/>
      <c r="E249" s="3"/>
      <c r="F249" s="3"/>
      <c r="G249" s="4"/>
      <c r="H249" s="3"/>
    </row>
    <row r="250" spans="4:8" x14ac:dyDescent="0.3">
      <c r="D250" s="4"/>
      <c r="E250" s="3"/>
      <c r="F250" s="3"/>
      <c r="G250" s="4"/>
      <c r="H250" s="3"/>
    </row>
    <row r="251" spans="4:8" x14ac:dyDescent="0.3">
      <c r="D251" s="4"/>
      <c r="E251" s="3"/>
      <c r="F251" s="3"/>
      <c r="G251" s="4"/>
      <c r="H251" s="3"/>
    </row>
    <row r="252" spans="4:8" x14ac:dyDescent="0.3">
      <c r="D252" s="4"/>
      <c r="E252" s="3"/>
      <c r="F252" s="3"/>
      <c r="G252" s="4"/>
      <c r="H252" s="3"/>
    </row>
    <row r="253" spans="4:8" x14ac:dyDescent="0.3">
      <c r="D253" s="4"/>
      <c r="E253" s="3"/>
      <c r="F253" s="3"/>
      <c r="G253" s="4"/>
      <c r="H253" s="3"/>
    </row>
    <row r="254" spans="4:8" x14ac:dyDescent="0.3">
      <c r="D254" s="4"/>
      <c r="E254" s="3"/>
      <c r="F254" s="3"/>
      <c r="G254" s="4"/>
      <c r="H254" s="3"/>
    </row>
    <row r="255" spans="4:8" x14ac:dyDescent="0.3">
      <c r="D255" s="4"/>
      <c r="E255" s="3"/>
      <c r="F255" s="3"/>
      <c r="G255" s="4"/>
      <c r="H255" s="3"/>
    </row>
    <row r="256" spans="4:8" x14ac:dyDescent="0.3">
      <c r="D256" s="4"/>
      <c r="E256" s="3"/>
      <c r="F256" s="3"/>
      <c r="G256" s="4"/>
      <c r="H256" s="3"/>
    </row>
    <row r="257" spans="4:8" x14ac:dyDescent="0.3">
      <c r="D257" s="4"/>
      <c r="E257" s="3"/>
      <c r="F257" s="3"/>
      <c r="G257" s="4"/>
      <c r="H257" s="3"/>
    </row>
    <row r="258" spans="4:8" x14ac:dyDescent="0.3">
      <c r="D258" s="4"/>
      <c r="E258" s="3"/>
      <c r="F258" s="3"/>
      <c r="G258" s="4"/>
      <c r="H258" s="3"/>
    </row>
    <row r="259" spans="4:8" x14ac:dyDescent="0.3">
      <c r="D259" s="4"/>
      <c r="E259" s="3"/>
      <c r="F259" s="3"/>
      <c r="G259" s="4"/>
      <c r="H259" s="3"/>
    </row>
    <row r="260" spans="4:8" x14ac:dyDescent="0.3">
      <c r="D260" s="4"/>
      <c r="E260" s="3"/>
      <c r="F260" s="3"/>
      <c r="G260" s="4"/>
      <c r="H260" s="3"/>
    </row>
    <row r="261" spans="4:8" x14ac:dyDescent="0.3">
      <c r="D261" s="4"/>
      <c r="E261" s="3"/>
      <c r="F261" s="3"/>
      <c r="G261" s="4"/>
      <c r="H261" s="3"/>
    </row>
    <row r="262" spans="4:8" x14ac:dyDescent="0.3">
      <c r="D262" s="4"/>
      <c r="E262" s="3"/>
      <c r="F262" s="3"/>
      <c r="G262" s="4"/>
      <c r="H262" s="3"/>
    </row>
    <row r="263" spans="4:8" x14ac:dyDescent="0.3">
      <c r="D263" s="4"/>
      <c r="E263" s="3"/>
      <c r="F263" s="3"/>
      <c r="G263" s="4"/>
      <c r="H263" s="3"/>
    </row>
    <row r="264" spans="4:8" x14ac:dyDescent="0.3">
      <c r="D264" s="4"/>
      <c r="E264" s="3"/>
      <c r="F264" s="3"/>
      <c r="G264" s="4"/>
      <c r="H264" s="3"/>
    </row>
    <row r="265" spans="4:8" x14ac:dyDescent="0.3">
      <c r="D265" s="4"/>
      <c r="E265" s="3"/>
      <c r="F265" s="3"/>
      <c r="G265" s="4"/>
      <c r="H265" s="3"/>
    </row>
    <row r="266" spans="4:8" x14ac:dyDescent="0.3">
      <c r="D266" s="4"/>
      <c r="E266" s="3"/>
      <c r="F266" s="3"/>
      <c r="G266" s="4"/>
      <c r="H266" s="3"/>
    </row>
    <row r="267" spans="4:8" x14ac:dyDescent="0.3">
      <c r="D267" s="4"/>
      <c r="E267" s="3"/>
      <c r="F267" s="3"/>
      <c r="G267" s="4"/>
      <c r="H267" s="3"/>
    </row>
    <row r="268" spans="4:8" x14ac:dyDescent="0.3">
      <c r="D268" s="4"/>
      <c r="E268" s="3"/>
      <c r="F268" s="3"/>
      <c r="G268" s="4"/>
      <c r="H268" s="3"/>
    </row>
    <row r="269" spans="4:8" x14ac:dyDescent="0.3">
      <c r="D269" s="4"/>
      <c r="E269" s="3"/>
      <c r="F269" s="3"/>
      <c r="G269" s="4"/>
      <c r="H269" s="3"/>
    </row>
    <row r="270" spans="4:8" x14ac:dyDescent="0.3">
      <c r="D270" s="4"/>
      <c r="E270" s="3"/>
      <c r="F270" s="3"/>
      <c r="G270" s="4"/>
      <c r="H270" s="3"/>
    </row>
    <row r="271" spans="4:8" x14ac:dyDescent="0.3">
      <c r="D271" s="4"/>
      <c r="E271" s="3"/>
      <c r="F271" s="3"/>
      <c r="G271" s="4"/>
      <c r="H271" s="3"/>
    </row>
    <row r="272" spans="4:8" x14ac:dyDescent="0.3">
      <c r="D272" s="4"/>
      <c r="E272" s="3"/>
      <c r="F272" s="3"/>
      <c r="G272" s="4"/>
      <c r="H272" s="3"/>
    </row>
    <row r="273" spans="4:9" x14ac:dyDescent="0.3">
      <c r="D273" s="4"/>
      <c r="E273" s="3"/>
      <c r="F273" s="3"/>
      <c r="G273" s="4"/>
      <c r="H273" s="3"/>
    </row>
    <row r="274" spans="4:9" x14ac:dyDescent="0.3">
      <c r="D274" s="4"/>
      <c r="E274" s="3"/>
      <c r="F274" s="3"/>
      <c r="G274" s="4"/>
      <c r="H274" s="3"/>
      <c r="I274" s="3"/>
    </row>
    <row r="275" spans="4:9" x14ac:dyDescent="0.3">
      <c r="D275" s="4"/>
      <c r="E275" s="3"/>
      <c r="F275" s="3"/>
      <c r="G275" s="4"/>
      <c r="H275" s="3"/>
      <c r="I275" s="3"/>
    </row>
    <row r="276" spans="4:9" x14ac:dyDescent="0.3">
      <c r="D276" s="4"/>
      <c r="E276" s="3"/>
      <c r="F276" s="3"/>
      <c r="G276" s="4"/>
      <c r="H276" s="3"/>
      <c r="I276" s="3"/>
    </row>
    <row r="277" spans="4:9" x14ac:dyDescent="0.3">
      <c r="D277" s="4"/>
      <c r="E277" s="3"/>
      <c r="F277" s="3"/>
      <c r="G277" s="4"/>
      <c r="H277" s="3"/>
      <c r="I277" s="3"/>
    </row>
    <row r="278" spans="4:9" x14ac:dyDescent="0.3">
      <c r="D278" s="4"/>
      <c r="E278" s="3"/>
      <c r="F278" s="3"/>
      <c r="G278" s="4"/>
      <c r="H278" s="3"/>
      <c r="I278" s="3"/>
    </row>
    <row r="279" spans="4:9" x14ac:dyDescent="0.3">
      <c r="D279" s="4"/>
      <c r="E279" s="3"/>
      <c r="F279" s="3"/>
      <c r="G279" s="4"/>
      <c r="H279" s="3"/>
      <c r="I279" s="3"/>
    </row>
    <row r="280" spans="4:9" x14ac:dyDescent="0.3">
      <c r="D280" s="4"/>
      <c r="E280" s="3"/>
      <c r="F280" s="3"/>
      <c r="G280" s="4"/>
      <c r="H280" s="3"/>
      <c r="I280" s="3"/>
    </row>
    <row r="281" spans="4:9" x14ac:dyDescent="0.3">
      <c r="D281" s="4"/>
      <c r="E281" s="3"/>
      <c r="F281" s="3"/>
      <c r="G281" s="4"/>
      <c r="H281" s="3"/>
      <c r="I281" s="3"/>
    </row>
    <row r="282" spans="4:9" x14ac:dyDescent="0.3">
      <c r="D282" s="4"/>
      <c r="E282" s="3"/>
      <c r="F282" s="3"/>
      <c r="G282" s="4"/>
      <c r="H282" s="3"/>
      <c r="I282" s="3"/>
    </row>
    <row r="283" spans="4:9" x14ac:dyDescent="0.3">
      <c r="D283" s="4"/>
      <c r="E283" s="3"/>
      <c r="F283" s="3"/>
      <c r="G283" s="4"/>
      <c r="H283" s="3"/>
      <c r="I283" s="3"/>
    </row>
    <row r="284" spans="4:9" x14ac:dyDescent="0.3">
      <c r="D284" s="4"/>
      <c r="E284" s="3"/>
      <c r="F284" s="3"/>
      <c r="G284" s="4"/>
      <c r="H284" s="3"/>
      <c r="I284" s="3"/>
    </row>
    <row r="285" spans="4:9" x14ac:dyDescent="0.3">
      <c r="D285" s="4"/>
      <c r="E285" s="3"/>
      <c r="F285" s="3"/>
      <c r="G285" s="4"/>
      <c r="H285" s="3"/>
      <c r="I285" s="3"/>
    </row>
    <row r="286" spans="4:9" x14ac:dyDescent="0.3">
      <c r="D286" s="4"/>
      <c r="E286" s="3"/>
      <c r="F286" s="3"/>
      <c r="G286" s="4"/>
      <c r="H286" s="3"/>
      <c r="I286" s="3"/>
    </row>
    <row r="287" spans="4:9" x14ac:dyDescent="0.3">
      <c r="D287" s="4"/>
      <c r="E287" s="3"/>
      <c r="F287" s="3"/>
      <c r="G287" s="4"/>
      <c r="H287" s="3"/>
      <c r="I287" s="3"/>
    </row>
    <row r="288" spans="4:9" x14ac:dyDescent="0.3">
      <c r="D288" s="4"/>
      <c r="E288" s="3"/>
      <c r="F288" s="3"/>
      <c r="G288" s="4"/>
      <c r="H288" s="3"/>
      <c r="I288" s="3"/>
    </row>
    <row r="289" spans="4:9" x14ac:dyDescent="0.3">
      <c r="D289" s="4"/>
      <c r="E289" s="3"/>
      <c r="F289" s="3"/>
      <c r="G289" s="4"/>
      <c r="H289" s="3"/>
      <c r="I289" s="3"/>
    </row>
    <row r="290" spans="4:9" x14ac:dyDescent="0.3">
      <c r="D290" s="4"/>
      <c r="E290" s="3"/>
      <c r="F290" s="3"/>
      <c r="G290" s="4"/>
      <c r="H290" s="3"/>
      <c r="I290" s="3"/>
    </row>
    <row r="291" spans="4:9" x14ac:dyDescent="0.3">
      <c r="D291" s="4"/>
      <c r="E291" s="3"/>
      <c r="F291" s="3"/>
      <c r="G291" s="4"/>
      <c r="H291" s="3"/>
      <c r="I291" s="3"/>
    </row>
    <row r="292" spans="4:9" x14ac:dyDescent="0.3">
      <c r="D292" s="4"/>
      <c r="E292" s="3"/>
      <c r="F292" s="3"/>
      <c r="G292" s="4"/>
      <c r="H292" s="3"/>
      <c r="I292" s="3"/>
    </row>
    <row r="293" spans="4:9" x14ac:dyDescent="0.3">
      <c r="D293" s="4"/>
      <c r="E293" s="3"/>
      <c r="F293" s="3"/>
      <c r="G293" s="4"/>
      <c r="H293" s="3"/>
      <c r="I293" s="3"/>
    </row>
    <row r="294" spans="4:9" x14ac:dyDescent="0.3">
      <c r="D294" s="4"/>
      <c r="E294" s="3"/>
      <c r="F294" s="3"/>
      <c r="G294" s="4"/>
      <c r="H294" s="3"/>
      <c r="I294" s="3"/>
    </row>
    <row r="295" spans="4:9" x14ac:dyDescent="0.3">
      <c r="D295" s="4"/>
      <c r="E295" s="3"/>
      <c r="F295" s="3"/>
      <c r="G295" s="4"/>
      <c r="H295" s="3"/>
      <c r="I295" s="3"/>
    </row>
    <row r="296" spans="4:9" x14ac:dyDescent="0.3">
      <c r="D296" s="4"/>
      <c r="E296" s="3"/>
      <c r="F296" s="3"/>
      <c r="G296" s="4"/>
      <c r="H296" s="3"/>
      <c r="I296" s="3"/>
    </row>
    <row r="297" spans="4:9" x14ac:dyDescent="0.3">
      <c r="D297" s="4"/>
      <c r="E297" s="3"/>
      <c r="F297" s="3"/>
      <c r="G297" s="4"/>
      <c r="H297" s="3"/>
      <c r="I297" s="3"/>
    </row>
    <row r="298" spans="4:9" x14ac:dyDescent="0.3">
      <c r="D298" s="4"/>
      <c r="E298" s="3"/>
      <c r="F298" s="3"/>
      <c r="G298" s="4"/>
      <c r="H298" s="3"/>
      <c r="I298" s="3"/>
    </row>
    <row r="299" spans="4:9" x14ac:dyDescent="0.3">
      <c r="D299" s="4"/>
      <c r="E299" s="3"/>
      <c r="F299" s="3"/>
      <c r="G299" s="4"/>
      <c r="H299" s="3"/>
      <c r="I299" s="3"/>
    </row>
    <row r="300" spans="4:9" x14ac:dyDescent="0.3">
      <c r="D300" s="4"/>
      <c r="E300" s="3"/>
      <c r="F300" s="3"/>
      <c r="G300" s="4"/>
      <c r="H300" s="3"/>
      <c r="I300" s="3"/>
    </row>
    <row r="301" spans="4:9" x14ac:dyDescent="0.3">
      <c r="D301" s="4"/>
      <c r="E301" s="3"/>
      <c r="F301" s="3"/>
      <c r="G301" s="4"/>
      <c r="H301" s="3"/>
      <c r="I301" s="3"/>
    </row>
    <row r="302" spans="4:9" x14ac:dyDescent="0.3">
      <c r="D302" s="4"/>
      <c r="E302" s="3"/>
      <c r="F302" s="3"/>
      <c r="G302" s="4"/>
      <c r="H302" s="3"/>
      <c r="I302" s="3"/>
    </row>
    <row r="303" spans="4:9" x14ac:dyDescent="0.3">
      <c r="D303" s="4"/>
      <c r="E303" s="3"/>
      <c r="F303" s="3"/>
      <c r="G303" s="4"/>
      <c r="H303" s="3"/>
      <c r="I303" s="3"/>
    </row>
    <row r="304" spans="4:9" x14ac:dyDescent="0.3">
      <c r="D304" s="4"/>
      <c r="E304" s="3"/>
      <c r="F304" s="3"/>
      <c r="G304" s="4"/>
      <c r="H304" s="3"/>
      <c r="I304" s="3"/>
    </row>
    <row r="305" spans="4:9" x14ac:dyDescent="0.3">
      <c r="D305" s="4"/>
      <c r="E305" s="3"/>
      <c r="F305" s="3"/>
      <c r="G305" s="4"/>
      <c r="H305" s="3"/>
      <c r="I305" s="3"/>
    </row>
    <row r="306" spans="4:9" x14ac:dyDescent="0.3">
      <c r="D306" s="4"/>
      <c r="E306" s="3"/>
      <c r="F306" s="3"/>
      <c r="G306" s="4"/>
      <c r="H306" s="3"/>
      <c r="I306" s="3"/>
    </row>
    <row r="307" spans="4:9" x14ac:dyDescent="0.3">
      <c r="D307" s="4"/>
      <c r="E307" s="3"/>
      <c r="F307" s="3"/>
      <c r="G307" s="4"/>
      <c r="H307" s="3"/>
      <c r="I307" s="3"/>
    </row>
    <row r="308" spans="4:9" x14ac:dyDescent="0.3">
      <c r="D308" s="4"/>
      <c r="E308" s="3"/>
      <c r="F308" s="3"/>
      <c r="G308" s="4"/>
      <c r="H308" s="3"/>
      <c r="I308" s="3"/>
    </row>
    <row r="309" spans="4:9" x14ac:dyDescent="0.3">
      <c r="D309" s="4"/>
      <c r="E309" s="3"/>
      <c r="F309" s="3"/>
      <c r="G309" s="4"/>
      <c r="H309" s="3"/>
      <c r="I309" s="3"/>
    </row>
    <row r="310" spans="4:9" x14ac:dyDescent="0.3">
      <c r="D310" s="4"/>
      <c r="E310" s="3"/>
      <c r="F310" s="3"/>
      <c r="G310" s="4"/>
      <c r="H310" s="3"/>
      <c r="I310" s="3"/>
    </row>
    <row r="311" spans="4:9" x14ac:dyDescent="0.3">
      <c r="D311" s="4"/>
      <c r="E311" s="3"/>
      <c r="F311" s="3"/>
      <c r="G311" s="4"/>
      <c r="H311" s="3"/>
      <c r="I311" s="3"/>
    </row>
    <row r="312" spans="4:9" x14ac:dyDescent="0.3">
      <c r="D312" s="4"/>
      <c r="E312" s="3"/>
      <c r="F312" s="3"/>
      <c r="G312" s="4"/>
      <c r="H312" s="3"/>
      <c r="I312" s="3"/>
    </row>
    <row r="313" spans="4:9" x14ac:dyDescent="0.3">
      <c r="D313" s="4"/>
      <c r="E313" s="3"/>
      <c r="F313" s="3"/>
      <c r="G313" s="4"/>
      <c r="H313" s="3"/>
      <c r="I313" s="3"/>
    </row>
    <row r="314" spans="4:9" x14ac:dyDescent="0.3">
      <c r="D314" s="4"/>
      <c r="E314" s="3"/>
      <c r="F314" s="3"/>
      <c r="G314" s="4"/>
      <c r="H314" s="3"/>
      <c r="I314" s="3"/>
    </row>
    <row r="315" spans="4:9" x14ac:dyDescent="0.3">
      <c r="D315" s="4"/>
      <c r="E315" s="3"/>
      <c r="F315" s="3"/>
      <c r="G315" s="4"/>
      <c r="H315" s="3"/>
      <c r="I315" s="3"/>
    </row>
    <row r="316" spans="4:9" x14ac:dyDescent="0.3">
      <c r="D316" s="4"/>
      <c r="E316" s="3"/>
      <c r="F316" s="3"/>
      <c r="G316" s="4"/>
      <c r="H316" s="3"/>
      <c r="I316" s="3"/>
    </row>
    <row r="317" spans="4:9" x14ac:dyDescent="0.3">
      <c r="D317" s="4"/>
      <c r="E317" s="3"/>
      <c r="F317" s="3"/>
      <c r="G317" s="4"/>
      <c r="H317" s="3"/>
      <c r="I317" s="3"/>
    </row>
    <row r="318" spans="4:9" x14ac:dyDescent="0.3">
      <c r="D318" s="4"/>
      <c r="E318" s="3"/>
      <c r="F318" s="3"/>
      <c r="G318" s="4"/>
      <c r="H318" s="3"/>
      <c r="I318" s="3"/>
    </row>
    <row r="319" spans="4:9" x14ac:dyDescent="0.3">
      <c r="D319" s="4"/>
      <c r="E319" s="3"/>
      <c r="F319" s="3"/>
      <c r="G319" s="4"/>
      <c r="H319" s="3"/>
      <c r="I319" s="3"/>
    </row>
    <row r="320" spans="4:9" x14ac:dyDescent="0.3">
      <c r="D320" s="4"/>
      <c r="E320" s="3"/>
      <c r="F320" s="3"/>
      <c r="G320" s="4"/>
      <c r="H320" s="3"/>
      <c r="I320" s="3"/>
    </row>
    <row r="321" spans="4:9" x14ac:dyDescent="0.3">
      <c r="D321" s="4"/>
      <c r="E321" s="3"/>
      <c r="F321" s="3"/>
      <c r="G321" s="4"/>
      <c r="H321" s="3"/>
      <c r="I321" s="3"/>
    </row>
    <row r="322" spans="4:9" x14ac:dyDescent="0.3">
      <c r="D322" s="4"/>
      <c r="E322" s="3"/>
      <c r="F322" s="3"/>
      <c r="G322" s="4"/>
      <c r="H322" s="3"/>
      <c r="I322" s="3"/>
    </row>
    <row r="323" spans="4:9" x14ac:dyDescent="0.3">
      <c r="D323" s="4"/>
      <c r="E323" s="3"/>
      <c r="F323" s="3"/>
      <c r="G323" s="4"/>
      <c r="H323" s="3"/>
      <c r="I323" s="3"/>
    </row>
    <row r="324" spans="4:9" x14ac:dyDescent="0.3">
      <c r="D324" s="4"/>
      <c r="E324" s="3"/>
      <c r="F324" s="3"/>
      <c r="G324" s="4"/>
      <c r="H324" s="3"/>
      <c r="I324" s="3"/>
    </row>
    <row r="325" spans="4:9" x14ac:dyDescent="0.3">
      <c r="D325" s="4"/>
      <c r="E325" s="3"/>
      <c r="F325" s="3"/>
      <c r="G325" s="4"/>
      <c r="H325" s="3"/>
      <c r="I325" s="3"/>
    </row>
    <row r="326" spans="4:9" x14ac:dyDescent="0.3">
      <c r="D326" s="4"/>
      <c r="E326" s="3"/>
      <c r="F326" s="3"/>
      <c r="G326" s="4"/>
      <c r="H326" s="3"/>
      <c r="I326" s="3"/>
    </row>
    <row r="327" spans="4:9" x14ac:dyDescent="0.3">
      <c r="D327" s="4"/>
      <c r="E327" s="3"/>
      <c r="F327" s="3"/>
      <c r="G327" s="4"/>
      <c r="H327" s="3"/>
      <c r="I327" s="3"/>
    </row>
    <row r="328" spans="4:9" x14ac:dyDescent="0.3">
      <c r="D328" s="4"/>
      <c r="E328" s="3"/>
      <c r="F328" s="3"/>
      <c r="G328" s="4"/>
      <c r="H328" s="3"/>
      <c r="I328" s="3"/>
    </row>
    <row r="329" spans="4:9" x14ac:dyDescent="0.3">
      <c r="D329" s="4"/>
      <c r="E329" s="3"/>
      <c r="F329" s="3"/>
      <c r="G329" s="4"/>
      <c r="H329" s="3"/>
      <c r="I329" s="3"/>
    </row>
    <row r="330" spans="4:9" x14ac:dyDescent="0.3">
      <c r="D330" s="4"/>
      <c r="E330" s="3"/>
      <c r="F330" s="3"/>
      <c r="G330" s="4"/>
      <c r="H330" s="3"/>
      <c r="I330" s="3"/>
    </row>
    <row r="331" spans="4:9" x14ac:dyDescent="0.3">
      <c r="D331" s="4"/>
      <c r="E331" s="3"/>
      <c r="F331" s="3"/>
      <c r="G331" s="4"/>
      <c r="H331" s="3"/>
      <c r="I331" s="3"/>
    </row>
    <row r="332" spans="4:9" x14ac:dyDescent="0.3">
      <c r="D332" s="4"/>
      <c r="E332" s="3"/>
      <c r="F332" s="3"/>
      <c r="G332" s="4"/>
      <c r="H332" s="3"/>
      <c r="I332" s="3"/>
    </row>
    <row r="333" spans="4:9" x14ac:dyDescent="0.3">
      <c r="D333" s="4"/>
      <c r="E333" s="3"/>
      <c r="F333" s="3"/>
      <c r="G333" s="4"/>
      <c r="H333" s="3"/>
      <c r="I333" s="3"/>
    </row>
    <row r="334" spans="4:9" x14ac:dyDescent="0.3">
      <c r="D334" s="4"/>
      <c r="E334" s="3"/>
      <c r="F334" s="3"/>
      <c r="G334" s="4"/>
      <c r="H334" s="3"/>
      <c r="I334" s="3"/>
    </row>
    <row r="335" spans="4:9" x14ac:dyDescent="0.3">
      <c r="D335" s="4"/>
      <c r="E335" s="3"/>
      <c r="F335" s="3"/>
      <c r="G335" s="4"/>
      <c r="H335" s="3"/>
      <c r="I335" s="3"/>
    </row>
    <row r="336" spans="4:9" x14ac:dyDescent="0.3">
      <c r="D336" s="4"/>
      <c r="E336" s="3"/>
      <c r="F336" s="3"/>
      <c r="G336" s="4"/>
      <c r="H336" s="3"/>
      <c r="I336" s="3"/>
    </row>
    <row r="337" spans="4:9" x14ac:dyDescent="0.3">
      <c r="D337" s="4"/>
      <c r="E337" s="3"/>
      <c r="F337" s="3"/>
      <c r="G337" s="4"/>
      <c r="H337" s="3"/>
      <c r="I337" s="3"/>
    </row>
    <row r="338" spans="4:9" x14ac:dyDescent="0.3">
      <c r="D338" s="4"/>
      <c r="E338" s="3"/>
      <c r="F338" s="3"/>
      <c r="G338" s="4"/>
      <c r="H338" s="3"/>
      <c r="I338" s="3"/>
    </row>
    <row r="339" spans="4:9" x14ac:dyDescent="0.3">
      <c r="D339" s="4"/>
      <c r="E339" s="3"/>
      <c r="F339" s="3"/>
      <c r="G339" s="4"/>
      <c r="H339" s="3"/>
      <c r="I339" s="3"/>
    </row>
    <row r="340" spans="4:9" x14ac:dyDescent="0.3">
      <c r="D340" s="4"/>
      <c r="E340" s="3"/>
      <c r="F340" s="3"/>
      <c r="G340" s="4"/>
      <c r="H340" s="3"/>
      <c r="I340" s="3"/>
    </row>
    <row r="341" spans="4:9" x14ac:dyDescent="0.3">
      <c r="D341" s="4"/>
      <c r="E341" s="3"/>
      <c r="F341" s="3"/>
      <c r="G341" s="4"/>
      <c r="H341" s="3"/>
      <c r="I341" s="3"/>
    </row>
    <row r="342" spans="4:9" x14ac:dyDescent="0.3">
      <c r="D342" s="4"/>
      <c r="E342" s="3"/>
      <c r="F342" s="3"/>
      <c r="G342" s="4"/>
      <c r="H342" s="3"/>
      <c r="I342" s="3"/>
    </row>
    <row r="343" spans="4:9" x14ac:dyDescent="0.3">
      <c r="D343" s="4"/>
      <c r="E343" s="3"/>
      <c r="F343" s="3"/>
      <c r="G343" s="4"/>
      <c r="H343" s="3"/>
      <c r="I343" s="3"/>
    </row>
    <row r="344" spans="4:9" x14ac:dyDescent="0.3">
      <c r="D344" s="4"/>
      <c r="E344" s="3"/>
      <c r="F344" s="3"/>
      <c r="G344" s="4"/>
      <c r="H344" s="3"/>
      <c r="I344" s="3"/>
    </row>
    <row r="345" spans="4:9" x14ac:dyDescent="0.3">
      <c r="D345" s="4"/>
      <c r="E345" s="3"/>
      <c r="F345" s="3"/>
      <c r="G345" s="4"/>
      <c r="H345" s="3"/>
      <c r="I345" s="3"/>
    </row>
    <row r="346" spans="4:9" x14ac:dyDescent="0.3">
      <c r="D346" s="4"/>
      <c r="E346" s="3"/>
      <c r="F346" s="3"/>
      <c r="G346" s="4"/>
      <c r="H346" s="3"/>
      <c r="I346" s="3"/>
    </row>
    <row r="347" spans="4:9" x14ac:dyDescent="0.3">
      <c r="D347" s="4"/>
      <c r="E347" s="3"/>
      <c r="F347" s="3"/>
      <c r="G347" s="4"/>
      <c r="H347" s="3"/>
      <c r="I347" s="3"/>
    </row>
    <row r="348" spans="4:9" x14ac:dyDescent="0.3">
      <c r="D348" s="4"/>
      <c r="E348" s="3"/>
      <c r="F348" s="3"/>
      <c r="G348" s="4"/>
      <c r="H348" s="3"/>
      <c r="I348" s="3"/>
    </row>
    <row r="349" spans="4:9" x14ac:dyDescent="0.3">
      <c r="D349" s="4"/>
      <c r="E349" s="3"/>
      <c r="F349" s="3"/>
      <c r="G349" s="4"/>
      <c r="H349" s="3"/>
      <c r="I349" s="3"/>
    </row>
    <row r="350" spans="4:9" x14ac:dyDescent="0.3">
      <c r="D350" s="4"/>
      <c r="E350" s="3"/>
      <c r="F350" s="3"/>
      <c r="G350" s="4"/>
      <c r="H350" s="3"/>
      <c r="I350" s="3"/>
    </row>
    <row r="351" spans="4:9" x14ac:dyDescent="0.3">
      <c r="D351" s="4"/>
      <c r="E351" s="3"/>
      <c r="F351" s="3"/>
      <c r="G351" s="4"/>
      <c r="H351" s="3"/>
      <c r="I351" s="3"/>
    </row>
    <row r="352" spans="4:9" x14ac:dyDescent="0.3">
      <c r="D352" s="4"/>
      <c r="E352" s="3"/>
      <c r="F352" s="3"/>
      <c r="G352" s="4"/>
      <c r="H352" s="3"/>
      <c r="I352" s="3"/>
    </row>
    <row r="353" spans="4:9" x14ac:dyDescent="0.3">
      <c r="D353" s="4"/>
      <c r="E353" s="3"/>
      <c r="F353" s="3"/>
      <c r="G353" s="4"/>
      <c r="H353" s="3"/>
      <c r="I353" s="3"/>
    </row>
    <row r="354" spans="4:9" x14ac:dyDescent="0.3">
      <c r="D354" s="4"/>
      <c r="E354" s="3"/>
      <c r="F354" s="3"/>
      <c r="G354" s="4"/>
      <c r="H354" s="3"/>
      <c r="I354" s="3"/>
    </row>
    <row r="355" spans="4:9" x14ac:dyDescent="0.3">
      <c r="D355" s="4"/>
      <c r="E355" s="3"/>
      <c r="F355" s="3"/>
      <c r="G355" s="4"/>
      <c r="H355" s="3"/>
      <c r="I355" s="3"/>
    </row>
    <row r="356" spans="4:9" x14ac:dyDescent="0.3">
      <c r="D356" s="4"/>
      <c r="E356" s="3"/>
      <c r="F356" s="3"/>
      <c r="G356" s="4"/>
      <c r="H356" s="3"/>
      <c r="I356" s="3"/>
    </row>
    <row r="357" spans="4:9" x14ac:dyDescent="0.3">
      <c r="D357" s="4"/>
      <c r="E357" s="3"/>
      <c r="F357" s="3"/>
      <c r="G357" s="4"/>
      <c r="H357" s="3"/>
      <c r="I357" s="3"/>
    </row>
    <row r="358" spans="4:9" x14ac:dyDescent="0.3">
      <c r="D358" s="4"/>
      <c r="E358" s="3"/>
      <c r="F358" s="3"/>
      <c r="G358" s="4"/>
      <c r="H358" s="3"/>
      <c r="I358" s="3"/>
    </row>
    <row r="359" spans="4:9" x14ac:dyDescent="0.3">
      <c r="D359" s="4"/>
      <c r="E359" s="3"/>
      <c r="F359" s="3"/>
      <c r="G359" s="4"/>
      <c r="H359" s="3"/>
      <c r="I359" s="3"/>
    </row>
    <row r="360" spans="4:9" x14ac:dyDescent="0.3">
      <c r="D360" s="4"/>
      <c r="E360" s="3"/>
      <c r="F360" s="3"/>
      <c r="G360" s="4"/>
      <c r="H360" s="3"/>
      <c r="I360" s="3"/>
    </row>
    <row r="361" spans="4:9" x14ac:dyDescent="0.3">
      <c r="D361" s="4"/>
      <c r="E361" s="3"/>
      <c r="F361" s="3"/>
      <c r="G361" s="4"/>
      <c r="H361" s="3"/>
      <c r="I361" s="3"/>
    </row>
    <row r="362" spans="4:9" x14ac:dyDescent="0.3">
      <c r="D362" s="4"/>
      <c r="E362" s="3"/>
      <c r="F362" s="3"/>
      <c r="G362" s="4"/>
      <c r="H362" s="3"/>
      <c r="I362" s="3"/>
    </row>
    <row r="363" spans="4:9" x14ac:dyDescent="0.3">
      <c r="D363" s="4"/>
      <c r="E363" s="3"/>
      <c r="F363" s="3"/>
      <c r="G363" s="4"/>
      <c r="H363" s="3"/>
      <c r="I363" s="3"/>
    </row>
    <row r="364" spans="4:9" x14ac:dyDescent="0.3">
      <c r="D364" s="4"/>
      <c r="E364" s="3"/>
      <c r="F364" s="3"/>
      <c r="G364" s="4"/>
      <c r="H364" s="3"/>
      <c r="I364" s="3"/>
    </row>
    <row r="365" spans="4:9" x14ac:dyDescent="0.3">
      <c r="D365" s="4"/>
      <c r="E365" s="3"/>
      <c r="F365" s="3"/>
      <c r="G365" s="4"/>
      <c r="H365" s="3"/>
      <c r="I365" s="3"/>
    </row>
    <row r="366" spans="4:9" x14ac:dyDescent="0.3">
      <c r="D366" s="4"/>
      <c r="E366" s="3"/>
      <c r="F366" s="3"/>
      <c r="G366" s="4"/>
      <c r="H366" s="3"/>
      <c r="I366" s="3"/>
    </row>
    <row r="367" spans="4:9" x14ac:dyDescent="0.3">
      <c r="D367" s="4"/>
      <c r="E367" s="3"/>
      <c r="F367" s="3"/>
      <c r="G367" s="4"/>
      <c r="H367" s="3"/>
      <c r="I367" s="3"/>
    </row>
    <row r="368" spans="4:9" x14ac:dyDescent="0.3">
      <c r="D368" s="4"/>
      <c r="E368" s="3"/>
      <c r="F368" s="3"/>
      <c r="G368" s="4"/>
      <c r="H368" s="3"/>
      <c r="I368" s="3"/>
    </row>
    <row r="369" spans="4:9" x14ac:dyDescent="0.3">
      <c r="D369" s="4"/>
      <c r="E369" s="3"/>
      <c r="F369" s="3"/>
      <c r="G369" s="4"/>
      <c r="H369" s="3"/>
      <c r="I369" s="3"/>
    </row>
    <row r="370" spans="4:9" x14ac:dyDescent="0.3">
      <c r="D370" s="4"/>
      <c r="E370" s="3"/>
      <c r="F370" s="3"/>
      <c r="G370" s="4"/>
      <c r="H370" s="3"/>
      <c r="I370" s="3"/>
    </row>
    <row r="371" spans="4:9" x14ac:dyDescent="0.3">
      <c r="D371" s="4"/>
      <c r="E371" s="3"/>
      <c r="F371" s="3"/>
      <c r="G371" s="4"/>
      <c r="H371" s="3"/>
      <c r="I371" s="3"/>
    </row>
    <row r="372" spans="4:9" x14ac:dyDescent="0.3">
      <c r="D372" s="4"/>
      <c r="E372" s="3"/>
      <c r="F372" s="3"/>
      <c r="G372" s="4"/>
      <c r="H372" s="3"/>
      <c r="I372" s="3"/>
    </row>
    <row r="373" spans="4:9" x14ac:dyDescent="0.3">
      <c r="D373" s="4"/>
      <c r="E373" s="3"/>
      <c r="F373" s="3"/>
      <c r="G373" s="4"/>
      <c r="H373" s="3"/>
      <c r="I373" s="3"/>
    </row>
    <row r="374" spans="4:9" x14ac:dyDescent="0.3">
      <c r="D374" s="4"/>
      <c r="E374" s="3"/>
      <c r="F374" s="3"/>
      <c r="G374" s="4"/>
      <c r="H374" s="3"/>
      <c r="I374" s="3"/>
    </row>
    <row r="375" spans="4:9" x14ac:dyDescent="0.3">
      <c r="D375" s="4"/>
      <c r="E375" s="3"/>
      <c r="F375" s="3"/>
      <c r="G375" s="4"/>
      <c r="H375" s="3"/>
      <c r="I375" s="3"/>
    </row>
    <row r="376" spans="4:9" x14ac:dyDescent="0.3">
      <c r="D376" s="4"/>
      <c r="E376" s="3"/>
      <c r="F376" s="3"/>
      <c r="G376" s="4"/>
      <c r="H376" s="3"/>
      <c r="I376" s="3"/>
    </row>
    <row r="377" spans="4:9" x14ac:dyDescent="0.3">
      <c r="D377" s="4"/>
      <c r="E377" s="3"/>
      <c r="F377" s="3"/>
      <c r="G377" s="4"/>
      <c r="H377" s="3"/>
      <c r="I377" s="3"/>
    </row>
    <row r="378" spans="4:9" x14ac:dyDescent="0.3">
      <c r="D378" s="4"/>
      <c r="E378" s="3"/>
      <c r="F378" s="3"/>
      <c r="G378" s="4"/>
      <c r="H378" s="3"/>
      <c r="I378" s="3"/>
    </row>
    <row r="379" spans="4:9" x14ac:dyDescent="0.3">
      <c r="D379" s="4"/>
      <c r="E379" s="3"/>
      <c r="F379" s="3"/>
      <c r="G379" s="4"/>
      <c r="H379" s="3"/>
      <c r="I379" s="3"/>
    </row>
    <row r="380" spans="4:9" x14ac:dyDescent="0.3">
      <c r="D380" s="4"/>
      <c r="E380" s="3"/>
      <c r="F380" s="3"/>
      <c r="G380" s="4"/>
      <c r="H380" s="3"/>
      <c r="I380" s="3"/>
    </row>
    <row r="381" spans="4:9" x14ac:dyDescent="0.3">
      <c r="D381" s="4"/>
      <c r="E381" s="3"/>
      <c r="F381" s="3"/>
      <c r="G381" s="4"/>
      <c r="H381" s="3"/>
      <c r="I381" s="3"/>
    </row>
    <row r="382" spans="4:9" x14ac:dyDescent="0.3">
      <c r="D382" s="4"/>
      <c r="E382" s="3"/>
      <c r="F382" s="3"/>
      <c r="G382" s="4"/>
      <c r="H382" s="3"/>
      <c r="I382" s="3"/>
    </row>
    <row r="383" spans="4:9" x14ac:dyDescent="0.3">
      <c r="D383" s="4"/>
      <c r="E383" s="3"/>
      <c r="F383" s="3"/>
      <c r="G383" s="4"/>
      <c r="H383" s="3"/>
      <c r="I383" s="3"/>
    </row>
    <row r="384" spans="4:9" x14ac:dyDescent="0.3">
      <c r="D384" s="4"/>
      <c r="E384" s="3"/>
      <c r="F384" s="3"/>
      <c r="G384" s="4"/>
      <c r="H384" s="3"/>
      <c r="I384" s="3"/>
    </row>
    <row r="385" spans="4:9" x14ac:dyDescent="0.3">
      <c r="D385" s="4"/>
      <c r="E385" s="3"/>
      <c r="F385" s="3"/>
      <c r="G385" s="4"/>
      <c r="H385" s="3"/>
      <c r="I385" s="3"/>
    </row>
    <row r="386" spans="4:9" x14ac:dyDescent="0.3">
      <c r="D386" s="4"/>
      <c r="E386" s="3"/>
      <c r="F386" s="3"/>
      <c r="G386" s="4"/>
      <c r="H386" s="3"/>
      <c r="I386" s="3"/>
    </row>
    <row r="387" spans="4:9" x14ac:dyDescent="0.3">
      <c r="D387" s="4"/>
      <c r="E387" s="3"/>
      <c r="F387" s="3"/>
      <c r="G387" s="4"/>
      <c r="H387" s="3"/>
      <c r="I387" s="3"/>
    </row>
    <row r="388" spans="4:9" x14ac:dyDescent="0.3">
      <c r="D388" s="4"/>
      <c r="E388" s="3"/>
      <c r="F388" s="3"/>
      <c r="G388" s="4"/>
      <c r="H388" s="3"/>
      <c r="I388" s="3"/>
    </row>
    <row r="389" spans="4:9" x14ac:dyDescent="0.3">
      <c r="D389" s="4"/>
      <c r="E389" s="3"/>
      <c r="F389" s="3"/>
      <c r="G389" s="4"/>
      <c r="H389" s="3"/>
      <c r="I389" s="3"/>
    </row>
    <row r="390" spans="4:9" x14ac:dyDescent="0.3">
      <c r="D390" s="4"/>
      <c r="E390" s="3"/>
      <c r="F390" s="3"/>
      <c r="G390" s="4"/>
      <c r="H390" s="3"/>
      <c r="I390" s="3"/>
    </row>
    <row r="391" spans="4:9" x14ac:dyDescent="0.3">
      <c r="D391" s="4"/>
      <c r="E391" s="3"/>
      <c r="F391" s="3"/>
      <c r="G391" s="4"/>
      <c r="H391" s="3"/>
      <c r="I391" s="3"/>
    </row>
    <row r="392" spans="4:9" x14ac:dyDescent="0.3">
      <c r="D392" s="4"/>
      <c r="E392" s="3"/>
      <c r="F392" s="3"/>
      <c r="G392" s="4"/>
      <c r="H392" s="3"/>
      <c r="I392" s="3"/>
    </row>
    <row r="393" spans="4:9" x14ac:dyDescent="0.3">
      <c r="D393" s="4"/>
      <c r="E393" s="3"/>
      <c r="F393" s="3"/>
      <c r="G393" s="4"/>
      <c r="H393" s="3"/>
      <c r="I393" s="3"/>
    </row>
    <row r="394" spans="4:9" x14ac:dyDescent="0.3">
      <c r="D394" s="4"/>
      <c r="E394" s="3"/>
      <c r="F394" s="3"/>
      <c r="G394" s="4"/>
      <c r="H394" s="3"/>
      <c r="I394" s="3"/>
    </row>
    <row r="395" spans="4:9" x14ac:dyDescent="0.3">
      <c r="D395" s="4"/>
      <c r="E395" s="3"/>
      <c r="F395" s="3"/>
      <c r="G395" s="4"/>
      <c r="H395" s="3"/>
      <c r="I395" s="3"/>
    </row>
    <row r="396" spans="4:9" x14ac:dyDescent="0.3">
      <c r="D396" s="4"/>
      <c r="E396" s="3"/>
      <c r="F396" s="3"/>
      <c r="G396" s="4"/>
      <c r="H396" s="3"/>
      <c r="I396" s="3"/>
    </row>
    <row r="397" spans="4:9" x14ac:dyDescent="0.3">
      <c r="D397" s="4"/>
      <c r="E397" s="3"/>
      <c r="F397" s="3"/>
      <c r="G397" s="4"/>
      <c r="H397" s="3"/>
      <c r="I397" s="3"/>
    </row>
    <row r="398" spans="4:9" x14ac:dyDescent="0.3">
      <c r="D398" s="4"/>
      <c r="E398" s="3"/>
      <c r="F398" s="3"/>
      <c r="G398" s="4"/>
      <c r="H398" s="3"/>
      <c r="I398" s="3"/>
    </row>
    <row r="399" spans="4:9" x14ac:dyDescent="0.3">
      <c r="D399" s="4"/>
      <c r="E399" s="3"/>
      <c r="F399" s="3"/>
      <c r="G399" s="4"/>
      <c r="H399" s="3"/>
      <c r="I399" s="3"/>
    </row>
    <row r="400" spans="4:9" x14ac:dyDescent="0.3">
      <c r="D400" s="4"/>
      <c r="E400" s="3"/>
      <c r="F400" s="3"/>
      <c r="G400" s="4"/>
      <c r="H400" s="3"/>
      <c r="I400" s="3"/>
    </row>
    <row r="401" spans="4:9" x14ac:dyDescent="0.3">
      <c r="D401" s="4"/>
      <c r="E401" s="3"/>
      <c r="F401" s="3"/>
      <c r="G401" s="4"/>
      <c r="H401" s="3"/>
      <c r="I401" s="3"/>
    </row>
    <row r="402" spans="4:9" x14ac:dyDescent="0.3">
      <c r="D402" s="4"/>
      <c r="E402" s="3"/>
      <c r="F402" s="3"/>
      <c r="G402" s="4"/>
      <c r="H402" s="3"/>
      <c r="I402" s="3"/>
    </row>
    <row r="403" spans="4:9" x14ac:dyDescent="0.3">
      <c r="D403" s="4"/>
      <c r="E403" s="3"/>
      <c r="F403" s="3"/>
      <c r="G403" s="4"/>
      <c r="H403" s="3"/>
      <c r="I403" s="3"/>
    </row>
    <row r="404" spans="4:9" x14ac:dyDescent="0.3">
      <c r="D404" s="4"/>
      <c r="E404" s="3"/>
      <c r="F404" s="3"/>
      <c r="G404" s="4"/>
      <c r="H404" s="3"/>
      <c r="I404" s="3"/>
    </row>
    <row r="405" spans="4:9" x14ac:dyDescent="0.3">
      <c r="D405" s="4"/>
      <c r="E405" s="3"/>
      <c r="F405" s="3"/>
      <c r="G405" s="4"/>
      <c r="H405" s="3"/>
      <c r="I405" s="3"/>
    </row>
    <row r="406" spans="4:9" x14ac:dyDescent="0.3">
      <c r="D406" s="4"/>
      <c r="E406" s="3"/>
      <c r="F406" s="3"/>
      <c r="G406" s="4"/>
      <c r="H406" s="3"/>
      <c r="I406" s="3"/>
    </row>
    <row r="407" spans="4:9" x14ac:dyDescent="0.3">
      <c r="D407" s="4"/>
      <c r="E407" s="3"/>
      <c r="F407" s="3"/>
      <c r="G407" s="4"/>
      <c r="H407" s="3"/>
      <c r="I407" s="3"/>
    </row>
    <row r="408" spans="4:9" x14ac:dyDescent="0.3">
      <c r="D408" s="4"/>
      <c r="E408" s="3"/>
      <c r="F408" s="3"/>
      <c r="G408" s="4"/>
      <c r="H408" s="3"/>
      <c r="I408" s="3"/>
    </row>
    <row r="409" spans="4:9" x14ac:dyDescent="0.3">
      <c r="D409" s="4"/>
      <c r="E409" s="3"/>
      <c r="F409" s="3"/>
      <c r="G409" s="4"/>
      <c r="H409" s="3"/>
      <c r="I409" s="3"/>
    </row>
    <row r="410" spans="4:9" x14ac:dyDescent="0.3">
      <c r="D410" s="4"/>
      <c r="E410" s="3"/>
      <c r="F410" s="3"/>
      <c r="G410" s="4"/>
      <c r="H410" s="3"/>
      <c r="I410" s="3"/>
    </row>
    <row r="411" spans="4:9" x14ac:dyDescent="0.3">
      <c r="D411" s="4"/>
      <c r="E411" s="3"/>
      <c r="F411" s="3"/>
      <c r="G411" s="4"/>
      <c r="H411" s="3"/>
      <c r="I411" s="3"/>
    </row>
    <row r="412" spans="4:9" x14ac:dyDescent="0.3">
      <c r="D412" s="4"/>
      <c r="E412" s="3"/>
      <c r="F412" s="3"/>
      <c r="G412" s="4"/>
      <c r="H412" s="3"/>
      <c r="I412" s="3"/>
    </row>
    <row r="413" spans="4:9" x14ac:dyDescent="0.3">
      <c r="D413" s="4"/>
      <c r="E413" s="3"/>
      <c r="F413" s="3"/>
      <c r="G413" s="4"/>
      <c r="H413" s="3"/>
      <c r="I413" s="3"/>
    </row>
    <row r="414" spans="4:9" x14ac:dyDescent="0.3">
      <c r="D414" s="4"/>
      <c r="E414" s="3"/>
      <c r="F414" s="3"/>
      <c r="G414" s="4"/>
      <c r="H414" s="3"/>
      <c r="I414" s="3"/>
    </row>
    <row r="415" spans="4:9" x14ac:dyDescent="0.3">
      <c r="D415" s="4"/>
      <c r="E415" s="3"/>
      <c r="F415" s="3"/>
      <c r="G415" s="4"/>
      <c r="H415" s="3"/>
      <c r="I415" s="3"/>
    </row>
    <row r="416" spans="4:9" x14ac:dyDescent="0.3">
      <c r="D416" s="4"/>
      <c r="E416" s="3"/>
      <c r="F416" s="3"/>
      <c r="G416" s="4"/>
      <c r="H416" s="3"/>
      <c r="I416" s="3"/>
    </row>
    <row r="417" spans="4:9" x14ac:dyDescent="0.3">
      <c r="D417" s="4"/>
      <c r="E417" s="3"/>
      <c r="F417" s="3"/>
      <c r="G417" s="4"/>
      <c r="H417" s="3"/>
      <c r="I417" s="3"/>
    </row>
    <row r="418" spans="4:9" x14ac:dyDescent="0.3">
      <c r="D418" s="4"/>
      <c r="E418" s="3"/>
      <c r="F418" s="3"/>
      <c r="G418" s="4"/>
      <c r="H418" s="3"/>
      <c r="I418" s="3"/>
    </row>
    <row r="419" spans="4:9" x14ac:dyDescent="0.3">
      <c r="D419" s="4"/>
      <c r="E419" s="3"/>
      <c r="F419" s="3"/>
      <c r="G419" s="4"/>
      <c r="H419" s="3"/>
      <c r="I419" s="3"/>
    </row>
    <row r="420" spans="4:9" x14ac:dyDescent="0.3">
      <c r="D420" s="4"/>
      <c r="E420" s="3"/>
      <c r="F420" s="3"/>
      <c r="G420" s="4"/>
      <c r="H420" s="3"/>
      <c r="I420" s="3"/>
    </row>
    <row r="421" spans="4:9" x14ac:dyDescent="0.3">
      <c r="D421" s="4"/>
      <c r="E421" s="3"/>
      <c r="F421" s="3"/>
      <c r="G421" s="4"/>
      <c r="H421" s="3"/>
      <c r="I421" s="3"/>
    </row>
    <row r="422" spans="4:9" x14ac:dyDescent="0.3">
      <c r="D422" s="4"/>
      <c r="E422" s="3"/>
      <c r="F422" s="3"/>
      <c r="G422" s="4"/>
      <c r="H422" s="3"/>
      <c r="I422" s="3"/>
    </row>
    <row r="423" spans="4:9" x14ac:dyDescent="0.3">
      <c r="D423" s="4"/>
      <c r="E423" s="3"/>
      <c r="F423" s="3"/>
      <c r="G423" s="4"/>
      <c r="H423" s="3"/>
      <c r="I423" s="3"/>
    </row>
    <row r="424" spans="4:9" x14ac:dyDescent="0.3">
      <c r="D424" s="4"/>
      <c r="E424" s="3"/>
      <c r="F424" s="3"/>
      <c r="G424" s="4"/>
      <c r="H424" s="3"/>
      <c r="I424" s="3"/>
    </row>
    <row r="425" spans="4:9" x14ac:dyDescent="0.3">
      <c r="D425" s="4"/>
      <c r="E425" s="3"/>
      <c r="F425" s="3"/>
      <c r="G425" s="4"/>
      <c r="H425" s="3"/>
      <c r="I425" s="3"/>
    </row>
    <row r="426" spans="4:9" x14ac:dyDescent="0.3">
      <c r="D426" s="4"/>
      <c r="E426" s="3"/>
      <c r="F426" s="3"/>
      <c r="G426" s="4"/>
      <c r="H426" s="3"/>
      <c r="I426" s="3"/>
    </row>
    <row r="427" spans="4:9" x14ac:dyDescent="0.3">
      <c r="D427" s="4"/>
      <c r="E427" s="3"/>
      <c r="F427" s="3"/>
      <c r="G427" s="4"/>
      <c r="H427" s="3"/>
      <c r="I427" s="3"/>
    </row>
    <row r="428" spans="4:9" x14ac:dyDescent="0.3">
      <c r="D428" s="4"/>
      <c r="E428" s="3"/>
      <c r="F428" s="3"/>
      <c r="G428" s="4"/>
      <c r="H428" s="3"/>
      <c r="I428" s="3"/>
    </row>
    <row r="429" spans="4:9" x14ac:dyDescent="0.3">
      <c r="D429" s="4"/>
      <c r="E429" s="3"/>
      <c r="F429" s="3"/>
      <c r="G429" s="4"/>
      <c r="H429" s="3"/>
      <c r="I429" s="3"/>
    </row>
    <row r="430" spans="4:9" x14ac:dyDescent="0.3">
      <c r="D430" s="4"/>
      <c r="E430" s="3"/>
      <c r="F430" s="3"/>
      <c r="G430" s="4"/>
      <c r="H430" s="3"/>
      <c r="I430" s="3"/>
    </row>
    <row r="431" spans="4:9" x14ac:dyDescent="0.3">
      <c r="D431" s="4"/>
      <c r="E431" s="3"/>
      <c r="F431" s="3"/>
      <c r="G431" s="4"/>
      <c r="H431" s="3"/>
      <c r="I431" s="3"/>
    </row>
    <row r="432" spans="4:9" x14ac:dyDescent="0.3">
      <c r="D432" s="4"/>
      <c r="E432" s="3"/>
      <c r="F432" s="3"/>
      <c r="G432" s="4"/>
      <c r="H432" s="3"/>
      <c r="I432" s="3"/>
    </row>
    <row r="433" spans="4:9" x14ac:dyDescent="0.3">
      <c r="D433" s="4"/>
      <c r="E433" s="3"/>
      <c r="F433" s="3"/>
      <c r="G433" s="4"/>
      <c r="H433" s="3"/>
      <c r="I433" s="3"/>
    </row>
    <row r="434" spans="4:9" x14ac:dyDescent="0.3">
      <c r="D434" s="4"/>
      <c r="E434" s="3"/>
      <c r="F434" s="3"/>
      <c r="G434" s="4"/>
      <c r="H434" s="3"/>
      <c r="I434" s="3"/>
    </row>
    <row r="435" spans="4:9" x14ac:dyDescent="0.3">
      <c r="D435" s="4"/>
      <c r="E435" s="3"/>
      <c r="F435" s="3"/>
      <c r="G435" s="4"/>
      <c r="H435" s="3"/>
      <c r="I435" s="3"/>
    </row>
    <row r="436" spans="4:9" x14ac:dyDescent="0.3">
      <c r="D436" s="4"/>
      <c r="E436" s="3"/>
      <c r="F436" s="3"/>
      <c r="G436" s="4"/>
      <c r="H436" s="3"/>
      <c r="I436" s="3"/>
    </row>
    <row r="437" spans="4:9" x14ac:dyDescent="0.3">
      <c r="D437" s="4"/>
      <c r="E437" s="3"/>
      <c r="F437" s="3"/>
      <c r="G437" s="4"/>
      <c r="H437" s="3"/>
      <c r="I437" s="3"/>
    </row>
    <row r="438" spans="4:9" x14ac:dyDescent="0.3">
      <c r="D438" s="4"/>
      <c r="E438" s="3"/>
      <c r="F438" s="3"/>
      <c r="G438" s="4"/>
      <c r="H438" s="3"/>
      <c r="I438" s="3"/>
    </row>
    <row r="439" spans="4:9" x14ac:dyDescent="0.3">
      <c r="D439" s="4"/>
      <c r="E439" s="3"/>
      <c r="F439" s="3"/>
      <c r="G439" s="4"/>
      <c r="H439" s="3"/>
      <c r="I439" s="3"/>
    </row>
    <row r="440" spans="4:9" x14ac:dyDescent="0.3">
      <c r="D440" s="4"/>
      <c r="E440" s="3"/>
      <c r="F440" s="3"/>
      <c r="G440" s="4"/>
      <c r="H440" s="3"/>
      <c r="I440" s="3"/>
    </row>
    <row r="441" spans="4:9" x14ac:dyDescent="0.3">
      <c r="D441" s="4"/>
      <c r="E441" s="3"/>
      <c r="F441" s="3"/>
      <c r="G441" s="4"/>
      <c r="H441" s="3"/>
      <c r="I441" s="3"/>
    </row>
    <row r="442" spans="4:9" x14ac:dyDescent="0.3">
      <c r="I442" s="3"/>
    </row>
    <row r="443" spans="4:9" x14ac:dyDescent="0.3">
      <c r="I443" s="3"/>
    </row>
    <row r="444" spans="4:9" x14ac:dyDescent="0.3">
      <c r="I444" s="3"/>
    </row>
    <row r="445" spans="4:9" x14ac:dyDescent="0.3">
      <c r="I445" s="3"/>
    </row>
    <row r="446" spans="4:9" x14ac:dyDescent="0.3">
      <c r="I446" s="3"/>
    </row>
    <row r="447" spans="4:9" x14ac:dyDescent="0.3">
      <c r="I447" s="3"/>
    </row>
    <row r="448" spans="4:9" x14ac:dyDescent="0.3">
      <c r="I448" s="3"/>
    </row>
    <row r="449" spans="9:9" x14ac:dyDescent="0.3">
      <c r="I449" s="3"/>
    </row>
    <row r="450" spans="9:9" x14ac:dyDescent="0.3">
      <c r="I450" s="3"/>
    </row>
    <row r="451" spans="9:9" x14ac:dyDescent="0.3">
      <c r="I451" s="3"/>
    </row>
    <row r="452" spans="9:9" x14ac:dyDescent="0.3">
      <c r="I452" s="3"/>
    </row>
    <row r="453" spans="9:9" x14ac:dyDescent="0.3">
      <c r="I453" s="3"/>
    </row>
    <row r="454" spans="9:9" x14ac:dyDescent="0.3">
      <c r="I454" s="3"/>
    </row>
    <row r="455" spans="9:9" x14ac:dyDescent="0.3">
      <c r="I455" s="3"/>
    </row>
    <row r="456" spans="9:9" x14ac:dyDescent="0.3">
      <c r="I456" s="3"/>
    </row>
    <row r="457" spans="9:9" x14ac:dyDescent="0.3">
      <c r="I457" s="3"/>
    </row>
    <row r="458" spans="9:9" x14ac:dyDescent="0.3">
      <c r="I458" s="3"/>
    </row>
    <row r="459" spans="9:9" x14ac:dyDescent="0.3">
      <c r="I459" s="3"/>
    </row>
    <row r="460" spans="9:9" x14ac:dyDescent="0.3">
      <c r="I460" s="3"/>
    </row>
    <row r="461" spans="9:9" x14ac:dyDescent="0.3">
      <c r="I461" s="3"/>
    </row>
    <row r="462" spans="9:9" x14ac:dyDescent="0.3">
      <c r="I462" s="3"/>
    </row>
    <row r="463" spans="9:9" x14ac:dyDescent="0.3">
      <c r="I463" s="3"/>
    </row>
    <row r="464" spans="9:9" x14ac:dyDescent="0.3">
      <c r="I464" s="3"/>
    </row>
    <row r="465" spans="9:9" x14ac:dyDescent="0.3">
      <c r="I465" s="3"/>
    </row>
    <row r="466" spans="9:9" x14ac:dyDescent="0.3">
      <c r="I466" s="3"/>
    </row>
    <row r="467" spans="9:9" x14ac:dyDescent="0.3">
      <c r="I467" s="3"/>
    </row>
    <row r="468" spans="9:9" x14ac:dyDescent="0.3">
      <c r="I468" s="3"/>
    </row>
    <row r="469" spans="9:9" x14ac:dyDescent="0.3">
      <c r="I469" s="3"/>
    </row>
    <row r="470" spans="9:9" x14ac:dyDescent="0.3">
      <c r="I470" s="3"/>
    </row>
    <row r="471" spans="9:9" x14ac:dyDescent="0.3">
      <c r="I471" s="3"/>
    </row>
    <row r="472" spans="9:9" x14ac:dyDescent="0.3">
      <c r="I472" s="3"/>
    </row>
    <row r="473" spans="9:9" x14ac:dyDescent="0.3">
      <c r="I473" s="3"/>
    </row>
    <row r="474" spans="9:9" x14ac:dyDescent="0.3">
      <c r="I474" s="3"/>
    </row>
    <row r="475" spans="9:9" x14ac:dyDescent="0.3">
      <c r="I475" s="3"/>
    </row>
    <row r="476" spans="9:9" x14ac:dyDescent="0.3">
      <c r="I476" s="3"/>
    </row>
    <row r="477" spans="9:9" x14ac:dyDescent="0.3">
      <c r="I477" s="3"/>
    </row>
    <row r="478" spans="9:9" x14ac:dyDescent="0.3">
      <c r="I478" s="3"/>
    </row>
    <row r="479" spans="9:9" x14ac:dyDescent="0.3">
      <c r="I479" s="3"/>
    </row>
    <row r="480" spans="9:9" x14ac:dyDescent="0.3">
      <c r="I480" s="3"/>
    </row>
    <row r="481" spans="9:9" x14ac:dyDescent="0.3">
      <c r="I481" s="3"/>
    </row>
    <row r="482" spans="9:9" x14ac:dyDescent="0.3">
      <c r="I482" s="3"/>
    </row>
    <row r="483" spans="9:9" x14ac:dyDescent="0.3">
      <c r="I483" s="3"/>
    </row>
    <row r="484" spans="9:9" x14ac:dyDescent="0.3">
      <c r="I484" s="3"/>
    </row>
    <row r="485" spans="9:9" x14ac:dyDescent="0.3">
      <c r="I485" s="3"/>
    </row>
    <row r="486" spans="9:9" x14ac:dyDescent="0.3">
      <c r="I486" s="3"/>
    </row>
    <row r="487" spans="9:9" x14ac:dyDescent="0.3">
      <c r="I487" s="3"/>
    </row>
    <row r="488" spans="9:9" x14ac:dyDescent="0.3">
      <c r="I488" s="3"/>
    </row>
    <row r="489" spans="9:9" x14ac:dyDescent="0.3">
      <c r="I489" s="3"/>
    </row>
    <row r="490" spans="9:9" x14ac:dyDescent="0.3">
      <c r="I490" s="3"/>
    </row>
    <row r="491" spans="9:9" x14ac:dyDescent="0.3">
      <c r="I491" s="3"/>
    </row>
    <row r="492" spans="9:9" x14ac:dyDescent="0.3">
      <c r="I492" s="3"/>
    </row>
    <row r="493" spans="9:9" x14ac:dyDescent="0.3">
      <c r="I493" s="3"/>
    </row>
    <row r="494" spans="9:9" x14ac:dyDescent="0.3">
      <c r="I494" s="3"/>
    </row>
    <row r="495" spans="9:9" x14ac:dyDescent="0.3">
      <c r="I495" s="3"/>
    </row>
    <row r="496" spans="9:9" x14ac:dyDescent="0.3">
      <c r="I496" s="3"/>
    </row>
    <row r="497" spans="9:9" x14ac:dyDescent="0.3">
      <c r="I497" s="3"/>
    </row>
    <row r="498" spans="9:9" x14ac:dyDescent="0.3">
      <c r="I498" s="3"/>
    </row>
    <row r="499" spans="9:9" x14ac:dyDescent="0.3">
      <c r="I499" s="3"/>
    </row>
    <row r="500" spans="9:9" x14ac:dyDescent="0.3">
      <c r="I500" s="3"/>
    </row>
    <row r="501" spans="9:9" x14ac:dyDescent="0.3">
      <c r="I501" s="3"/>
    </row>
    <row r="502" spans="9:9" x14ac:dyDescent="0.3">
      <c r="I502" s="3"/>
    </row>
    <row r="503" spans="9:9" x14ac:dyDescent="0.3">
      <c r="I503" s="3"/>
    </row>
    <row r="504" spans="9:9" x14ac:dyDescent="0.3">
      <c r="I504" s="3"/>
    </row>
    <row r="505" spans="9:9" x14ac:dyDescent="0.3">
      <c r="I505" s="3"/>
    </row>
    <row r="506" spans="9:9" x14ac:dyDescent="0.3">
      <c r="I506" s="3"/>
    </row>
    <row r="507" spans="9:9" x14ac:dyDescent="0.3">
      <c r="I507" s="3"/>
    </row>
    <row r="508" spans="9:9" x14ac:dyDescent="0.3">
      <c r="I508" s="3"/>
    </row>
    <row r="509" spans="9:9" x14ac:dyDescent="0.3">
      <c r="I509" s="3"/>
    </row>
    <row r="510" spans="9:9" x14ac:dyDescent="0.3">
      <c r="I510" s="3"/>
    </row>
    <row r="511" spans="9:9" x14ac:dyDescent="0.3">
      <c r="I511" s="3"/>
    </row>
    <row r="512" spans="9:9" x14ac:dyDescent="0.3">
      <c r="I512" s="3"/>
    </row>
    <row r="513" spans="9:9" x14ac:dyDescent="0.3">
      <c r="I513" s="3"/>
    </row>
    <row r="514" spans="9:9" x14ac:dyDescent="0.3">
      <c r="I514" s="3"/>
    </row>
    <row r="515" spans="9:9" x14ac:dyDescent="0.3">
      <c r="I515" s="3"/>
    </row>
    <row r="516" spans="9:9" x14ac:dyDescent="0.3">
      <c r="I516" s="3"/>
    </row>
    <row r="517" spans="9:9" x14ac:dyDescent="0.3">
      <c r="I517" s="3"/>
    </row>
    <row r="518" spans="9:9" x14ac:dyDescent="0.3">
      <c r="I518" s="3"/>
    </row>
    <row r="519" spans="9:9" x14ac:dyDescent="0.3">
      <c r="I519" s="3"/>
    </row>
    <row r="520" spans="9:9" x14ac:dyDescent="0.3">
      <c r="I520" s="3"/>
    </row>
    <row r="521" spans="9:9" x14ac:dyDescent="0.3">
      <c r="I521" s="3"/>
    </row>
    <row r="522" spans="9:9" x14ac:dyDescent="0.3">
      <c r="I522" s="3"/>
    </row>
    <row r="523" spans="9:9" x14ac:dyDescent="0.3">
      <c r="I523" s="3"/>
    </row>
    <row r="524" spans="9:9" x14ac:dyDescent="0.3">
      <c r="I524" s="3"/>
    </row>
    <row r="525" spans="9:9" x14ac:dyDescent="0.3">
      <c r="I525" s="3"/>
    </row>
    <row r="526" spans="9:9" x14ac:dyDescent="0.3">
      <c r="I526" s="3"/>
    </row>
    <row r="527" spans="9:9" x14ac:dyDescent="0.3">
      <c r="I527" s="3"/>
    </row>
    <row r="528" spans="9:9" x14ac:dyDescent="0.3">
      <c r="I528" s="3"/>
    </row>
    <row r="529" spans="9:9" x14ac:dyDescent="0.3">
      <c r="I529" s="3"/>
    </row>
    <row r="530" spans="9:9" x14ac:dyDescent="0.3">
      <c r="I530" s="3"/>
    </row>
    <row r="531" spans="9:9" x14ac:dyDescent="0.3">
      <c r="I531" s="3"/>
    </row>
    <row r="532" spans="9:9" x14ac:dyDescent="0.3">
      <c r="I532" s="3"/>
    </row>
    <row r="533" spans="9:9" x14ac:dyDescent="0.3">
      <c r="I533" s="3"/>
    </row>
    <row r="534" spans="9:9" x14ac:dyDescent="0.3">
      <c r="I534" s="3"/>
    </row>
    <row r="535" spans="9:9" x14ac:dyDescent="0.3">
      <c r="I535" s="3"/>
    </row>
    <row r="536" spans="9:9" x14ac:dyDescent="0.3">
      <c r="I536" s="3"/>
    </row>
    <row r="537" spans="9:9" x14ac:dyDescent="0.3">
      <c r="I537" s="3"/>
    </row>
    <row r="538" spans="9:9" x14ac:dyDescent="0.3">
      <c r="I538" s="3"/>
    </row>
    <row r="539" spans="9:9" x14ac:dyDescent="0.3">
      <c r="I539" s="3"/>
    </row>
    <row r="540" spans="9:9" x14ac:dyDescent="0.3">
      <c r="I540" s="3"/>
    </row>
    <row r="541" spans="9:9" x14ac:dyDescent="0.3">
      <c r="I541" s="3"/>
    </row>
    <row r="542" spans="9:9" x14ac:dyDescent="0.3">
      <c r="I542" s="3"/>
    </row>
    <row r="543" spans="9:9" x14ac:dyDescent="0.3">
      <c r="I543" s="3"/>
    </row>
    <row r="544" spans="9:9" x14ac:dyDescent="0.3">
      <c r="I544" s="3"/>
    </row>
    <row r="545" spans="9:9" x14ac:dyDescent="0.3">
      <c r="I545" s="3"/>
    </row>
    <row r="546" spans="9:9" x14ac:dyDescent="0.3">
      <c r="I546" s="3"/>
    </row>
    <row r="547" spans="9:9" x14ac:dyDescent="0.3">
      <c r="I547" s="3"/>
    </row>
    <row r="548" spans="9:9" x14ac:dyDescent="0.3">
      <c r="I548" s="3"/>
    </row>
    <row r="549" spans="9:9" x14ac:dyDescent="0.3">
      <c r="I549" s="3"/>
    </row>
    <row r="550" spans="9:9" x14ac:dyDescent="0.3">
      <c r="I550" s="3"/>
    </row>
    <row r="551" spans="9:9" x14ac:dyDescent="0.3">
      <c r="I551" s="3"/>
    </row>
    <row r="552" spans="9:9" x14ac:dyDescent="0.3">
      <c r="I552" s="3"/>
    </row>
    <row r="553" spans="9:9" x14ac:dyDescent="0.3">
      <c r="I553" s="3"/>
    </row>
    <row r="554" spans="9:9" x14ac:dyDescent="0.3">
      <c r="I554" s="3"/>
    </row>
    <row r="555" spans="9:9" x14ac:dyDescent="0.3">
      <c r="I555" s="3"/>
    </row>
    <row r="556" spans="9:9" x14ac:dyDescent="0.3">
      <c r="I556" s="3"/>
    </row>
    <row r="557" spans="9:9" x14ac:dyDescent="0.3">
      <c r="I557" s="3"/>
    </row>
    <row r="558" spans="9:9" x14ac:dyDescent="0.3">
      <c r="I558" s="3"/>
    </row>
    <row r="559" spans="9:9" x14ac:dyDescent="0.3">
      <c r="I559" s="3"/>
    </row>
    <row r="560" spans="9:9" x14ac:dyDescent="0.3">
      <c r="I560" s="3"/>
    </row>
    <row r="561" spans="9:9" x14ac:dyDescent="0.3">
      <c r="I561" s="3"/>
    </row>
    <row r="562" spans="9:9" x14ac:dyDescent="0.3">
      <c r="I562" s="3"/>
    </row>
    <row r="563" spans="9:9" x14ac:dyDescent="0.3">
      <c r="I563" s="3"/>
    </row>
    <row r="564" spans="9:9" x14ac:dyDescent="0.3">
      <c r="I564" s="3"/>
    </row>
    <row r="565" spans="9:9" x14ac:dyDescent="0.3">
      <c r="I565" s="3"/>
    </row>
    <row r="566" spans="9:9" x14ac:dyDescent="0.3">
      <c r="I566" s="3"/>
    </row>
    <row r="567" spans="9:9" x14ac:dyDescent="0.3">
      <c r="I567" s="3"/>
    </row>
    <row r="568" spans="9:9" x14ac:dyDescent="0.3">
      <c r="I568" s="3"/>
    </row>
    <row r="569" spans="9:9" x14ac:dyDescent="0.3">
      <c r="I569" s="3"/>
    </row>
    <row r="570" spans="9:9" x14ac:dyDescent="0.3">
      <c r="I570" s="3"/>
    </row>
    <row r="571" spans="9:9" x14ac:dyDescent="0.3">
      <c r="I571" s="3"/>
    </row>
    <row r="572" spans="9:9" x14ac:dyDescent="0.3">
      <c r="I572" s="3"/>
    </row>
    <row r="573" spans="9:9" x14ac:dyDescent="0.3">
      <c r="I573" s="3"/>
    </row>
    <row r="574" spans="9:9" x14ac:dyDescent="0.3">
      <c r="I574" s="3"/>
    </row>
    <row r="575" spans="9:9" x14ac:dyDescent="0.3">
      <c r="I575" s="3"/>
    </row>
    <row r="576" spans="9:9" x14ac:dyDescent="0.3">
      <c r="I576" s="3"/>
    </row>
    <row r="577" spans="9:9" x14ac:dyDescent="0.3">
      <c r="I577" s="3"/>
    </row>
    <row r="578" spans="9:9" x14ac:dyDescent="0.3">
      <c r="I578" s="3"/>
    </row>
    <row r="579" spans="9:9" x14ac:dyDescent="0.3">
      <c r="I579" s="3"/>
    </row>
    <row r="580" spans="9:9" x14ac:dyDescent="0.3">
      <c r="I580" s="3"/>
    </row>
    <row r="581" spans="9:9" x14ac:dyDescent="0.3">
      <c r="I581" s="3"/>
    </row>
    <row r="582" spans="9:9" x14ac:dyDescent="0.3">
      <c r="I582" s="3"/>
    </row>
    <row r="583" spans="9:9" x14ac:dyDescent="0.3">
      <c r="I583" s="3"/>
    </row>
    <row r="584" spans="9:9" x14ac:dyDescent="0.3">
      <c r="I584" s="3"/>
    </row>
    <row r="585" spans="9:9" x14ac:dyDescent="0.3">
      <c r="I585" s="3"/>
    </row>
    <row r="586" spans="9:9" x14ac:dyDescent="0.3">
      <c r="I586" s="3"/>
    </row>
    <row r="587" spans="9:9" x14ac:dyDescent="0.3">
      <c r="I587" s="3"/>
    </row>
    <row r="588" spans="9:9" x14ac:dyDescent="0.3">
      <c r="I588" s="3"/>
    </row>
    <row r="589" spans="9:9" x14ac:dyDescent="0.3">
      <c r="I589" s="3"/>
    </row>
    <row r="590" spans="9:9" x14ac:dyDescent="0.3">
      <c r="I590" s="3"/>
    </row>
    <row r="591" spans="9:9" x14ac:dyDescent="0.3">
      <c r="I591" s="3"/>
    </row>
    <row r="592" spans="9:9" x14ac:dyDescent="0.3">
      <c r="I592" s="3"/>
    </row>
    <row r="593" spans="9:9" x14ac:dyDescent="0.3">
      <c r="I593" s="3"/>
    </row>
    <row r="594" spans="9:9" x14ac:dyDescent="0.3">
      <c r="I594" s="3"/>
    </row>
    <row r="595" spans="9:9" x14ac:dyDescent="0.3">
      <c r="I595" s="3"/>
    </row>
    <row r="596" spans="9:9" x14ac:dyDescent="0.3">
      <c r="I596" s="3"/>
    </row>
    <row r="597" spans="9:9" x14ac:dyDescent="0.3">
      <c r="I597" s="3"/>
    </row>
    <row r="598" spans="9:9" x14ac:dyDescent="0.3">
      <c r="I598" s="3"/>
    </row>
    <row r="599" spans="9:9" x14ac:dyDescent="0.3">
      <c r="I599" s="3"/>
    </row>
    <row r="600" spans="9:9" x14ac:dyDescent="0.3">
      <c r="I600" s="3"/>
    </row>
    <row r="601" spans="9:9" x14ac:dyDescent="0.3">
      <c r="I601" s="3"/>
    </row>
    <row r="602" spans="9:9" x14ac:dyDescent="0.3">
      <c r="I602" s="3"/>
    </row>
    <row r="603" spans="9:9" x14ac:dyDescent="0.3">
      <c r="I603" s="3"/>
    </row>
    <row r="604" spans="9:9" x14ac:dyDescent="0.3">
      <c r="I604" s="3"/>
    </row>
    <row r="605" spans="9:9" x14ac:dyDescent="0.3">
      <c r="I605" s="3"/>
    </row>
    <row r="606" spans="9:9" x14ac:dyDescent="0.3">
      <c r="I606" s="3"/>
    </row>
    <row r="607" spans="9:9" x14ac:dyDescent="0.3">
      <c r="I607" s="3"/>
    </row>
    <row r="608" spans="9:9" x14ac:dyDescent="0.3">
      <c r="I608" s="3"/>
    </row>
    <row r="609" spans="9:9" x14ac:dyDescent="0.3">
      <c r="I609" s="3"/>
    </row>
    <row r="610" spans="9:9" x14ac:dyDescent="0.3">
      <c r="I610" s="3"/>
    </row>
    <row r="611" spans="9:9" x14ac:dyDescent="0.3">
      <c r="I611" s="3"/>
    </row>
    <row r="612" spans="9:9" x14ac:dyDescent="0.3">
      <c r="I612" s="3"/>
    </row>
    <row r="613" spans="9:9" x14ac:dyDescent="0.3">
      <c r="I613" s="3"/>
    </row>
    <row r="614" spans="9:9" x14ac:dyDescent="0.3">
      <c r="I614" s="3"/>
    </row>
    <row r="615" spans="9:9" x14ac:dyDescent="0.3">
      <c r="I615" s="3"/>
    </row>
    <row r="616" spans="9:9" x14ac:dyDescent="0.3">
      <c r="I616" s="3"/>
    </row>
    <row r="617" spans="9:9" x14ac:dyDescent="0.3">
      <c r="I617" s="3"/>
    </row>
    <row r="618" spans="9:9" x14ac:dyDescent="0.3">
      <c r="I618" s="3"/>
    </row>
    <row r="619" spans="9:9" x14ac:dyDescent="0.3">
      <c r="I619" s="3"/>
    </row>
    <row r="620" spans="9:9" x14ac:dyDescent="0.3">
      <c r="I620" s="3"/>
    </row>
    <row r="621" spans="9:9" x14ac:dyDescent="0.3">
      <c r="I621" s="3"/>
    </row>
    <row r="622" spans="9:9" x14ac:dyDescent="0.3">
      <c r="I622" s="3"/>
    </row>
    <row r="623" spans="9:9" x14ac:dyDescent="0.3">
      <c r="I623" s="3"/>
    </row>
    <row r="624" spans="9:9" x14ac:dyDescent="0.3">
      <c r="I624" s="3"/>
    </row>
    <row r="625" spans="9:9" x14ac:dyDescent="0.3">
      <c r="I625" s="3"/>
    </row>
    <row r="626" spans="9:9" x14ac:dyDescent="0.3">
      <c r="I626" s="3"/>
    </row>
    <row r="627" spans="9:9" x14ac:dyDescent="0.3">
      <c r="I627" s="3"/>
    </row>
    <row r="628" spans="9:9" x14ac:dyDescent="0.3">
      <c r="I628" s="3"/>
    </row>
    <row r="629" spans="9:9" x14ac:dyDescent="0.3">
      <c r="I629" s="3"/>
    </row>
    <row r="630" spans="9:9" x14ac:dyDescent="0.3">
      <c r="I630" s="3"/>
    </row>
    <row r="631" spans="9:9" x14ac:dyDescent="0.3">
      <c r="I631" s="3"/>
    </row>
    <row r="632" spans="9:9" x14ac:dyDescent="0.3">
      <c r="I632" s="3"/>
    </row>
    <row r="633" spans="9:9" x14ac:dyDescent="0.3">
      <c r="I633" s="3"/>
    </row>
    <row r="634" spans="9:9" x14ac:dyDescent="0.3">
      <c r="I634" s="3"/>
    </row>
    <row r="635" spans="9:9" x14ac:dyDescent="0.3">
      <c r="I635" s="3"/>
    </row>
    <row r="636" spans="9:9" x14ac:dyDescent="0.3">
      <c r="I636" s="3"/>
    </row>
    <row r="637" spans="9:9" x14ac:dyDescent="0.3">
      <c r="I637" s="3"/>
    </row>
    <row r="638" spans="9:9" x14ac:dyDescent="0.3">
      <c r="I638" s="3"/>
    </row>
    <row r="639" spans="9:9" x14ac:dyDescent="0.3">
      <c r="I639" s="3"/>
    </row>
    <row r="640" spans="9:9" x14ac:dyDescent="0.3">
      <c r="I640" s="3"/>
    </row>
    <row r="641" spans="9:9" x14ac:dyDescent="0.3">
      <c r="I641" s="3"/>
    </row>
    <row r="642" spans="9:9" x14ac:dyDescent="0.3">
      <c r="I642" s="3"/>
    </row>
    <row r="643" spans="9:9" x14ac:dyDescent="0.3">
      <c r="I643" s="3"/>
    </row>
    <row r="644" spans="9:9" x14ac:dyDescent="0.3">
      <c r="I644" s="3"/>
    </row>
    <row r="645" spans="9:9" x14ac:dyDescent="0.3">
      <c r="I645" s="3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79" workbookViewId="0">
      <selection activeCell="C95" sqref="C95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86</v>
      </c>
      <c r="D1" s="2" t="s">
        <v>87</v>
      </c>
      <c r="E1" s="2" t="s">
        <v>88</v>
      </c>
      <c r="F1" s="2" t="s">
        <v>89</v>
      </c>
      <c r="G1" s="2" t="s">
        <v>90</v>
      </c>
      <c r="H1" s="2" t="s">
        <v>91</v>
      </c>
    </row>
    <row r="2" spans="1:8" x14ac:dyDescent="0.3">
      <c r="A2" s="2">
        <v>2018</v>
      </c>
      <c r="B2" s="3">
        <v>1</v>
      </c>
      <c r="C2" s="3">
        <v>2.72</v>
      </c>
      <c r="D2" s="3">
        <v>4.2200000000000006</v>
      </c>
      <c r="E2" s="3">
        <v>0.95941545289653329</v>
      </c>
      <c r="F2" s="3">
        <v>0.46</v>
      </c>
      <c r="G2" s="3">
        <v>0.79</v>
      </c>
      <c r="H2" s="3">
        <v>-0.64995166935845838</v>
      </c>
    </row>
    <row r="3" spans="1:8" x14ac:dyDescent="0.3">
      <c r="A3" s="2">
        <v>2018</v>
      </c>
      <c r="B3" s="3">
        <v>2</v>
      </c>
      <c r="C3" s="3">
        <v>3.63</v>
      </c>
      <c r="D3" s="3">
        <v>6</v>
      </c>
      <c r="E3" s="3">
        <v>0.65634990968422813</v>
      </c>
      <c r="F3" s="3">
        <v>0.99</v>
      </c>
      <c r="G3" s="3">
        <v>-3.1399999999999997</v>
      </c>
      <c r="H3" s="3">
        <v>-0.82929581902807903</v>
      </c>
    </row>
    <row r="4" spans="1:8" x14ac:dyDescent="0.3">
      <c r="A4" s="2">
        <v>2018</v>
      </c>
      <c r="B4" s="3">
        <v>3</v>
      </c>
      <c r="C4" s="3">
        <v>24.8</v>
      </c>
      <c r="D4" s="3">
        <v>37.870000000000005</v>
      </c>
      <c r="E4" s="3">
        <v>0.3334853110597823</v>
      </c>
      <c r="F4" s="3">
        <v>2.92</v>
      </c>
      <c r="G4" s="3">
        <v>1.75</v>
      </c>
      <c r="H4" s="3">
        <v>-1.0084866431615753</v>
      </c>
    </row>
    <row r="5" spans="1:8" x14ac:dyDescent="0.3">
      <c r="A5" s="2">
        <v>2018</v>
      </c>
      <c r="B5" s="3">
        <v>4</v>
      </c>
      <c r="C5" s="3">
        <v>-5.98</v>
      </c>
      <c r="D5" s="3">
        <v>-10.850000000000001</v>
      </c>
      <c r="E5" s="3">
        <v>-7.7932141532260366E-3</v>
      </c>
      <c r="F5" s="3">
        <v>5.49</v>
      </c>
      <c r="G5" s="3">
        <v>3.79</v>
      </c>
      <c r="H5" s="3">
        <v>-1.1864293152709657</v>
      </c>
    </row>
    <row r="6" spans="1:8" x14ac:dyDescent="0.3">
      <c r="A6" s="2">
        <v>2018</v>
      </c>
      <c r="B6" s="3">
        <v>5</v>
      </c>
      <c r="C6" s="3">
        <v>3.39</v>
      </c>
      <c r="D6" s="3">
        <v>10.36</v>
      </c>
      <c r="E6" s="3">
        <v>-0.36349383472226449</v>
      </c>
      <c r="F6" s="3">
        <v>2.11</v>
      </c>
      <c r="G6" s="3">
        <v>0.37999999999999989</v>
      </c>
      <c r="H6" s="3">
        <v>-1.361837447295827</v>
      </c>
    </row>
    <row r="7" spans="1:8" x14ac:dyDescent="0.3">
      <c r="A7" s="2">
        <v>2018</v>
      </c>
      <c r="B7" s="3">
        <v>6</v>
      </c>
      <c r="C7" s="3">
        <v>6.64</v>
      </c>
      <c r="D7" s="3">
        <v>6.04</v>
      </c>
      <c r="E7" s="3">
        <v>-0.73037765044159564</v>
      </c>
      <c r="F7" s="3">
        <v>0.23</v>
      </c>
      <c r="G7" s="3">
        <v>-2.14</v>
      </c>
      <c r="H7" s="3">
        <v>-1.5330790658066202</v>
      </c>
    </row>
    <row r="8" spans="1:8" x14ac:dyDescent="0.3">
      <c r="A8" s="2">
        <v>2018</v>
      </c>
      <c r="B8" s="3">
        <v>7</v>
      </c>
      <c r="C8" s="3">
        <v>-0.03</v>
      </c>
      <c r="D8" s="3">
        <v>-3.9</v>
      </c>
      <c r="E8" s="3">
        <v>-1.1044610740336265</v>
      </c>
      <c r="F8" s="3">
        <v>-3.91</v>
      </c>
      <c r="G8" s="3">
        <v>-0.78000000000000025</v>
      </c>
      <c r="H8" s="3">
        <v>-1.6984012364399665</v>
      </c>
    </row>
    <row r="9" spans="1:8" x14ac:dyDescent="0.3">
      <c r="A9" s="2">
        <v>2018</v>
      </c>
      <c r="B9" s="3">
        <v>8</v>
      </c>
      <c r="C9" s="3">
        <v>2.21</v>
      </c>
      <c r="D9" s="3">
        <v>-9.52</v>
      </c>
      <c r="E9" s="3">
        <v>-1.4812903531061499</v>
      </c>
      <c r="F9" s="3">
        <v>-5.45</v>
      </c>
      <c r="G9" s="3">
        <v>-4.45</v>
      </c>
      <c r="H9" s="3">
        <v>-1.8560931721195839</v>
      </c>
    </row>
    <row r="10" spans="1:8" x14ac:dyDescent="0.3">
      <c r="A10" s="2">
        <v>2018</v>
      </c>
      <c r="B10" s="3">
        <v>9</v>
      </c>
      <c r="C10" s="3">
        <v>-4.01</v>
      </c>
      <c r="D10" s="3">
        <v>-1.71</v>
      </c>
      <c r="E10" s="3">
        <v>-1.8566058699145951</v>
      </c>
      <c r="F10" s="3">
        <v>-3.59</v>
      </c>
      <c r="G10" s="3">
        <v>-5.96</v>
      </c>
      <c r="H10" s="3">
        <v>-2.0043803079055484</v>
      </c>
    </row>
    <row r="11" spans="1:8" x14ac:dyDescent="0.3">
      <c r="A11" s="2">
        <v>2018</v>
      </c>
      <c r="B11" s="3">
        <v>10</v>
      </c>
      <c r="C11" s="3">
        <v>4.5199999999999996</v>
      </c>
      <c r="D11" s="3">
        <v>9.57</v>
      </c>
      <c r="E11" s="3">
        <v>-2.2267062504398702</v>
      </c>
      <c r="F11" s="3">
        <v>-3.6</v>
      </c>
      <c r="G11" s="3">
        <v>-6.01</v>
      </c>
      <c r="H11" s="3">
        <v>-2.1416682112765391</v>
      </c>
    </row>
    <row r="12" spans="1:8" x14ac:dyDescent="0.3">
      <c r="A12" s="2">
        <v>2018</v>
      </c>
      <c r="B12" s="3">
        <v>11</v>
      </c>
      <c r="C12" s="3">
        <v>1.77</v>
      </c>
      <c r="D12" s="3">
        <v>2.23</v>
      </c>
      <c r="E12" s="3">
        <v>-2.5878799396996954</v>
      </c>
      <c r="F12" s="3">
        <v>-2.1800000000000002</v>
      </c>
      <c r="G12" s="3">
        <v>-2.0500000000000003</v>
      </c>
      <c r="H12" s="3">
        <v>-2.2666371455231857</v>
      </c>
    </row>
    <row r="13" spans="1:8" x14ac:dyDescent="0.3">
      <c r="A13" s="2">
        <v>2018</v>
      </c>
      <c r="B13" s="3">
        <v>12</v>
      </c>
      <c r="C13" s="3">
        <v>4.97</v>
      </c>
      <c r="D13" s="3">
        <v>-0.76000000000000068</v>
      </c>
      <c r="E13" s="3">
        <v>-2.9355961669999542</v>
      </c>
      <c r="F13" s="3">
        <v>-4.93</v>
      </c>
      <c r="G13" s="3">
        <v>-3.7399999999999998</v>
      </c>
      <c r="H13" s="3">
        <v>-2.3782360080881131</v>
      </c>
    </row>
    <row r="14" spans="1:8" x14ac:dyDescent="0.3">
      <c r="A14" s="2">
        <v>2019</v>
      </c>
      <c r="B14" s="3">
        <v>1</v>
      </c>
      <c r="C14" s="3">
        <v>-2.46</v>
      </c>
      <c r="D14" s="3">
        <v>-5.18</v>
      </c>
      <c r="E14" s="3">
        <v>-3.2649895866507173</v>
      </c>
      <c r="F14" s="3">
        <v>-3.75</v>
      </c>
      <c r="G14" s="3">
        <v>-4.21</v>
      </c>
      <c r="H14" s="3">
        <v>-2.4753986521677289</v>
      </c>
    </row>
    <row r="15" spans="1:8" x14ac:dyDescent="0.3">
      <c r="A15" s="2">
        <v>2019</v>
      </c>
      <c r="B15" s="3">
        <v>2</v>
      </c>
      <c r="C15" s="3">
        <v>1.75</v>
      </c>
      <c r="D15" s="3">
        <v>-1.88</v>
      </c>
      <c r="E15" s="3">
        <v>-3.5710437698949025</v>
      </c>
      <c r="F15" s="3">
        <v>-3.19</v>
      </c>
      <c r="G15" s="3">
        <v>-4.18</v>
      </c>
      <c r="H15" s="3">
        <v>-2.5571534979023229</v>
      </c>
    </row>
    <row r="16" spans="1:8" x14ac:dyDescent="0.3">
      <c r="A16" s="2">
        <v>2019</v>
      </c>
      <c r="B16" s="3">
        <v>3</v>
      </c>
      <c r="C16" s="3">
        <v>1.92</v>
      </c>
      <c r="D16" s="3">
        <v>-22.880000000000003</v>
      </c>
      <c r="E16" s="3">
        <v>-3.8488752748096871</v>
      </c>
      <c r="F16" s="3">
        <v>0.14000000000000001</v>
      </c>
      <c r="G16" s="3">
        <v>-2.78</v>
      </c>
      <c r="H16" s="3">
        <v>-2.6226494238591176</v>
      </c>
    </row>
    <row r="17" spans="1:8" x14ac:dyDescent="0.3">
      <c r="A17" s="2">
        <v>2019</v>
      </c>
      <c r="B17" s="3">
        <v>4</v>
      </c>
      <c r="C17" s="3">
        <v>-4.6500000000000004</v>
      </c>
      <c r="D17" s="3">
        <v>1.33</v>
      </c>
      <c r="E17" s="3">
        <v>-4.093483225877117</v>
      </c>
      <c r="F17" s="3">
        <v>-1.86</v>
      </c>
      <c r="G17" s="3">
        <v>-7.3500000000000005</v>
      </c>
      <c r="H17" s="3">
        <v>-2.671148006279092</v>
      </c>
    </row>
    <row r="18" spans="1:8" x14ac:dyDescent="0.3">
      <c r="A18" s="2">
        <v>2019</v>
      </c>
      <c r="B18" s="3">
        <v>5</v>
      </c>
      <c r="C18" s="3">
        <v>-5.6</v>
      </c>
      <c r="D18" s="3">
        <v>-8.99</v>
      </c>
      <c r="E18" s="3">
        <v>-4.3011883534629316</v>
      </c>
      <c r="F18" s="3">
        <v>-2.09</v>
      </c>
      <c r="G18" s="3">
        <v>-4.1999999999999993</v>
      </c>
      <c r="H18" s="3">
        <v>-2.7019217485265679</v>
      </c>
    </row>
    <row r="19" spans="1:8" x14ac:dyDescent="0.3">
      <c r="A19" s="2">
        <v>2019</v>
      </c>
      <c r="B19" s="3">
        <v>6</v>
      </c>
      <c r="C19" s="3">
        <v>-7.42</v>
      </c>
      <c r="D19" s="3">
        <v>-14.059999999999999</v>
      </c>
      <c r="E19" s="3">
        <v>-4.4679347571532944</v>
      </c>
      <c r="F19" s="3">
        <v>-3.32</v>
      </c>
      <c r="G19" s="3">
        <v>-3.55</v>
      </c>
      <c r="H19" s="3">
        <v>-2.7145680742432088</v>
      </c>
    </row>
    <row r="20" spans="1:8" x14ac:dyDescent="0.3">
      <c r="A20" s="2">
        <v>2019</v>
      </c>
      <c r="B20" s="3">
        <v>7</v>
      </c>
      <c r="C20" s="3">
        <v>-4.34</v>
      </c>
      <c r="D20" s="3">
        <v>-4.3099999999999996</v>
      </c>
      <c r="E20" s="3">
        <v>-4.5899921484542672</v>
      </c>
      <c r="F20" s="3">
        <v>-4.8600000000000003</v>
      </c>
      <c r="G20" s="3">
        <v>-0.95000000000000018</v>
      </c>
      <c r="H20" s="3">
        <v>-2.7087884402825853</v>
      </c>
    </row>
    <row r="21" spans="1:8" x14ac:dyDescent="0.3">
      <c r="A21" s="2">
        <v>2019</v>
      </c>
      <c r="B21" s="3">
        <v>8</v>
      </c>
      <c r="C21" s="3">
        <v>-13.29</v>
      </c>
      <c r="D21" s="3">
        <v>-15.5</v>
      </c>
      <c r="E21" s="3">
        <v>-4.664296354513775</v>
      </c>
      <c r="F21" s="3">
        <v>0.81</v>
      </c>
      <c r="G21" s="3">
        <v>6.26</v>
      </c>
      <c r="H21" s="3">
        <v>-2.6843423196042231</v>
      </c>
    </row>
    <row r="22" spans="1:8" x14ac:dyDescent="0.3">
      <c r="A22" s="2">
        <v>2019</v>
      </c>
      <c r="B22" s="3">
        <v>9</v>
      </c>
      <c r="C22" s="3">
        <v>-9.94</v>
      </c>
      <c r="D22" s="3">
        <v>-5.93</v>
      </c>
      <c r="E22" s="3">
        <v>-4.6877637585805445</v>
      </c>
      <c r="F22" s="3">
        <v>-5.33</v>
      </c>
      <c r="G22" s="3">
        <v>-1.7400000000000002</v>
      </c>
      <c r="H22" s="3">
        <v>-2.6408670470815165</v>
      </c>
    </row>
    <row r="23" spans="1:8" x14ac:dyDescent="0.3">
      <c r="A23" s="2">
        <v>2019</v>
      </c>
      <c r="B23" s="3">
        <v>10</v>
      </c>
      <c r="C23" s="3">
        <v>-18.96</v>
      </c>
      <c r="D23" s="3">
        <v>-23.48</v>
      </c>
      <c r="E23" s="3">
        <v>-4.6580632233231283</v>
      </c>
      <c r="F23" s="3">
        <v>-10.49</v>
      </c>
      <c r="G23" s="3">
        <v>-6.8900000000000006</v>
      </c>
      <c r="H23" s="3">
        <v>-2.5773788227045551</v>
      </c>
    </row>
    <row r="24" spans="1:8" x14ac:dyDescent="0.3">
      <c r="A24" s="2">
        <v>2019</v>
      </c>
      <c r="B24" s="3">
        <v>11</v>
      </c>
      <c r="C24" s="3">
        <v>-22.2</v>
      </c>
      <c r="D24" s="3">
        <v>-23.97</v>
      </c>
      <c r="E24" s="3">
        <v>-4.5729498778157334</v>
      </c>
      <c r="F24" s="3">
        <v>-5.78</v>
      </c>
      <c r="G24" s="3">
        <v>-3.6</v>
      </c>
      <c r="H24" s="3">
        <v>-2.4928312862518252</v>
      </c>
    </row>
    <row r="25" spans="1:8" x14ac:dyDescent="0.3">
      <c r="A25" s="2">
        <v>2019</v>
      </c>
      <c r="B25" s="3">
        <v>12</v>
      </c>
      <c r="C25" s="3">
        <v>-18.12</v>
      </c>
      <c r="D25" s="3">
        <v>-23.09</v>
      </c>
      <c r="E25" s="3">
        <v>-4.4314859300753922</v>
      </c>
      <c r="F25" s="3">
        <v>-3.57</v>
      </c>
      <c r="G25" s="3">
        <v>1.3599999999999999</v>
      </c>
      <c r="H25" s="3">
        <v>-2.3864775650835699</v>
      </c>
    </row>
    <row r="26" spans="1:8" x14ac:dyDescent="0.3">
      <c r="A26" s="2">
        <v>2020</v>
      </c>
      <c r="B26" s="3">
        <v>1</v>
      </c>
      <c r="C26" s="3">
        <v>-15.34</v>
      </c>
      <c r="D26" s="3">
        <v>-12.879999999999999</v>
      </c>
      <c r="E26" s="3">
        <v>-4.2340806054887326</v>
      </c>
      <c r="F26" s="3">
        <v>-5.0199999999999996</v>
      </c>
      <c r="G26" s="3">
        <v>-1.2699999999999996</v>
      </c>
      <c r="H26" s="3">
        <v>-2.2576476732762649</v>
      </c>
    </row>
    <row r="27" spans="1:8" x14ac:dyDescent="0.3">
      <c r="A27" s="2">
        <v>2020</v>
      </c>
      <c r="B27" s="3">
        <v>2</v>
      </c>
      <c r="C27" s="3">
        <v>-5.47</v>
      </c>
      <c r="D27" s="3">
        <v>-7.22</v>
      </c>
      <c r="E27" s="3">
        <v>-3.9824388595861264</v>
      </c>
      <c r="F27" s="3">
        <v>-1.9</v>
      </c>
      <c r="G27" s="3">
        <v>1.29</v>
      </c>
      <c r="H27" s="3">
        <v>-2.1054114528532546</v>
      </c>
    </row>
    <row r="28" spans="1:8" x14ac:dyDescent="0.3">
      <c r="A28" s="2">
        <v>2020</v>
      </c>
      <c r="B28" s="3">
        <v>3</v>
      </c>
      <c r="C28" s="3">
        <v>-6.13</v>
      </c>
      <c r="D28" s="3">
        <v>-8.0500000000000007</v>
      </c>
      <c r="E28" s="3">
        <v>-3.6788660589670088</v>
      </c>
      <c r="F28" s="3">
        <v>-5.31</v>
      </c>
      <c r="G28" s="3">
        <v>-5.4499999999999993</v>
      </c>
      <c r="H28" s="3">
        <v>-1.9287701591939059</v>
      </c>
    </row>
    <row r="29" spans="1:8" x14ac:dyDescent="0.3">
      <c r="A29" s="2">
        <v>2020</v>
      </c>
      <c r="B29" s="3">
        <v>4</v>
      </c>
      <c r="C29" s="3">
        <v>-18.97</v>
      </c>
      <c r="D29" s="3">
        <v>-14.319999999999999</v>
      </c>
      <c r="E29" s="3">
        <v>-3.3258924008655661</v>
      </c>
      <c r="F29" s="3">
        <v>-33.28</v>
      </c>
      <c r="G29" s="3">
        <v>-31.42</v>
      </c>
      <c r="H29" s="3">
        <v>-1.7264892552155819</v>
      </c>
    </row>
    <row r="30" spans="1:8" x14ac:dyDescent="0.3">
      <c r="A30" s="2">
        <v>2020</v>
      </c>
      <c r="B30" s="3">
        <v>5</v>
      </c>
      <c r="C30" s="3">
        <v>-43.33</v>
      </c>
      <c r="D30" s="3">
        <v>-37.729999999999997</v>
      </c>
      <c r="E30" s="3">
        <v>-2.9263516334841122</v>
      </c>
      <c r="F30" s="3">
        <v>-31.45</v>
      </c>
      <c r="G30" s="3">
        <v>-29.36</v>
      </c>
      <c r="H30" s="3">
        <v>-1.497578733685702</v>
      </c>
    </row>
    <row r="31" spans="1:8" x14ac:dyDescent="0.3">
      <c r="A31" s="2">
        <v>2020</v>
      </c>
      <c r="B31" s="3">
        <v>6</v>
      </c>
      <c r="C31" s="3">
        <v>-58.04</v>
      </c>
      <c r="D31" s="3">
        <v>-50.62</v>
      </c>
      <c r="E31" s="3">
        <v>-2.483840984719345</v>
      </c>
      <c r="F31" s="3">
        <v>-22.95</v>
      </c>
      <c r="G31" s="3">
        <v>-19.63</v>
      </c>
      <c r="H31" s="3">
        <v>-1.2431106367289622</v>
      </c>
    </row>
    <row r="32" spans="1:8" x14ac:dyDescent="0.3">
      <c r="A32" s="2">
        <v>2020</v>
      </c>
      <c r="B32" s="3">
        <v>7</v>
      </c>
      <c r="C32" s="3">
        <v>-17.579999999999998</v>
      </c>
      <c r="D32" s="3">
        <v>-13.239999999999998</v>
      </c>
      <c r="E32" s="3">
        <v>-2.0043746024934155</v>
      </c>
      <c r="F32" s="3">
        <v>-13.04</v>
      </c>
      <c r="G32" s="3">
        <v>-8.18</v>
      </c>
      <c r="H32" s="3">
        <v>-0.96609189683577479</v>
      </c>
    </row>
    <row r="33" spans="1:8" x14ac:dyDescent="0.3">
      <c r="A33" s="2">
        <v>2020</v>
      </c>
      <c r="B33" s="3">
        <v>8</v>
      </c>
      <c r="C33" s="3">
        <v>-30.59</v>
      </c>
      <c r="D33" s="3">
        <v>-17.3</v>
      </c>
      <c r="E33" s="3">
        <v>-1.4973094235489806</v>
      </c>
      <c r="F33" s="3">
        <v>-10.35</v>
      </c>
      <c r="G33" s="3">
        <v>-11.16</v>
      </c>
      <c r="H33" s="3">
        <v>-0.67080631381344624</v>
      </c>
    </row>
    <row r="34" spans="1:8" x14ac:dyDescent="0.3">
      <c r="A34" s="2">
        <v>2020</v>
      </c>
      <c r="B34" s="3">
        <v>9</v>
      </c>
      <c r="C34" s="3">
        <v>-10</v>
      </c>
      <c r="D34" s="3">
        <v>-6.0000000000000497E-2</v>
      </c>
      <c r="E34" s="3">
        <v>-0.97278263639241347</v>
      </c>
      <c r="F34" s="3">
        <v>-9.5299999999999994</v>
      </c>
      <c r="G34" s="3">
        <v>-4.1999999999999993</v>
      </c>
      <c r="H34" s="3">
        <v>-0.36203865330978074</v>
      </c>
    </row>
    <row r="35" spans="1:8" x14ac:dyDescent="0.3">
      <c r="A35" s="2">
        <v>2020</v>
      </c>
      <c r="B35" s="3">
        <v>10</v>
      </c>
      <c r="C35" s="3">
        <v>-16.809999999999999</v>
      </c>
      <c r="D35" s="3">
        <v>2.1500000000000021</v>
      </c>
      <c r="E35" s="3">
        <v>-0.44202883859789627</v>
      </c>
      <c r="F35" s="3">
        <v>-11.26</v>
      </c>
      <c r="G35" s="3">
        <v>-0.76999999999999957</v>
      </c>
      <c r="H35" s="3">
        <v>-4.5302097200789808E-2</v>
      </c>
    </row>
    <row r="36" spans="1:8" x14ac:dyDescent="0.3">
      <c r="A36" s="2">
        <v>2020</v>
      </c>
      <c r="B36" s="3">
        <v>11</v>
      </c>
      <c r="C36" s="3">
        <v>4.6100000000000003</v>
      </c>
      <c r="D36" s="3">
        <v>26.81</v>
      </c>
      <c r="E36" s="3">
        <v>8.3780759943471728E-2</v>
      </c>
      <c r="F36" s="3">
        <v>-9.91</v>
      </c>
      <c r="G36" s="3">
        <v>-4.13</v>
      </c>
      <c r="H36" s="3">
        <v>0.27362364754399482</v>
      </c>
    </row>
    <row r="37" spans="1:8" x14ac:dyDescent="0.3">
      <c r="A37" s="2">
        <v>2020</v>
      </c>
      <c r="B37" s="3">
        <v>12</v>
      </c>
      <c r="C37" s="3">
        <v>-5.35</v>
      </c>
      <c r="D37" s="3">
        <v>12.770000000000001</v>
      </c>
      <c r="E37" s="3">
        <v>0.59365495134327162</v>
      </c>
      <c r="F37" s="3">
        <v>-8.9499999999999993</v>
      </c>
      <c r="G37" s="3">
        <v>-5.379999999999999</v>
      </c>
      <c r="H37" s="3">
        <v>0.58890854771179146</v>
      </c>
    </row>
    <row r="38" spans="1:8" x14ac:dyDescent="0.3">
      <c r="A38" s="2">
        <v>2021</v>
      </c>
      <c r="B38" s="3">
        <v>1</v>
      </c>
      <c r="C38" s="3">
        <v>-20.46</v>
      </c>
      <c r="D38" s="3">
        <v>-5.120000000000001</v>
      </c>
      <c r="E38" s="3">
        <v>1.0784585151603105</v>
      </c>
      <c r="F38" s="3">
        <v>-3.42</v>
      </c>
      <c r="G38" s="3">
        <v>1.5999999999999996</v>
      </c>
      <c r="H38" s="3">
        <v>0.89441676289207228</v>
      </c>
    </row>
    <row r="39" spans="1:8" x14ac:dyDescent="0.3">
      <c r="A39" s="2">
        <v>2021</v>
      </c>
      <c r="B39" s="3">
        <v>2</v>
      </c>
      <c r="C39" s="3">
        <v>3.38</v>
      </c>
      <c r="D39" s="3">
        <v>8.85</v>
      </c>
      <c r="E39" s="3">
        <v>1.5299018104706634</v>
      </c>
      <c r="F39" s="3">
        <v>-5.54</v>
      </c>
      <c r="G39" s="3">
        <v>-3.64</v>
      </c>
      <c r="H39" s="3">
        <v>1.1835979451362739</v>
      </c>
    </row>
    <row r="40" spans="1:8" x14ac:dyDescent="0.3">
      <c r="A40" s="2">
        <v>2021</v>
      </c>
      <c r="B40" s="3">
        <v>3</v>
      </c>
      <c r="C40" s="3">
        <v>14.8</v>
      </c>
      <c r="D40" s="3">
        <v>20.93</v>
      </c>
      <c r="E40" s="3">
        <v>1.9392647478424077</v>
      </c>
      <c r="F40" s="3">
        <v>-1.59</v>
      </c>
      <c r="G40" s="3">
        <v>3.7199999999999998</v>
      </c>
      <c r="H40" s="3">
        <v>1.4499507453317431</v>
      </c>
    </row>
    <row r="41" spans="1:8" x14ac:dyDescent="0.3">
      <c r="A41" s="2">
        <v>2021</v>
      </c>
      <c r="B41" s="3">
        <v>4</v>
      </c>
      <c r="C41" s="3">
        <v>-3.58</v>
      </c>
      <c r="D41" s="3">
        <v>15.389999999999999</v>
      </c>
      <c r="E41" s="3">
        <v>2.2983355779956716</v>
      </c>
      <c r="F41" s="3">
        <v>1.2</v>
      </c>
      <c r="G41" s="3">
        <v>34.480000000000004</v>
      </c>
      <c r="H41" s="3">
        <v>1.686638842286303</v>
      </c>
    </row>
    <row r="42" spans="1:8" x14ac:dyDescent="0.3">
      <c r="A42" s="2">
        <v>2021</v>
      </c>
      <c r="B42" s="3">
        <v>5</v>
      </c>
      <c r="C42" s="3">
        <v>2.73</v>
      </c>
      <c r="D42" s="3">
        <v>46.059999999999995</v>
      </c>
      <c r="E42" s="3">
        <v>2.6002213527097613</v>
      </c>
      <c r="F42" s="3">
        <v>2.82</v>
      </c>
      <c r="G42" s="3">
        <v>34.269999999999996</v>
      </c>
      <c r="H42" s="3">
        <v>1.8869835571171294</v>
      </c>
    </row>
    <row r="43" spans="1:8" x14ac:dyDescent="0.3">
      <c r="A43" s="2">
        <v>2021</v>
      </c>
      <c r="B43" s="3">
        <v>6</v>
      </c>
      <c r="C43" s="3">
        <v>-4.3099999999999996</v>
      </c>
      <c r="D43" s="3">
        <v>53.73</v>
      </c>
      <c r="E43" s="3">
        <v>2.8389382671266228</v>
      </c>
      <c r="F43" s="3">
        <v>-1.1200000000000001</v>
      </c>
      <c r="G43" s="3">
        <v>21.83</v>
      </c>
      <c r="H43" s="3">
        <v>2.0465835276884614</v>
      </c>
    </row>
    <row r="44" spans="1:8" x14ac:dyDescent="0.3">
      <c r="A44" s="2">
        <v>2021</v>
      </c>
      <c r="B44" s="3">
        <v>7</v>
      </c>
      <c r="C44" s="3">
        <v>5.21</v>
      </c>
      <c r="D44" s="3">
        <v>22.79</v>
      </c>
      <c r="E44" s="3">
        <v>3.0115205565720409</v>
      </c>
      <c r="F44" s="3">
        <v>1.02</v>
      </c>
      <c r="G44" s="3">
        <v>14.059999999999999</v>
      </c>
      <c r="H44" s="3">
        <v>2.1632862124508496</v>
      </c>
    </row>
    <row r="45" spans="1:8" x14ac:dyDescent="0.3">
      <c r="A45" s="2">
        <v>2021</v>
      </c>
      <c r="B45" s="3">
        <v>8</v>
      </c>
      <c r="C45" s="3">
        <v>-0.44</v>
      </c>
      <c r="D45" s="3">
        <v>30.15</v>
      </c>
      <c r="E45" s="3">
        <v>3.1185365578810287</v>
      </c>
      <c r="F45" s="3">
        <v>1.55</v>
      </c>
      <c r="G45" s="3">
        <v>11.9</v>
      </c>
      <c r="H45" s="3">
        <v>2.2363129182209778</v>
      </c>
    </row>
    <row r="46" spans="1:8" x14ac:dyDescent="0.3">
      <c r="A46" s="2">
        <v>2021</v>
      </c>
      <c r="B46" s="3">
        <v>9</v>
      </c>
      <c r="C46" s="3">
        <v>4.83</v>
      </c>
      <c r="D46" s="3">
        <v>14.83</v>
      </c>
      <c r="E46" s="3">
        <v>3.1619281134055037</v>
      </c>
      <c r="F46" s="3">
        <v>2.4700000000000002</v>
      </c>
      <c r="G46" s="3">
        <v>12</v>
      </c>
      <c r="H46" s="3">
        <v>2.2657111124952203</v>
      </c>
    </row>
    <row r="47" spans="1:8" x14ac:dyDescent="0.3">
      <c r="A47" s="2">
        <v>2021</v>
      </c>
      <c r="B47" s="3">
        <v>10</v>
      </c>
      <c r="C47" s="3">
        <v>3.93</v>
      </c>
      <c r="D47" s="3">
        <v>20.74</v>
      </c>
      <c r="E47" s="3">
        <v>3.1455142504586413</v>
      </c>
      <c r="F47" s="3">
        <v>3.25</v>
      </c>
      <c r="G47" s="3">
        <v>14.51</v>
      </c>
      <c r="H47" s="3">
        <v>2.2521993521506305</v>
      </c>
    </row>
    <row r="48" spans="1:8" x14ac:dyDescent="0.3">
      <c r="A48" s="2">
        <v>2021</v>
      </c>
      <c r="B48" s="3">
        <v>11</v>
      </c>
      <c r="C48" s="3">
        <v>1.39</v>
      </c>
      <c r="D48" s="3">
        <v>-3.2200000000000006</v>
      </c>
      <c r="E48" s="3">
        <v>3.0739242791235193</v>
      </c>
      <c r="F48" s="3">
        <v>1.68</v>
      </c>
      <c r="G48" s="3">
        <v>11.59</v>
      </c>
      <c r="H48" s="3">
        <v>2.1971721863481157</v>
      </c>
    </row>
    <row r="49" spans="1:8" x14ac:dyDescent="0.3">
      <c r="A49" s="2">
        <v>2021</v>
      </c>
      <c r="B49" s="3">
        <v>12</v>
      </c>
      <c r="C49" s="3">
        <v>-12.5</v>
      </c>
      <c r="D49" s="3">
        <v>-7.15</v>
      </c>
      <c r="E49" s="3">
        <v>2.9530093487713778</v>
      </c>
      <c r="F49" s="3">
        <v>4.8</v>
      </c>
      <c r="G49" s="3">
        <v>13.75</v>
      </c>
      <c r="H49" s="3">
        <v>2.1028754004046846</v>
      </c>
    </row>
    <row r="50" spans="1:8" x14ac:dyDescent="0.3">
      <c r="A50" s="2">
        <v>2022</v>
      </c>
      <c r="B50" s="3">
        <v>1</v>
      </c>
      <c r="C50" s="3">
        <v>-0.31</v>
      </c>
      <c r="D50" s="3">
        <v>20.150000000000002</v>
      </c>
      <c r="E50" s="3">
        <v>2.7881835306985181</v>
      </c>
      <c r="F50" s="3">
        <v>7.27</v>
      </c>
      <c r="G50" s="3">
        <v>10.69</v>
      </c>
      <c r="H50" s="3">
        <v>1.9722070593466263</v>
      </c>
    </row>
    <row r="51" spans="1:8" x14ac:dyDescent="0.3">
      <c r="A51" s="2">
        <v>2022</v>
      </c>
      <c r="B51" s="3">
        <v>2</v>
      </c>
      <c r="C51" s="3">
        <v>-0.46</v>
      </c>
      <c r="D51" s="3">
        <v>-3.84</v>
      </c>
      <c r="E51" s="3">
        <v>2.5841592983297983</v>
      </c>
      <c r="F51" s="3">
        <v>11.25</v>
      </c>
      <c r="G51" s="3">
        <v>16.79</v>
      </c>
      <c r="H51" s="3">
        <v>1.8088740562974246</v>
      </c>
    </row>
    <row r="52" spans="1:8" x14ac:dyDescent="0.3">
      <c r="A52" s="2">
        <v>2022</v>
      </c>
      <c r="B52" s="3">
        <v>3</v>
      </c>
      <c r="C52" s="3">
        <v>3.11</v>
      </c>
      <c r="D52" s="3">
        <v>-11.690000000000001</v>
      </c>
      <c r="E52" s="3">
        <v>2.3468548067893344</v>
      </c>
      <c r="F52" s="3">
        <v>5.77</v>
      </c>
      <c r="G52" s="3">
        <v>7.3599999999999994</v>
      </c>
      <c r="H52" s="3">
        <v>1.6171886866681089</v>
      </c>
    </row>
    <row r="53" spans="1:8" x14ac:dyDescent="0.3">
      <c r="A53" s="2">
        <v>2022</v>
      </c>
      <c r="B53" s="3">
        <v>4</v>
      </c>
      <c r="C53" s="3">
        <v>-8.43</v>
      </c>
      <c r="D53" s="3">
        <v>-4.8499999999999996</v>
      </c>
      <c r="E53" s="3">
        <v>2.0817420890277472</v>
      </c>
      <c r="F53" s="3">
        <v>0.85</v>
      </c>
      <c r="G53" s="3">
        <v>-0.35</v>
      </c>
      <c r="H53" s="3">
        <v>1.402503601838021</v>
      </c>
    </row>
    <row r="54" spans="1:8" x14ac:dyDescent="0.3">
      <c r="A54" s="2">
        <v>2022</v>
      </c>
      <c r="B54" s="3">
        <v>5</v>
      </c>
      <c r="C54" s="3">
        <v>7.42</v>
      </c>
      <c r="D54" s="3">
        <v>4.6899999999999995</v>
      </c>
      <c r="E54" s="3">
        <v>1.7933183964118524</v>
      </c>
      <c r="F54" s="3">
        <v>2.89</v>
      </c>
      <c r="G54" s="3">
        <v>7.0000000000000284E-2</v>
      </c>
      <c r="H54" s="3">
        <v>1.1705702595277068</v>
      </c>
    </row>
    <row r="55" spans="1:8" x14ac:dyDescent="0.3">
      <c r="A55" s="2">
        <v>2022</v>
      </c>
      <c r="B55" s="3">
        <v>6</v>
      </c>
      <c r="C55" s="3">
        <v>15.19</v>
      </c>
      <c r="D55" s="3">
        <v>19.5</v>
      </c>
      <c r="E55" s="3">
        <v>1.4855996093300619</v>
      </c>
      <c r="F55" s="3">
        <v>1.91</v>
      </c>
      <c r="G55" s="3">
        <v>3.0300000000000002</v>
      </c>
      <c r="H55" s="3">
        <v>0.92701841581869537</v>
      </c>
    </row>
    <row r="56" spans="1:8" x14ac:dyDescent="0.3">
      <c r="A56" s="2">
        <v>2022</v>
      </c>
      <c r="B56" s="3">
        <v>7</v>
      </c>
      <c r="C56" s="3">
        <v>2.4</v>
      </c>
      <c r="D56" s="3">
        <v>-2.81</v>
      </c>
      <c r="E56" s="3">
        <v>1.1628027666154805</v>
      </c>
      <c r="F56" s="3">
        <v>-6.65</v>
      </c>
      <c r="G56" s="3">
        <v>-7.67</v>
      </c>
      <c r="H56" s="3">
        <v>0.67740139830227086</v>
      </c>
    </row>
    <row r="57" spans="1:8" x14ac:dyDescent="0.3">
      <c r="A57" s="2">
        <v>2022</v>
      </c>
      <c r="B57" s="3">
        <v>8</v>
      </c>
      <c r="C57" s="3">
        <v>-5.31</v>
      </c>
      <c r="D57" s="3">
        <v>-4.8699999999999992</v>
      </c>
      <c r="E57" s="3">
        <v>0.83039590712834288</v>
      </c>
      <c r="F57" s="3">
        <v>-6.19</v>
      </c>
      <c r="G57" s="3">
        <v>-7.74</v>
      </c>
      <c r="H57" s="3">
        <v>0.42741857495750751</v>
      </c>
    </row>
    <row r="58" spans="1:8" x14ac:dyDescent="0.3">
      <c r="A58" s="2">
        <v>2022</v>
      </c>
      <c r="B58" s="3">
        <v>9</v>
      </c>
      <c r="C58" s="3">
        <v>-10.09</v>
      </c>
      <c r="D58" s="3">
        <v>-14.92</v>
      </c>
      <c r="E58" s="3">
        <v>0.49357118064786859</v>
      </c>
      <c r="F58" s="3">
        <v>-5.47</v>
      </c>
      <c r="G58" s="3">
        <v>-7.9399999999999995</v>
      </c>
      <c r="H58" s="3">
        <v>0.1821896331108199</v>
      </c>
    </row>
    <row r="59" spans="1:8" x14ac:dyDescent="0.3">
      <c r="A59" s="2">
        <v>2022</v>
      </c>
      <c r="B59" s="3">
        <v>10</v>
      </c>
      <c r="C59" s="3">
        <v>-13.9</v>
      </c>
      <c r="D59" s="3">
        <v>-17.830000000000002</v>
      </c>
      <c r="E59" s="3">
        <v>0.15712487612639328</v>
      </c>
      <c r="F59" s="3">
        <v>-5.77</v>
      </c>
      <c r="G59" s="3">
        <v>-9.02</v>
      </c>
      <c r="H59" s="3">
        <v>-5.3732921756860688E-2</v>
      </c>
    </row>
    <row r="60" spans="1:8" x14ac:dyDescent="0.3">
      <c r="A60" s="2">
        <v>2022</v>
      </c>
      <c r="B60" s="3">
        <v>11</v>
      </c>
      <c r="C60" s="3">
        <v>-4.3600000000000003</v>
      </c>
      <c r="D60" s="3">
        <v>-5.75</v>
      </c>
      <c r="E60" s="3">
        <v>-0.17521710437129231</v>
      </c>
      <c r="F60" s="3">
        <v>-10.199999999999999</v>
      </c>
      <c r="G60" s="3">
        <v>-11.879999999999999</v>
      </c>
      <c r="H60" s="3">
        <v>-0.27636062511134674</v>
      </c>
    </row>
    <row r="61" spans="1:8" x14ac:dyDescent="0.3">
      <c r="A61" s="2">
        <v>2022</v>
      </c>
      <c r="B61" s="3">
        <v>12</v>
      </c>
      <c r="C61" s="3">
        <v>4.8499999999999996</v>
      </c>
      <c r="D61" s="3">
        <v>17.350000000000001</v>
      </c>
      <c r="E61" s="3">
        <v>-0.5009779646745729</v>
      </c>
      <c r="F61" s="3">
        <v>-6.01</v>
      </c>
      <c r="G61" s="3">
        <v>-10.809999999999999</v>
      </c>
      <c r="H61" s="3">
        <v>-0.48232766985443981</v>
      </c>
    </row>
    <row r="62" spans="1:8" x14ac:dyDescent="0.3">
      <c r="A62" s="2">
        <v>2023</v>
      </c>
      <c r="B62" s="3">
        <v>1</v>
      </c>
      <c r="C62" s="3">
        <v>-10.119999999999999</v>
      </c>
      <c r="D62" s="3">
        <v>-9.8099999999999987</v>
      </c>
      <c r="E62" s="3">
        <v>-0.8180680463139185</v>
      </c>
      <c r="F62" s="3">
        <v>-3.09</v>
      </c>
      <c r="G62" s="3">
        <v>-10.36</v>
      </c>
      <c r="H62" s="3">
        <v>-0.66907405717786428</v>
      </c>
    </row>
    <row r="63" spans="1:8" x14ac:dyDescent="0.3">
      <c r="A63" s="2">
        <v>2023</v>
      </c>
      <c r="B63" s="3">
        <v>2</v>
      </c>
      <c r="C63" s="3">
        <v>-20.14</v>
      </c>
      <c r="D63" s="3">
        <v>-19.68</v>
      </c>
      <c r="E63" s="3">
        <v>-1.1231580395722522</v>
      </c>
      <c r="F63" s="3">
        <v>-4.1900000000000004</v>
      </c>
      <c r="G63" s="3">
        <v>-15.440000000000001</v>
      </c>
      <c r="H63" s="3">
        <v>-0.83475698774071572</v>
      </c>
    </row>
    <row r="64" spans="1:8" x14ac:dyDescent="0.3">
      <c r="A64" s="2">
        <v>2023</v>
      </c>
      <c r="B64" s="3">
        <v>3</v>
      </c>
      <c r="C64" s="3">
        <v>-4.91</v>
      </c>
      <c r="D64" s="3">
        <v>-8.02</v>
      </c>
      <c r="E64" s="3">
        <v>-1.4135430744515032</v>
      </c>
      <c r="F64" s="3">
        <v>-1.45</v>
      </c>
      <c r="G64" s="3">
        <v>-7.22</v>
      </c>
      <c r="H64" s="3">
        <v>-0.97820664317034123</v>
      </c>
    </row>
    <row r="65" spans="1:8" x14ac:dyDescent="0.3">
      <c r="A65" s="2">
        <v>2023</v>
      </c>
      <c r="B65" s="3">
        <v>4</v>
      </c>
      <c r="C65" s="3">
        <v>4.57</v>
      </c>
      <c r="D65" s="3">
        <v>13</v>
      </c>
      <c r="E65" s="3">
        <v>-1.6878069505341855</v>
      </c>
      <c r="F65" s="3">
        <v>0.97</v>
      </c>
      <c r="G65" s="3">
        <v>0.12</v>
      </c>
      <c r="H65" s="3">
        <v>-1.0992674580810502</v>
      </c>
    </row>
    <row r="66" spans="1:8" x14ac:dyDescent="0.3">
      <c r="A66" s="2">
        <v>2023</v>
      </c>
      <c r="B66" s="3">
        <v>5</v>
      </c>
      <c r="C66" s="3">
        <v>-12.72</v>
      </c>
      <c r="D66" s="3">
        <v>-20.14</v>
      </c>
      <c r="E66" s="3">
        <v>-1.9449922491337541</v>
      </c>
      <c r="F66" s="3">
        <v>-3.46</v>
      </c>
      <c r="G66" s="3">
        <v>-6.35</v>
      </c>
      <c r="H66" s="3">
        <v>-1.1982173249591541</v>
      </c>
    </row>
    <row r="67" spans="1:8" x14ac:dyDescent="0.3">
      <c r="A67" s="2">
        <v>2023</v>
      </c>
      <c r="B67" s="3">
        <v>6</v>
      </c>
      <c r="C67" s="3">
        <v>-14.05</v>
      </c>
      <c r="D67" s="3">
        <v>-29.240000000000002</v>
      </c>
      <c r="E67" s="3">
        <v>-2.183121564969877</v>
      </c>
      <c r="F67" s="3">
        <v>-8.61</v>
      </c>
      <c r="G67" s="3">
        <v>-10.52</v>
      </c>
      <c r="H67" s="3">
        <v>-1.2752494649397088</v>
      </c>
    </row>
    <row r="68" spans="1:8" x14ac:dyDescent="0.3">
      <c r="A68" s="2">
        <v>2023</v>
      </c>
      <c r="B68" s="3">
        <v>7</v>
      </c>
      <c r="C68" s="3">
        <v>-4.5</v>
      </c>
      <c r="D68" s="3">
        <v>-6.9</v>
      </c>
      <c r="E68" s="3">
        <v>-2.4014810349671429</v>
      </c>
      <c r="F68" s="3">
        <v>-11.67</v>
      </c>
      <c r="G68" s="3">
        <v>-5.0199999999999996</v>
      </c>
      <c r="H68" s="3">
        <v>-1.3309148618435365</v>
      </c>
    </row>
    <row r="69" spans="1:8" x14ac:dyDescent="0.3">
      <c r="A69" s="2">
        <v>2023</v>
      </c>
      <c r="B69" s="3">
        <v>8</v>
      </c>
      <c r="C69" s="3">
        <v>-5.97</v>
      </c>
      <c r="D69" s="3">
        <v>-0.66000000000000014</v>
      </c>
      <c r="E69" s="3">
        <v>-2.6012357459414628</v>
      </c>
      <c r="F69" s="3">
        <v>-7.08</v>
      </c>
      <c r="G69" s="3">
        <v>-0.88999999999999968</v>
      </c>
      <c r="H69" s="3">
        <v>-1.3664064960563944</v>
      </c>
    </row>
    <row r="70" spans="1:8" x14ac:dyDescent="0.3">
      <c r="A70" s="2">
        <v>2023</v>
      </c>
      <c r="B70" s="3">
        <v>9</v>
      </c>
      <c r="C70" s="3">
        <v>-15.16</v>
      </c>
      <c r="D70" s="3">
        <v>-5.07</v>
      </c>
      <c r="E70" s="3">
        <v>-2.7838631818590964</v>
      </c>
      <c r="F70" s="3">
        <v>-9.16</v>
      </c>
      <c r="G70" s="3">
        <v>-3.6900000000000004</v>
      </c>
      <c r="H70" s="3">
        <v>-1.3831735344319676</v>
      </c>
    </row>
    <row r="71" spans="1:8" x14ac:dyDescent="0.3">
      <c r="A71" s="2">
        <v>2023</v>
      </c>
      <c r="B71" s="3">
        <v>10</v>
      </c>
      <c r="C71" s="3">
        <v>-17.95</v>
      </c>
      <c r="D71" s="3">
        <v>-4.0499999999999989</v>
      </c>
      <c r="E71" s="3">
        <v>-2.9507060186483915</v>
      </c>
      <c r="F71" s="3">
        <v>-10.6</v>
      </c>
      <c r="G71" s="3">
        <v>-4.83</v>
      </c>
      <c r="H71" s="3">
        <v>-1.3826320600394921</v>
      </c>
    </row>
    <row r="72" spans="1:8" x14ac:dyDescent="0.3">
      <c r="A72" s="2">
        <v>2023</v>
      </c>
      <c r="B72" s="3">
        <v>11</v>
      </c>
      <c r="C72" s="3">
        <v>-6.42</v>
      </c>
      <c r="D72" s="3">
        <v>-2.0599999999999996</v>
      </c>
      <c r="E72" s="3">
        <v>-3.1032656917389554</v>
      </c>
      <c r="F72" s="3">
        <v>-12.4</v>
      </c>
      <c r="G72" s="3">
        <v>-2.2000000000000011</v>
      </c>
      <c r="H72" s="3">
        <v>-1.3663583522305356</v>
      </c>
    </row>
    <row r="73" spans="1:8" x14ac:dyDescent="0.3">
      <c r="A73" s="2">
        <v>2023</v>
      </c>
      <c r="B73" s="3">
        <v>12</v>
      </c>
      <c r="C73" s="3">
        <v>-8.59</v>
      </c>
      <c r="D73" s="3">
        <v>-13.44</v>
      </c>
      <c r="E73" s="3">
        <v>-3.2431199764202114</v>
      </c>
      <c r="F73" s="3">
        <v>-7.63</v>
      </c>
      <c r="G73" s="3">
        <v>-1.62</v>
      </c>
      <c r="H73" s="3">
        <v>-1.3361680909080516</v>
      </c>
    </row>
    <row r="74" spans="1:8" x14ac:dyDescent="0.3">
      <c r="A74" s="2">
        <v>2024</v>
      </c>
      <c r="B74" s="3">
        <v>1</v>
      </c>
      <c r="C74" s="3">
        <v>-1.46</v>
      </c>
      <c r="D74" s="3">
        <v>8.66</v>
      </c>
      <c r="E74" s="3">
        <v>-3.3717741989752126</v>
      </c>
      <c r="F74" s="3">
        <v>-4.3</v>
      </c>
      <c r="G74" s="3">
        <v>-1.21</v>
      </c>
      <c r="H74" s="3">
        <v>-1.293934847756089</v>
      </c>
    </row>
    <row r="75" spans="1:8" x14ac:dyDescent="0.3">
      <c r="A75" s="2">
        <v>2024</v>
      </c>
      <c r="B75" s="3">
        <v>2</v>
      </c>
      <c r="C75" s="3">
        <v>-4.9800000000000004</v>
      </c>
      <c r="D75" s="3">
        <v>15.16</v>
      </c>
      <c r="E75" s="3">
        <v>-3.4914418023553151</v>
      </c>
      <c r="F75" s="3">
        <v>-2.4700000000000002</v>
      </c>
      <c r="G75" s="3">
        <v>1.7200000000000002</v>
      </c>
      <c r="H75" s="3">
        <v>-1.2415519050079391</v>
      </c>
    </row>
    <row r="76" spans="1:8" x14ac:dyDescent="0.3">
      <c r="A76" s="2">
        <v>2024</v>
      </c>
      <c r="B76" s="3">
        <v>3</v>
      </c>
      <c r="C76" s="3">
        <v>-17.829999999999998</v>
      </c>
      <c r="D76" s="3">
        <v>-12.919999999999998</v>
      </c>
      <c r="E76" s="3">
        <v>-3.603500689636947</v>
      </c>
      <c r="F76" s="3">
        <v>-3.63</v>
      </c>
      <c r="G76" s="3">
        <v>-2.1799999999999997</v>
      </c>
      <c r="H76" s="3">
        <v>-1.1809067160880211</v>
      </c>
    </row>
    <row r="77" spans="1:8" x14ac:dyDescent="0.3">
      <c r="A77" s="2">
        <v>2024</v>
      </c>
      <c r="B77" s="3">
        <v>4</v>
      </c>
      <c r="C77" s="3">
        <v>-14.06</v>
      </c>
      <c r="D77" s="3">
        <v>-18.630000000000003</v>
      </c>
      <c r="E77" s="3">
        <v>-3.7080335248824841</v>
      </c>
      <c r="F77" s="3">
        <v>-1.83</v>
      </c>
      <c r="G77" s="3">
        <v>-2.8</v>
      </c>
      <c r="H77" s="3">
        <v>-1.1136810710940177</v>
      </c>
    </row>
    <row r="78" spans="1:8" x14ac:dyDescent="0.3">
      <c r="A78" s="2">
        <v>2024</v>
      </c>
      <c r="B78" s="3">
        <v>5</v>
      </c>
      <c r="C78" s="3">
        <v>-14.26</v>
      </c>
      <c r="D78" s="3">
        <v>-1.5399999999999991</v>
      </c>
      <c r="E78" s="3">
        <v>-3.8057699512730778</v>
      </c>
      <c r="F78" s="3">
        <v>-4.34</v>
      </c>
      <c r="G78" s="3">
        <v>-0.87999999999999989</v>
      </c>
      <c r="H78" s="3">
        <v>-1.0416261416016614</v>
      </c>
    </row>
    <row r="79" spans="1:8" x14ac:dyDescent="0.3">
      <c r="A79" s="2">
        <v>2024</v>
      </c>
      <c r="B79" s="3">
        <v>6</v>
      </c>
      <c r="C79" s="3">
        <v>-8.59</v>
      </c>
      <c r="D79" s="3">
        <v>5.4600000000000009</v>
      </c>
      <c r="E79" s="3">
        <v>-3.8984758596617639</v>
      </c>
      <c r="F79" s="3">
        <v>-5.91</v>
      </c>
      <c r="G79" s="3">
        <v>2.6999999999999993</v>
      </c>
      <c r="H79" s="3">
        <v>-0.96661020466785896</v>
      </c>
    </row>
    <row r="80" spans="1:8" x14ac:dyDescent="0.3">
      <c r="A80" s="2">
        <v>2024</v>
      </c>
      <c r="B80" s="3">
        <v>7</v>
      </c>
      <c r="C80" s="3">
        <v>-8.75</v>
      </c>
      <c r="D80" s="3">
        <v>-4.25</v>
      </c>
      <c r="E80" s="3">
        <v>-3.9877597957660731</v>
      </c>
      <c r="F80" s="3">
        <v>-6.48</v>
      </c>
      <c r="G80" s="3">
        <v>5.1899999999999995</v>
      </c>
      <c r="H80" s="3">
        <v>-0.89049031331190587</v>
      </c>
    </row>
    <row r="81" spans="1:8" x14ac:dyDescent="0.3">
      <c r="A81" s="2">
        <v>2024</v>
      </c>
      <c r="B81" s="3">
        <v>8</v>
      </c>
      <c r="C81" s="3">
        <v>-6.19</v>
      </c>
      <c r="D81" s="3">
        <v>-0.22000000000000064</v>
      </c>
      <c r="E81" s="3">
        <v>-4.0745804111466155</v>
      </c>
      <c r="F81" s="3">
        <v>-3.97</v>
      </c>
      <c r="G81" s="3">
        <v>3.11</v>
      </c>
      <c r="H81" s="3">
        <v>-0.81486889484444014</v>
      </c>
    </row>
    <row r="82" spans="1:8" x14ac:dyDescent="0.3">
      <c r="A82" s="2">
        <v>2024</v>
      </c>
      <c r="B82" s="3">
        <v>9</v>
      </c>
      <c r="C82" s="3">
        <v>-19</v>
      </c>
      <c r="D82" s="3">
        <v>-3.84</v>
      </c>
      <c r="E82" s="3">
        <v>-4.1599145684892962</v>
      </c>
      <c r="F82" s="3">
        <v>-0.91</v>
      </c>
      <c r="G82" s="3">
        <v>8.25</v>
      </c>
      <c r="H82" s="3">
        <v>-0.74092612030434235</v>
      </c>
    </row>
    <row r="83" spans="1:8" x14ac:dyDescent="0.3">
      <c r="A83" s="2">
        <v>2024</v>
      </c>
      <c r="B83" s="3">
        <v>10</v>
      </c>
      <c r="C83" s="3">
        <v>-14.06</v>
      </c>
      <c r="D83" s="3">
        <v>3.8899999999999988</v>
      </c>
      <c r="E83" s="3">
        <v>-4.2444714512848023</v>
      </c>
      <c r="F83" s="3">
        <v>-10.55</v>
      </c>
      <c r="G83" s="3">
        <v>4.9999999999998934E-2</v>
      </c>
      <c r="H83" s="3">
        <v>-0.66956960039057334</v>
      </c>
    </row>
    <row r="84" spans="1:8" x14ac:dyDescent="0.3">
      <c r="A84" s="2">
        <v>2024</v>
      </c>
      <c r="B84" s="3">
        <v>11</v>
      </c>
      <c r="C84" s="3">
        <v>-20.440000000000001</v>
      </c>
      <c r="D84" s="3">
        <v>-14.020000000000001</v>
      </c>
      <c r="E84" s="3">
        <v>-4.3289380267343418</v>
      </c>
      <c r="F84" s="3">
        <v>-8.15</v>
      </c>
      <c r="G84" s="3">
        <v>4.25</v>
      </c>
      <c r="H84" s="3">
        <v>-0.60108257593262848</v>
      </c>
    </row>
    <row r="85" spans="1:8" x14ac:dyDescent="0.3">
      <c r="A85" s="2">
        <v>2024</v>
      </c>
      <c r="B85" s="3">
        <v>12</v>
      </c>
      <c r="C85" s="3">
        <v>-18.809999999999999</v>
      </c>
      <c r="D85" s="3">
        <v>-10.219999999999999</v>
      </c>
      <c r="E85" s="3">
        <v>-4.4134363681883393</v>
      </c>
      <c r="F85" s="3">
        <v>-5.76</v>
      </c>
      <c r="G85" s="3">
        <v>1.87</v>
      </c>
      <c r="H85" s="3">
        <v>-0.53569831764886477</v>
      </c>
    </row>
    <row r="86" spans="1:8" x14ac:dyDescent="0.3">
      <c r="A86" s="2">
        <v>2025</v>
      </c>
      <c r="B86" s="3">
        <v>1</v>
      </c>
      <c r="C86" s="3">
        <v>-20.98</v>
      </c>
      <c r="D86" s="3">
        <v>-19.52</v>
      </c>
      <c r="E86" s="3">
        <v>-4.4987615394120288</v>
      </c>
      <c r="F86" s="3">
        <v>-3.31</v>
      </c>
      <c r="G86" s="3">
        <v>0.98999999999999977</v>
      </c>
      <c r="H86" s="3">
        <v>-0.47331321552319944</v>
      </c>
    </row>
    <row r="87" spans="1:8" x14ac:dyDescent="0.3">
      <c r="A87" s="2">
        <v>2025</v>
      </c>
      <c r="B87" s="3">
        <v>2</v>
      </c>
      <c r="C87" s="3">
        <v>5.64</v>
      </c>
      <c r="D87" s="3">
        <v>10.620000000000001</v>
      </c>
      <c r="E87" s="3">
        <v>-4.5861118377561878</v>
      </c>
      <c r="F87" s="3">
        <v>-4.3600000000000003</v>
      </c>
      <c r="G87" s="3">
        <v>-1.8900000000000001</v>
      </c>
      <c r="H87" s="3">
        <v>-0.41365659715637965</v>
      </c>
    </row>
    <row r="88" spans="1:8" x14ac:dyDescent="0.3">
      <c r="A88" s="2">
        <v>2025</v>
      </c>
      <c r="B88" s="3">
        <v>3</v>
      </c>
      <c r="C88" s="3">
        <v>-15.47</v>
      </c>
      <c r="D88" s="3">
        <v>2.3599999999999977</v>
      </c>
      <c r="E88" s="3">
        <v>-4.6777287021313549</v>
      </c>
      <c r="F88" s="3">
        <v>-3.68</v>
      </c>
      <c r="G88" s="3">
        <v>-5.0000000000000266E-2</v>
      </c>
      <c r="H88" s="3">
        <v>-0.35635617117585217</v>
      </c>
    </row>
    <row r="89" spans="1:8" x14ac:dyDescent="0.3">
      <c r="A89" s="2">
        <v>2025</v>
      </c>
      <c r="B89" s="3">
        <v>4</v>
      </c>
      <c r="C89" s="3">
        <v>5.64</v>
      </c>
      <c r="D89" s="3">
        <v>19.7</v>
      </c>
      <c r="E89" s="3">
        <v>-4.7747975914593361</v>
      </c>
      <c r="F89" s="3">
        <v>-1.78</v>
      </c>
      <c r="G89" s="3">
        <v>5.0000000000000044E-2</v>
      </c>
      <c r="H89" s="3">
        <v>-0.30114217005648353</v>
      </c>
    </row>
    <row r="90" spans="1:8" x14ac:dyDescent="0.3">
      <c r="A90" s="2">
        <v>2025</v>
      </c>
      <c r="B90" s="3">
        <v>5</v>
      </c>
      <c r="C90" s="3">
        <v>-16.12</v>
      </c>
      <c r="D90" s="3">
        <v>-1.8600000000000012</v>
      </c>
      <c r="E90" s="3">
        <v>-4.878015233502067</v>
      </c>
      <c r="F90" s="3">
        <v>-3.09</v>
      </c>
      <c r="G90" s="3">
        <v>1.25</v>
      </c>
      <c r="H90" s="3">
        <v>-0.24772355153903083</v>
      </c>
    </row>
    <row r="91" spans="1:8" x14ac:dyDescent="0.3">
      <c r="A91" s="2">
        <v>2025</v>
      </c>
      <c r="B91" s="3">
        <v>6</v>
      </c>
      <c r="C91" s="3">
        <v>-16.579999999999998</v>
      </c>
      <c r="D91" s="3">
        <v>-7.9899999999999984</v>
      </c>
      <c r="E91" s="3">
        <v>-4.9863787172998544</v>
      </c>
      <c r="F91" s="3">
        <v>-6.45</v>
      </c>
      <c r="G91" s="3">
        <v>-0.54</v>
      </c>
      <c r="H91" s="3">
        <v>-0.19578488849133058</v>
      </c>
    </row>
    <row r="92" spans="1:8" x14ac:dyDescent="0.3">
      <c r="A92" s="2">
        <v>2025</v>
      </c>
      <c r="B92" s="3">
        <v>7</v>
      </c>
      <c r="C92" s="3">
        <v>1.42</v>
      </c>
      <c r="D92" s="3">
        <v>10.17</v>
      </c>
      <c r="E92" s="3">
        <v>-5.098675547501788</v>
      </c>
      <c r="F92" s="3">
        <v>-6.49</v>
      </c>
      <c r="G92" s="3">
        <v>-9.9999999999997868E-3</v>
      </c>
      <c r="H92" s="3">
        <v>-0.14490674520125121</v>
      </c>
    </row>
    <row r="93" spans="1:8" x14ac:dyDescent="0.3">
      <c r="A93" s="2">
        <v>2025</v>
      </c>
      <c r="B93" s="3">
        <v>8</v>
      </c>
      <c r="C93" s="3">
        <v>-28.67</v>
      </c>
      <c r="D93" s="3">
        <v>-22.48</v>
      </c>
      <c r="E93" s="3">
        <v>-5.213901813568258</v>
      </c>
      <c r="F93" s="3">
        <v>-6.15</v>
      </c>
      <c r="G93" s="3">
        <v>-2.1800000000000002</v>
      </c>
      <c r="H93" s="3">
        <v>-9.4693589783849341E-2</v>
      </c>
    </row>
    <row r="94" spans="1:8" x14ac:dyDescent="0.3">
      <c r="A94" s="2">
        <v>2025</v>
      </c>
      <c r="B94" s="3">
        <v>9</v>
      </c>
      <c r="C94" s="3">
        <v>-36.788882411712962</v>
      </c>
      <c r="D94" s="3">
        <v>-17.788882411712962</v>
      </c>
      <c r="E94" s="3">
        <v>-5.3299932802688561</v>
      </c>
      <c r="F94" s="3">
        <v>-4.7</v>
      </c>
      <c r="G94" s="3">
        <v>-3.79</v>
      </c>
      <c r="H94" s="3">
        <v>-4.4740521830209268E-2</v>
      </c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79" workbookViewId="0">
      <selection activeCell="A2" sqref="A2:H92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92</v>
      </c>
      <c r="D1" s="2" t="s">
        <v>93</v>
      </c>
      <c r="E1" s="2" t="s">
        <v>94</v>
      </c>
      <c r="F1" s="2" t="s">
        <v>95</v>
      </c>
      <c r="G1" s="2" t="s">
        <v>96</v>
      </c>
      <c r="H1" s="2" t="s">
        <v>97</v>
      </c>
    </row>
    <row r="2" spans="1:8" x14ac:dyDescent="0.3">
      <c r="A2" s="2">
        <v>2018</v>
      </c>
      <c r="B2" s="3">
        <v>1</v>
      </c>
      <c r="C2" s="3">
        <v>90.893000000000001</v>
      </c>
      <c r="D2" s="3">
        <v>14.3</v>
      </c>
      <c r="E2" s="3">
        <v>4.1420732083409213</v>
      </c>
      <c r="F2" s="3">
        <v>92.08</v>
      </c>
      <c r="G2" s="3">
        <v>10</v>
      </c>
      <c r="H2" s="3">
        <v>3.5361502326664356</v>
      </c>
    </row>
    <row r="3" spans="1:8" x14ac:dyDescent="0.3">
      <c r="A3" s="2">
        <v>2018</v>
      </c>
      <c r="B3" s="3">
        <v>2</v>
      </c>
      <c r="C3" s="3">
        <v>91.850999999999999</v>
      </c>
      <c r="D3" s="3">
        <v>5.0999999999999996</v>
      </c>
      <c r="E3" s="3">
        <v>3.9776667712599116</v>
      </c>
      <c r="F3" s="3">
        <v>91.825000000000003</v>
      </c>
      <c r="G3" s="3">
        <v>3.9</v>
      </c>
      <c r="H3" s="3">
        <v>3.3923716640707773</v>
      </c>
    </row>
    <row r="4" spans="1:8" x14ac:dyDescent="0.3">
      <c r="A4" s="2">
        <v>2018</v>
      </c>
      <c r="B4" s="3">
        <v>3</v>
      </c>
      <c r="C4" s="3">
        <v>103.926</v>
      </c>
      <c r="D4" s="3">
        <v>0.7</v>
      </c>
      <c r="E4" s="3">
        <v>3.7892087924682745</v>
      </c>
      <c r="F4" s="3">
        <v>98.924999999999997</v>
      </c>
      <c r="G4" s="3">
        <v>-4.0999999999999996</v>
      </c>
      <c r="H4" s="3">
        <v>3.2338821500135331</v>
      </c>
    </row>
    <row r="5" spans="1:8" x14ac:dyDescent="0.3">
      <c r="A5" s="2">
        <v>2018</v>
      </c>
      <c r="B5" s="3">
        <v>4</v>
      </c>
      <c r="C5" s="3">
        <v>98.366</v>
      </c>
      <c r="D5" s="3">
        <v>14.1</v>
      </c>
      <c r="E5" s="3">
        <v>3.5794772908471018</v>
      </c>
      <c r="F5" s="3">
        <v>98.061999999999998</v>
      </c>
      <c r="G5" s="3">
        <v>15.7</v>
      </c>
      <c r="H5" s="3">
        <v>3.0623044383546145</v>
      </c>
    </row>
    <row r="6" spans="1:8" x14ac:dyDescent="0.3">
      <c r="A6" s="2">
        <v>2018</v>
      </c>
      <c r="B6" s="3">
        <v>5</v>
      </c>
      <c r="C6" s="3">
        <v>102.91800000000001</v>
      </c>
      <c r="D6" s="3">
        <v>2.5</v>
      </c>
      <c r="E6" s="3">
        <v>3.3510357568891198</v>
      </c>
      <c r="F6" s="3">
        <v>105.467</v>
      </c>
      <c r="G6" s="3">
        <v>5.0999999999999996</v>
      </c>
      <c r="H6" s="3">
        <v>2.8787519795824044</v>
      </c>
    </row>
    <row r="7" spans="1:8" x14ac:dyDescent="0.3">
      <c r="A7" s="2">
        <v>2018</v>
      </c>
      <c r="B7" s="3">
        <v>6</v>
      </c>
      <c r="C7" s="3">
        <v>101.30800000000001</v>
      </c>
      <c r="D7" s="3">
        <v>5.9</v>
      </c>
      <c r="E7" s="3">
        <v>3.1071782729418564</v>
      </c>
      <c r="F7" s="3">
        <v>104.294</v>
      </c>
      <c r="G7" s="3">
        <v>4.8</v>
      </c>
      <c r="H7" s="3">
        <v>2.6852158419326226</v>
      </c>
    </row>
    <row r="8" spans="1:8" x14ac:dyDescent="0.3">
      <c r="A8" s="2">
        <v>2018</v>
      </c>
      <c r="B8" s="3">
        <v>7</v>
      </c>
      <c r="C8" s="3">
        <v>98.352999999999994</v>
      </c>
      <c r="D8" s="3">
        <v>10.9</v>
      </c>
      <c r="E8" s="3">
        <v>2.8511398216474997</v>
      </c>
      <c r="F8" s="3">
        <v>102.89</v>
      </c>
      <c r="G8" s="3">
        <v>9.9</v>
      </c>
      <c r="H8" s="3">
        <v>2.4838413469757397</v>
      </c>
    </row>
    <row r="9" spans="1:8" x14ac:dyDescent="0.3">
      <c r="A9" s="2">
        <v>2018</v>
      </c>
      <c r="B9" s="3">
        <v>8</v>
      </c>
      <c r="C9" s="3">
        <v>80.991</v>
      </c>
      <c r="D9" s="3">
        <v>-1.1000000000000001</v>
      </c>
      <c r="E9" s="3">
        <v>2.5863493316015056</v>
      </c>
      <c r="F9" s="3">
        <v>79.319999999999993</v>
      </c>
      <c r="G9" s="3">
        <v>6.2</v>
      </c>
      <c r="H9" s="3">
        <v>2.2769206762932033</v>
      </c>
    </row>
    <row r="10" spans="1:8" x14ac:dyDescent="0.3">
      <c r="A10" s="2">
        <v>2018</v>
      </c>
      <c r="B10" s="3">
        <v>9</v>
      </c>
      <c r="C10" s="3">
        <v>95.363</v>
      </c>
      <c r="D10" s="3">
        <v>2.9</v>
      </c>
      <c r="E10" s="3">
        <v>2.3167946800228267</v>
      </c>
      <c r="F10" s="3">
        <v>96.224999999999994</v>
      </c>
      <c r="G10" s="3">
        <v>-0.2</v>
      </c>
      <c r="H10" s="3">
        <v>2.0672610224840322</v>
      </c>
    </row>
    <row r="11" spans="1:8" x14ac:dyDescent="0.3">
      <c r="A11" s="2">
        <v>2018</v>
      </c>
      <c r="B11" s="3">
        <v>10</v>
      </c>
      <c r="C11" s="3">
        <v>106.98399999999999</v>
      </c>
      <c r="D11" s="3">
        <v>7.6</v>
      </c>
      <c r="E11" s="3">
        <v>2.0462077476490546</v>
      </c>
      <c r="F11" s="3">
        <v>106.669</v>
      </c>
      <c r="G11" s="3">
        <v>8.1999999999999993</v>
      </c>
      <c r="H11" s="3">
        <v>1.857942014211392</v>
      </c>
    </row>
    <row r="12" spans="1:8" x14ac:dyDescent="0.3">
      <c r="A12" s="2">
        <v>2018</v>
      </c>
      <c r="B12" s="3">
        <v>11</v>
      </c>
      <c r="C12" s="3">
        <v>105.357</v>
      </c>
      <c r="D12" s="3">
        <v>0.6</v>
      </c>
      <c r="E12" s="3">
        <v>1.7783609155872226</v>
      </c>
      <c r="F12" s="3">
        <v>101.476</v>
      </c>
      <c r="G12" s="3">
        <v>0.7</v>
      </c>
      <c r="H12" s="3">
        <v>1.6518858314563321</v>
      </c>
    </row>
    <row r="13" spans="1:8" x14ac:dyDescent="0.3">
      <c r="A13" s="2">
        <v>2018</v>
      </c>
      <c r="B13" s="3">
        <v>12</v>
      </c>
      <c r="C13" s="3">
        <v>86.629000000000005</v>
      </c>
      <c r="D13" s="3">
        <v>1.1000000000000001</v>
      </c>
      <c r="E13" s="3">
        <v>1.5174122449618892</v>
      </c>
      <c r="F13" s="3">
        <v>88.096000000000004</v>
      </c>
      <c r="G13" s="3">
        <v>-2.2000000000000002</v>
      </c>
      <c r="H13" s="3">
        <v>1.4524550748933593</v>
      </c>
    </row>
    <row r="14" spans="1:8" x14ac:dyDescent="0.3">
      <c r="A14" s="2">
        <v>2019</v>
      </c>
      <c r="B14" s="3">
        <v>1</v>
      </c>
      <c r="C14" s="3">
        <v>93.665999999999997</v>
      </c>
      <c r="D14" s="3">
        <v>3.1</v>
      </c>
      <c r="E14" s="3">
        <v>1.2674379662784743</v>
      </c>
      <c r="F14" s="3">
        <v>92.534999999999997</v>
      </c>
      <c r="G14" s="3">
        <v>0.5</v>
      </c>
      <c r="H14" s="3">
        <v>1.2629462420142408</v>
      </c>
    </row>
    <row r="15" spans="1:8" x14ac:dyDescent="0.3">
      <c r="A15" s="2">
        <v>2019</v>
      </c>
      <c r="B15" s="3">
        <v>2</v>
      </c>
      <c r="C15" s="3">
        <v>99.381</v>
      </c>
      <c r="D15" s="3">
        <v>8.1999999999999993</v>
      </c>
      <c r="E15" s="3">
        <v>1.0324853230809425</v>
      </c>
      <c r="F15" s="3">
        <v>94.903999999999996</v>
      </c>
      <c r="G15" s="3">
        <v>3.4</v>
      </c>
      <c r="H15" s="3">
        <v>1.0864021875972092</v>
      </c>
    </row>
    <row r="16" spans="1:8" x14ac:dyDescent="0.3">
      <c r="A16" s="2">
        <v>2019</v>
      </c>
      <c r="B16" s="3">
        <v>3</v>
      </c>
      <c r="C16" s="3">
        <v>101.874</v>
      </c>
      <c r="D16" s="3">
        <v>-2</v>
      </c>
      <c r="E16" s="3">
        <v>0.81672882016560033</v>
      </c>
      <c r="F16" s="3">
        <v>102.328</v>
      </c>
      <c r="G16" s="3">
        <v>3.4</v>
      </c>
      <c r="H16" s="3">
        <v>0.9258127840425795</v>
      </c>
    </row>
    <row r="17" spans="1:8" x14ac:dyDescent="0.3">
      <c r="A17" s="2">
        <v>2019</v>
      </c>
      <c r="B17" s="3">
        <v>4</v>
      </c>
      <c r="C17" s="3">
        <v>98.046000000000006</v>
      </c>
      <c r="D17" s="3">
        <v>-0.3</v>
      </c>
      <c r="E17" s="3">
        <v>0.62484070640354017</v>
      </c>
      <c r="F17" s="3">
        <v>97.314999999999998</v>
      </c>
      <c r="G17" s="3">
        <v>-0.8</v>
      </c>
      <c r="H17" s="3">
        <v>0.78432857026541702</v>
      </c>
    </row>
    <row r="18" spans="1:8" x14ac:dyDescent="0.3">
      <c r="A18" s="2">
        <v>2019</v>
      </c>
      <c r="B18" s="3">
        <v>5</v>
      </c>
      <c r="C18" s="3">
        <v>102.129</v>
      </c>
      <c r="D18" s="3">
        <v>-0.8</v>
      </c>
      <c r="E18" s="3">
        <v>0.4612976244977875</v>
      </c>
      <c r="F18" s="3">
        <v>106.21899999999999</v>
      </c>
      <c r="G18" s="3">
        <v>0.7</v>
      </c>
      <c r="H18" s="3">
        <v>0.66527190373745071</v>
      </c>
    </row>
    <row r="19" spans="1:8" x14ac:dyDescent="0.3">
      <c r="A19" s="2">
        <v>2019</v>
      </c>
      <c r="B19" s="3">
        <v>6</v>
      </c>
      <c r="C19" s="3">
        <v>95.188999999999993</v>
      </c>
      <c r="D19" s="3">
        <v>-6</v>
      </c>
      <c r="E19" s="3">
        <v>0.33051199210231197</v>
      </c>
      <c r="F19" s="3">
        <v>98.900999999999996</v>
      </c>
      <c r="G19" s="3">
        <v>-5.2</v>
      </c>
      <c r="H19" s="3">
        <v>0.57185511911303011</v>
      </c>
    </row>
    <row r="20" spans="1:8" x14ac:dyDescent="0.3">
      <c r="A20" s="2">
        <v>2019</v>
      </c>
      <c r="B20" s="3">
        <v>7</v>
      </c>
      <c r="C20" s="3">
        <v>97.501999999999995</v>
      </c>
      <c r="D20" s="3">
        <v>-0.9</v>
      </c>
      <c r="E20" s="3">
        <v>0.23680863675827091</v>
      </c>
      <c r="F20" s="3">
        <v>105.968</v>
      </c>
      <c r="G20" s="3">
        <v>3</v>
      </c>
      <c r="H20" s="3">
        <v>0.50729296271985647</v>
      </c>
    </row>
    <row r="21" spans="1:8" x14ac:dyDescent="0.3">
      <c r="A21" s="2">
        <v>2019</v>
      </c>
      <c r="B21" s="3">
        <v>8</v>
      </c>
      <c r="C21" s="3">
        <v>78.521000000000001</v>
      </c>
      <c r="D21" s="3">
        <v>-3.1</v>
      </c>
      <c r="E21" s="3">
        <v>0.18407276711848117</v>
      </c>
      <c r="F21" s="3">
        <v>76.424999999999997</v>
      </c>
      <c r="G21" s="3">
        <v>-3.6</v>
      </c>
      <c r="H21" s="3">
        <v>0.47439935761347041</v>
      </c>
    </row>
    <row r="22" spans="1:8" x14ac:dyDescent="0.3">
      <c r="A22" s="2">
        <v>2019</v>
      </c>
      <c r="B22" s="3">
        <v>9</v>
      </c>
      <c r="C22" s="3">
        <v>92.090999999999994</v>
      </c>
      <c r="D22" s="3">
        <v>-3.4</v>
      </c>
      <c r="E22" s="3">
        <v>0.17611064679154029</v>
      </c>
      <c r="F22" s="3">
        <v>97.352999999999994</v>
      </c>
      <c r="G22" s="3">
        <v>1.2</v>
      </c>
      <c r="H22" s="3">
        <v>0.47616133150477902</v>
      </c>
    </row>
    <row r="23" spans="1:8" x14ac:dyDescent="0.3">
      <c r="A23" s="2">
        <v>2019</v>
      </c>
      <c r="B23" s="3">
        <v>10</v>
      </c>
      <c r="C23" s="3">
        <v>101.02800000000001</v>
      </c>
      <c r="D23" s="3">
        <v>-5.6</v>
      </c>
      <c r="E23" s="3">
        <v>0.21650047877721809</v>
      </c>
      <c r="F23" s="3">
        <v>106.86199999999999</v>
      </c>
      <c r="G23" s="3">
        <v>0.2</v>
      </c>
      <c r="H23" s="3">
        <v>0.51528296770485527</v>
      </c>
    </row>
    <row r="24" spans="1:8" x14ac:dyDescent="0.3">
      <c r="A24" s="2">
        <v>2019</v>
      </c>
      <c r="B24" s="3">
        <v>11</v>
      </c>
      <c r="C24" s="3">
        <v>93.128</v>
      </c>
      <c r="D24" s="3">
        <v>-11.6</v>
      </c>
      <c r="E24" s="3">
        <v>0.30857212505814613</v>
      </c>
      <c r="F24" s="3">
        <v>98.626999999999995</v>
      </c>
      <c r="G24" s="3">
        <v>-2.8</v>
      </c>
      <c r="H24" s="3">
        <v>0.59451861609897316</v>
      </c>
    </row>
    <row r="25" spans="1:8" x14ac:dyDescent="0.3">
      <c r="A25" s="2">
        <v>2019</v>
      </c>
      <c r="B25" s="3">
        <v>12</v>
      </c>
      <c r="C25" s="3">
        <v>85.968999999999994</v>
      </c>
      <c r="D25" s="3">
        <v>-0.8</v>
      </c>
      <c r="E25" s="3">
        <v>0.45525152397259644</v>
      </c>
      <c r="F25" s="3">
        <v>92.328999999999994</v>
      </c>
      <c r="G25" s="3">
        <v>4.8</v>
      </c>
      <c r="H25" s="3">
        <v>0.71660073192187168</v>
      </c>
    </row>
    <row r="26" spans="1:8" x14ac:dyDescent="0.3">
      <c r="A26" s="2">
        <v>2020</v>
      </c>
      <c r="B26" s="3">
        <v>1</v>
      </c>
      <c r="C26" s="3">
        <v>84.518000000000001</v>
      </c>
      <c r="D26" s="3">
        <v>-9.8000000000000007</v>
      </c>
      <c r="E26" s="3">
        <v>0.65863762968348971</v>
      </c>
      <c r="F26" s="3">
        <v>91.165999999999997</v>
      </c>
      <c r="G26" s="3">
        <v>-1.5</v>
      </c>
      <c r="H26" s="3">
        <v>0.88402603994883833</v>
      </c>
    </row>
    <row r="27" spans="1:8" x14ac:dyDescent="0.3">
      <c r="A27" s="2">
        <v>2020</v>
      </c>
      <c r="B27" s="3">
        <v>2</v>
      </c>
      <c r="C27" s="3">
        <v>88.477000000000004</v>
      </c>
      <c r="D27" s="3">
        <v>-11</v>
      </c>
      <c r="E27" s="3">
        <v>0.92074222610902623</v>
      </c>
      <c r="F27" s="3">
        <v>95.578999999999994</v>
      </c>
      <c r="G27" s="3">
        <v>0.7</v>
      </c>
      <c r="H27" s="3">
        <v>1.099574834348777</v>
      </c>
    </row>
    <row r="28" spans="1:8" x14ac:dyDescent="0.3">
      <c r="A28" s="2">
        <v>2020</v>
      </c>
      <c r="B28" s="3">
        <v>3</v>
      </c>
      <c r="C28" s="3">
        <v>85.483999999999995</v>
      </c>
      <c r="D28" s="3">
        <v>-16.100000000000001</v>
      </c>
      <c r="E28" s="3">
        <v>1.2428508028875673</v>
      </c>
      <c r="F28" s="3">
        <v>88.078999999999994</v>
      </c>
      <c r="G28" s="3">
        <v>-13.9</v>
      </c>
      <c r="H28" s="3">
        <v>1.3658618519267063</v>
      </c>
    </row>
    <row r="29" spans="1:8" x14ac:dyDescent="0.3">
      <c r="A29" s="2">
        <v>2020</v>
      </c>
      <c r="B29" s="3">
        <v>4</v>
      </c>
      <c r="C29" s="3">
        <v>58.384999999999998</v>
      </c>
      <c r="D29" s="3">
        <v>-40.5</v>
      </c>
      <c r="E29" s="3">
        <v>1.6254210203362167</v>
      </c>
      <c r="F29" s="3">
        <v>57.750999999999998</v>
      </c>
      <c r="G29" s="3">
        <v>-40.700000000000003</v>
      </c>
      <c r="H29" s="3">
        <v>1.6854740812352593</v>
      </c>
    </row>
    <row r="30" spans="1:8" x14ac:dyDescent="0.3">
      <c r="A30" s="2">
        <v>2020</v>
      </c>
      <c r="B30" s="3">
        <v>5</v>
      </c>
      <c r="C30" s="3">
        <v>70.962999999999994</v>
      </c>
      <c r="D30" s="3">
        <v>-30.5</v>
      </c>
      <c r="E30" s="3">
        <v>2.0677061741329887</v>
      </c>
      <c r="F30" s="3">
        <v>70.804000000000002</v>
      </c>
      <c r="G30" s="3">
        <v>-33.299999999999997</v>
      </c>
      <c r="H30" s="3">
        <v>2.0599383815317962</v>
      </c>
    </row>
    <row r="31" spans="1:8" x14ac:dyDescent="0.3">
      <c r="A31" s="2">
        <v>2020</v>
      </c>
      <c r="B31" s="3">
        <v>6</v>
      </c>
      <c r="C31" s="3">
        <v>84.54</v>
      </c>
      <c r="D31" s="3">
        <v>-11.2</v>
      </c>
      <c r="E31" s="3">
        <v>2.5660341834961522</v>
      </c>
      <c r="F31" s="3">
        <v>87.661000000000001</v>
      </c>
      <c r="G31" s="3">
        <v>-11.4</v>
      </c>
      <c r="H31" s="3">
        <v>2.4878381763735913</v>
      </c>
    </row>
    <row r="32" spans="1:8" x14ac:dyDescent="0.3">
      <c r="A32" s="2">
        <v>2020</v>
      </c>
      <c r="B32" s="3">
        <v>7</v>
      </c>
      <c r="C32" s="3">
        <v>84.923000000000002</v>
      </c>
      <c r="D32" s="3">
        <v>-12.9</v>
      </c>
      <c r="E32" s="3">
        <v>3.1144713213818838</v>
      </c>
      <c r="F32" s="3">
        <v>94.638999999999996</v>
      </c>
      <c r="G32" s="3">
        <v>-10.7</v>
      </c>
      <c r="H32" s="3">
        <v>2.965301338041423</v>
      </c>
    </row>
    <row r="33" spans="1:8" x14ac:dyDescent="0.3">
      <c r="A33" s="2">
        <v>2020</v>
      </c>
      <c r="B33" s="3">
        <v>8</v>
      </c>
      <c r="C33" s="3">
        <v>68.102999999999994</v>
      </c>
      <c r="D33" s="3">
        <v>-13.3</v>
      </c>
      <c r="E33" s="3">
        <v>3.7061278861502842</v>
      </c>
      <c r="F33" s="3">
        <v>68.765000000000001</v>
      </c>
      <c r="G33" s="3">
        <v>-10</v>
      </c>
      <c r="H33" s="3">
        <v>3.4874913056093773</v>
      </c>
    </row>
    <row r="34" spans="1:8" x14ac:dyDescent="0.3">
      <c r="A34" s="2">
        <v>2020</v>
      </c>
      <c r="B34" s="3">
        <v>9</v>
      </c>
      <c r="C34" s="3">
        <v>92.343000000000004</v>
      </c>
      <c r="D34" s="3">
        <v>0.3</v>
      </c>
      <c r="E34" s="3">
        <v>4.3330020600974697</v>
      </c>
      <c r="F34" s="3">
        <v>94.367000000000004</v>
      </c>
      <c r="G34" s="3">
        <v>-3.1</v>
      </c>
      <c r="H34" s="3">
        <v>4.0486225388919532</v>
      </c>
    </row>
    <row r="35" spans="1:8" x14ac:dyDescent="0.3">
      <c r="A35" s="2">
        <v>2020</v>
      </c>
      <c r="B35" s="3">
        <v>10</v>
      </c>
      <c r="C35" s="3">
        <v>95.728999999999999</v>
      </c>
      <c r="D35" s="3">
        <v>-5.2</v>
      </c>
      <c r="E35" s="3">
        <v>4.9859110444163512</v>
      </c>
      <c r="F35" s="3">
        <v>97.438000000000002</v>
      </c>
      <c r="G35" s="3">
        <v>-8.8000000000000007</v>
      </c>
      <c r="H35" s="3">
        <v>4.6419728663629831</v>
      </c>
    </row>
    <row r="36" spans="1:8" x14ac:dyDescent="0.3">
      <c r="A36" s="2">
        <v>2020</v>
      </c>
      <c r="B36" s="3">
        <v>11</v>
      </c>
      <c r="C36" s="3">
        <v>92.766000000000005</v>
      </c>
      <c r="D36" s="3">
        <v>-0.4</v>
      </c>
      <c r="E36" s="3">
        <v>5.6553919707123343</v>
      </c>
      <c r="F36" s="3">
        <v>96.334999999999994</v>
      </c>
      <c r="G36" s="3">
        <v>-2.2999999999999998</v>
      </c>
      <c r="H36" s="3">
        <v>5.2603236843755434</v>
      </c>
    </row>
    <row r="37" spans="1:8" x14ac:dyDescent="0.3">
      <c r="A37" s="2">
        <v>2020</v>
      </c>
      <c r="B37" s="3">
        <v>12</v>
      </c>
      <c r="C37" s="3">
        <v>84.974999999999994</v>
      </c>
      <c r="D37" s="3">
        <v>-1.2</v>
      </c>
      <c r="E37" s="3">
        <v>6.3312746156571853</v>
      </c>
      <c r="F37" s="3">
        <v>90.515000000000001</v>
      </c>
      <c r="G37" s="3">
        <v>-2</v>
      </c>
      <c r="H37" s="3">
        <v>5.8955229189447689</v>
      </c>
    </row>
    <row r="38" spans="1:8" x14ac:dyDescent="0.3">
      <c r="A38" s="2">
        <v>2021</v>
      </c>
      <c r="B38" s="3">
        <v>1</v>
      </c>
      <c r="C38" s="3">
        <v>84.018000000000001</v>
      </c>
      <c r="D38" s="3">
        <v>-0.6</v>
      </c>
      <c r="E38" s="3">
        <v>7.0029682425913711</v>
      </c>
      <c r="F38" s="3">
        <v>82.075000000000003</v>
      </c>
      <c r="G38" s="3">
        <v>-10</v>
      </c>
      <c r="H38" s="3">
        <v>6.5388934736077111</v>
      </c>
    </row>
    <row r="39" spans="1:8" x14ac:dyDescent="0.3">
      <c r="A39" s="2">
        <v>2021</v>
      </c>
      <c r="B39" s="3">
        <v>2</v>
      </c>
      <c r="C39" s="3">
        <v>90.93</v>
      </c>
      <c r="D39" s="3">
        <v>2.8</v>
      </c>
      <c r="E39" s="3">
        <v>7.6593591096737139</v>
      </c>
      <c r="F39" s="3">
        <v>90.63</v>
      </c>
      <c r="G39" s="3">
        <v>-5.2</v>
      </c>
      <c r="H39" s="3">
        <v>7.1812099516987171</v>
      </c>
    </row>
    <row r="40" spans="1:8" x14ac:dyDescent="0.3">
      <c r="A40" s="2">
        <v>2021</v>
      </c>
      <c r="B40" s="3">
        <v>3</v>
      </c>
      <c r="C40" s="3">
        <v>108.812</v>
      </c>
      <c r="D40" s="3">
        <v>27.3</v>
      </c>
      <c r="E40" s="3">
        <v>8.2888054911573033</v>
      </c>
      <c r="F40" s="3">
        <v>107.664</v>
      </c>
      <c r="G40" s="3">
        <v>22.2</v>
      </c>
      <c r="H40" s="3">
        <v>7.8120984222831327</v>
      </c>
    </row>
    <row r="41" spans="1:8" x14ac:dyDescent="0.3">
      <c r="A41" s="2">
        <v>2021</v>
      </c>
      <c r="B41" s="3">
        <v>4</v>
      </c>
      <c r="C41" s="3">
        <v>95.423000000000002</v>
      </c>
      <c r="D41" s="3">
        <v>63.4</v>
      </c>
      <c r="E41" s="3">
        <v>8.8793282058014995</v>
      </c>
      <c r="F41" s="3">
        <v>97.349000000000004</v>
      </c>
      <c r="G41" s="3">
        <v>68.599999999999994</v>
      </c>
      <c r="H41" s="3">
        <v>8.4203251481796588</v>
      </c>
    </row>
    <row r="42" spans="1:8" x14ac:dyDescent="0.3">
      <c r="A42" s="2">
        <v>2021</v>
      </c>
      <c r="B42" s="3">
        <v>5</v>
      </c>
      <c r="C42" s="3">
        <v>100.508</v>
      </c>
      <c r="D42" s="3">
        <v>41.6</v>
      </c>
      <c r="E42" s="3">
        <v>9.4202682942065543</v>
      </c>
      <c r="F42" s="3">
        <v>100.271</v>
      </c>
      <c r="G42" s="3">
        <v>41.6</v>
      </c>
      <c r="H42" s="3">
        <v>8.995655552038782</v>
      </c>
    </row>
    <row r="43" spans="1:8" ht="14.25" customHeight="1" x14ac:dyDescent="0.3">
      <c r="A43" s="2">
        <v>2021</v>
      </c>
      <c r="B43" s="3">
        <v>6</v>
      </c>
      <c r="C43" s="3">
        <v>101.96599999999999</v>
      </c>
      <c r="D43" s="3">
        <v>20.6</v>
      </c>
      <c r="E43" s="3">
        <v>9.9047529547362068</v>
      </c>
      <c r="F43" s="3">
        <v>104.321</v>
      </c>
      <c r="G43" s="3">
        <v>19</v>
      </c>
      <c r="H43" s="3">
        <v>9.5320342005979217</v>
      </c>
    </row>
    <row r="44" spans="1:8" x14ac:dyDescent="0.3">
      <c r="A44" s="2">
        <v>2021</v>
      </c>
      <c r="B44" s="3">
        <v>7</v>
      </c>
      <c r="C44" s="3">
        <v>101.066</v>
      </c>
      <c r="D44" s="3">
        <v>19</v>
      </c>
      <c r="E44" s="3">
        <v>10.328144089344876</v>
      </c>
      <c r="F44" s="3">
        <v>104.64</v>
      </c>
      <c r="G44" s="3">
        <v>10.6</v>
      </c>
      <c r="H44" s="3">
        <v>10.025669851181162</v>
      </c>
    </row>
    <row r="45" spans="1:8" x14ac:dyDescent="0.3">
      <c r="A45" s="2">
        <v>2021</v>
      </c>
      <c r="B45" s="3">
        <v>8</v>
      </c>
      <c r="C45" s="3">
        <v>86.897999999999996</v>
      </c>
      <c r="D45" s="3">
        <v>27.6</v>
      </c>
      <c r="E45" s="3">
        <v>10.686546325476236</v>
      </c>
      <c r="F45" s="3">
        <v>80.739999999999995</v>
      </c>
      <c r="G45" s="3">
        <v>17.399999999999999</v>
      </c>
      <c r="H45" s="3">
        <v>10.473428758737546</v>
      </c>
    </row>
    <row r="46" spans="1:8" x14ac:dyDescent="0.3">
      <c r="A46" s="2">
        <v>2021</v>
      </c>
      <c r="B46" s="3">
        <v>9</v>
      </c>
      <c r="C46" s="3">
        <v>109.874</v>
      </c>
      <c r="D46" s="3">
        <v>19</v>
      </c>
      <c r="E46" s="3">
        <v>10.976666502789975</v>
      </c>
      <c r="F46" s="3">
        <v>105.822</v>
      </c>
      <c r="G46" s="3">
        <v>12.1</v>
      </c>
      <c r="H46" s="3">
        <v>10.872217062254231</v>
      </c>
    </row>
    <row r="47" spans="1:8" x14ac:dyDescent="0.3">
      <c r="A47" s="2">
        <v>2021</v>
      </c>
      <c r="B47" s="3">
        <v>10</v>
      </c>
      <c r="C47" s="3">
        <v>111.67</v>
      </c>
      <c r="D47" s="3">
        <v>16.7</v>
      </c>
      <c r="E47" s="3">
        <v>11.196386006339848</v>
      </c>
      <c r="F47" s="3">
        <v>104.738</v>
      </c>
      <c r="G47" s="3">
        <v>7.5</v>
      </c>
      <c r="H47" s="3">
        <v>11.21942191261013</v>
      </c>
    </row>
    <row r="48" spans="1:8" x14ac:dyDescent="0.3">
      <c r="A48" s="2">
        <v>2021</v>
      </c>
      <c r="B48" s="3">
        <v>11</v>
      </c>
      <c r="C48" s="3">
        <v>110.104</v>
      </c>
      <c r="D48" s="3">
        <v>18.7</v>
      </c>
      <c r="E48" s="3">
        <v>11.344143397116916</v>
      </c>
      <c r="F48" s="3">
        <v>114.70399999999999</v>
      </c>
      <c r="G48" s="3">
        <v>19.100000000000001</v>
      </c>
      <c r="H48" s="3">
        <v>11.512515723388164</v>
      </c>
    </row>
    <row r="49" spans="1:8" x14ac:dyDescent="0.3">
      <c r="A49" s="2">
        <v>2021</v>
      </c>
      <c r="B49" s="3">
        <v>12</v>
      </c>
      <c r="C49" s="3">
        <v>98.73</v>
      </c>
      <c r="D49" s="3">
        <v>16.2</v>
      </c>
      <c r="E49" s="3">
        <v>11.418759431528466</v>
      </c>
      <c r="F49" s="3">
        <v>107.047</v>
      </c>
      <c r="G49" s="3">
        <v>18.3</v>
      </c>
      <c r="H49" s="3">
        <v>11.74871261498288</v>
      </c>
    </row>
    <row r="50" spans="1:8" x14ac:dyDescent="0.3">
      <c r="A50" s="2">
        <v>2022</v>
      </c>
      <c r="B50" s="3">
        <v>1</v>
      </c>
      <c r="C50" s="3">
        <v>103.381</v>
      </c>
      <c r="D50" s="3">
        <v>23</v>
      </c>
      <c r="E50" s="3">
        <v>11.419565689356986</v>
      </c>
      <c r="F50" s="3">
        <v>99.915000000000006</v>
      </c>
      <c r="G50" s="3">
        <v>21.7</v>
      </c>
      <c r="H50" s="3">
        <v>11.925753616419144</v>
      </c>
    </row>
    <row r="51" spans="1:8" x14ac:dyDescent="0.3">
      <c r="A51" s="2">
        <v>2022</v>
      </c>
      <c r="B51" s="3">
        <v>2</v>
      </c>
      <c r="C51" s="3">
        <v>115.94199999999999</v>
      </c>
      <c r="D51" s="3">
        <v>27.5</v>
      </c>
      <c r="E51" s="3">
        <v>11.346225780979998</v>
      </c>
      <c r="F51" s="3">
        <v>109.309</v>
      </c>
      <c r="G51" s="3">
        <v>20.6</v>
      </c>
      <c r="H51" s="3">
        <v>12.041834707234667</v>
      </c>
    </row>
    <row r="52" spans="1:8" x14ac:dyDescent="0.3">
      <c r="A52" s="2">
        <v>2022</v>
      </c>
      <c r="B52" s="3">
        <v>3</v>
      </c>
      <c r="C52" s="3">
        <v>117.13200000000001</v>
      </c>
      <c r="D52" s="3">
        <v>7.6</v>
      </c>
      <c r="E52" s="3">
        <v>11.199207513602145</v>
      </c>
      <c r="F52" s="3">
        <v>122.98099999999999</v>
      </c>
      <c r="G52" s="3">
        <v>14.2</v>
      </c>
      <c r="H52" s="3">
        <v>12.095830634077132</v>
      </c>
    </row>
    <row r="53" spans="1:8" x14ac:dyDescent="0.3">
      <c r="A53" s="2">
        <v>2022</v>
      </c>
      <c r="B53" s="3">
        <v>4</v>
      </c>
      <c r="C53" s="3">
        <v>127.245</v>
      </c>
      <c r="D53" s="3">
        <v>33.299999999999997</v>
      </c>
      <c r="E53" s="3">
        <v>10.980100484304394</v>
      </c>
      <c r="F53" s="3">
        <v>119.70699999999999</v>
      </c>
      <c r="G53" s="3">
        <v>23</v>
      </c>
      <c r="H53" s="3">
        <v>12.087210460628439</v>
      </c>
    </row>
    <row r="54" spans="1:8" x14ac:dyDescent="0.3">
      <c r="A54" s="2">
        <v>2022</v>
      </c>
      <c r="B54" s="3">
        <v>5</v>
      </c>
      <c r="C54" s="3">
        <v>138.828</v>
      </c>
      <c r="D54" s="3">
        <v>38.1</v>
      </c>
      <c r="E54" s="3">
        <v>10.690244345201489</v>
      </c>
      <c r="F54" s="3">
        <v>132.75700000000001</v>
      </c>
      <c r="G54" s="3">
        <v>32.4</v>
      </c>
      <c r="H54" s="3">
        <v>12.015589373443127</v>
      </c>
    </row>
    <row r="55" spans="1:8" x14ac:dyDescent="0.3">
      <c r="A55" s="2">
        <v>2022</v>
      </c>
      <c r="B55" s="3">
        <v>6</v>
      </c>
      <c r="C55" s="3">
        <v>126.979</v>
      </c>
      <c r="D55" s="3">
        <v>24.5</v>
      </c>
      <c r="E55" s="3">
        <v>10.332528741430098</v>
      </c>
      <c r="F55" s="3">
        <v>137.261</v>
      </c>
      <c r="G55" s="3">
        <v>31.6</v>
      </c>
      <c r="H55" s="3">
        <v>11.881340391682636</v>
      </c>
    </row>
    <row r="56" spans="1:8" x14ac:dyDescent="0.3">
      <c r="A56" s="2">
        <v>2022</v>
      </c>
      <c r="B56" s="3">
        <v>7</v>
      </c>
      <c r="C56" s="3">
        <v>123.73099999999999</v>
      </c>
      <c r="D56" s="3">
        <v>22.4</v>
      </c>
      <c r="E56" s="3">
        <v>9.9117467733806937</v>
      </c>
      <c r="F56" s="3">
        <v>126.413</v>
      </c>
      <c r="G56" s="3">
        <v>20.8</v>
      </c>
      <c r="H56" s="3">
        <v>11.686252118579693</v>
      </c>
    </row>
    <row r="57" spans="1:8" x14ac:dyDescent="0.3">
      <c r="A57" s="2">
        <v>2022</v>
      </c>
      <c r="B57" s="3">
        <v>8</v>
      </c>
      <c r="C57" s="3">
        <v>104.07</v>
      </c>
      <c r="D57" s="3">
        <v>19.8</v>
      </c>
      <c r="E57" s="3">
        <v>9.4336753936144842</v>
      </c>
      <c r="F57" s="3">
        <v>103.465</v>
      </c>
      <c r="G57" s="3">
        <v>28.1</v>
      </c>
      <c r="H57" s="3">
        <v>11.433482508728718</v>
      </c>
    </row>
    <row r="58" spans="1:8" x14ac:dyDescent="0.3">
      <c r="A58" s="2">
        <v>2022</v>
      </c>
      <c r="B58" s="3">
        <v>9</v>
      </c>
      <c r="C58" s="3">
        <v>122.88</v>
      </c>
      <c r="D58" s="3">
        <v>11.8</v>
      </c>
      <c r="E58" s="3">
        <v>8.9049587945000788</v>
      </c>
      <c r="F58" s="3">
        <v>128.916</v>
      </c>
      <c r="G58" s="3">
        <v>21.8</v>
      </c>
      <c r="H58" s="3">
        <v>11.126822415882559</v>
      </c>
    </row>
    <row r="59" spans="1:8" x14ac:dyDescent="0.3">
      <c r="A59" s="2">
        <v>2022</v>
      </c>
      <c r="B59" s="3">
        <v>10</v>
      </c>
      <c r="C59" s="3">
        <v>121.176</v>
      </c>
      <c r="D59" s="3">
        <v>8.5</v>
      </c>
      <c r="E59" s="3">
        <v>8.3329610520593107</v>
      </c>
      <c r="F59" s="3">
        <v>122.869</v>
      </c>
      <c r="G59" s="3">
        <v>17.3</v>
      </c>
      <c r="H59" s="3">
        <v>10.771220090842071</v>
      </c>
    </row>
    <row r="60" spans="1:8" x14ac:dyDescent="0.3">
      <c r="A60" s="2">
        <v>2022</v>
      </c>
      <c r="B60" s="3">
        <v>11</v>
      </c>
      <c r="C60" s="3">
        <v>126.227</v>
      </c>
      <c r="D60" s="3">
        <v>14.6</v>
      </c>
      <c r="E60" s="3">
        <v>7.72524728684217</v>
      </c>
      <c r="F60" s="3">
        <v>129.76400000000001</v>
      </c>
      <c r="G60" s="3">
        <v>13.1</v>
      </c>
      <c r="H60" s="3">
        <v>10.372364977295891</v>
      </c>
    </row>
    <row r="61" spans="1:8" x14ac:dyDescent="0.3">
      <c r="A61" s="2">
        <v>2022</v>
      </c>
      <c r="B61" s="3">
        <v>12</v>
      </c>
      <c r="C61" s="3">
        <v>107.184</v>
      </c>
      <c r="D61" s="3">
        <v>8.6</v>
      </c>
      <c r="E61" s="3">
        <v>7.0893942193255874</v>
      </c>
      <c r="F61" s="3">
        <v>117.943</v>
      </c>
      <c r="G61" s="3">
        <v>10.199999999999999</v>
      </c>
      <c r="H61" s="3">
        <v>9.9363999064263524</v>
      </c>
    </row>
    <row r="62" spans="1:8" x14ac:dyDescent="0.3">
      <c r="A62" s="2">
        <v>2023</v>
      </c>
      <c r="B62" s="3">
        <v>1</v>
      </c>
      <c r="C62" s="3">
        <v>111.381</v>
      </c>
      <c r="D62" s="3">
        <v>7.7</v>
      </c>
      <c r="E62" s="3">
        <v>6.4334559833693508</v>
      </c>
      <c r="F62" s="3">
        <v>112.01900000000001</v>
      </c>
      <c r="G62" s="3">
        <v>12.1</v>
      </c>
      <c r="H62" s="3">
        <v>9.4696571285145819</v>
      </c>
    </row>
    <row r="63" spans="1:8" x14ac:dyDescent="0.3">
      <c r="A63" s="2">
        <v>2023</v>
      </c>
      <c r="B63" s="3">
        <v>2</v>
      </c>
      <c r="C63" s="3">
        <v>114.43899999999999</v>
      </c>
      <c r="D63" s="3">
        <v>-1.3</v>
      </c>
      <c r="E63" s="3">
        <v>5.7655916160124603</v>
      </c>
      <c r="F63" s="3">
        <v>117.67100000000001</v>
      </c>
      <c r="G63" s="3">
        <v>7.6</v>
      </c>
      <c r="H63" s="3">
        <v>8.9784871994037623</v>
      </c>
    </row>
    <row r="64" spans="1:8" x14ac:dyDescent="0.3">
      <c r="A64" s="2">
        <v>2023</v>
      </c>
      <c r="B64" s="3">
        <v>3</v>
      </c>
      <c r="C64" s="3">
        <v>132.71100000000001</v>
      </c>
      <c r="D64" s="3">
        <v>13.3</v>
      </c>
      <c r="E64" s="3">
        <v>5.094048108739516</v>
      </c>
      <c r="F64" s="3">
        <v>134.86199999999999</v>
      </c>
      <c r="G64" s="3">
        <v>9.6999999999999993</v>
      </c>
      <c r="H64" s="3">
        <v>8.4694233376364867</v>
      </c>
    </row>
    <row r="65" spans="1:8" x14ac:dyDescent="0.3">
      <c r="A65" s="2">
        <v>2023</v>
      </c>
      <c r="B65" s="3">
        <v>4</v>
      </c>
      <c r="C65" s="3">
        <v>112.36</v>
      </c>
      <c r="D65" s="3">
        <v>-11.7</v>
      </c>
      <c r="E65" s="3">
        <v>4.4265817869506732</v>
      </c>
      <c r="F65" s="3">
        <v>110.404</v>
      </c>
      <c r="G65" s="3">
        <v>-7.8</v>
      </c>
      <c r="H65" s="3">
        <v>7.9489030334776105</v>
      </c>
    </row>
    <row r="66" spans="1:8" x14ac:dyDescent="0.3">
      <c r="A66" s="2">
        <v>2023</v>
      </c>
      <c r="B66" s="3">
        <v>5</v>
      </c>
      <c r="C66" s="3">
        <v>124.279</v>
      </c>
      <c r="D66" s="3">
        <v>-10.5</v>
      </c>
      <c r="E66" s="3">
        <v>3.7715188338163141</v>
      </c>
      <c r="F66" s="3">
        <v>129.71700000000001</v>
      </c>
      <c r="G66" s="3">
        <v>-2.2999999999999998</v>
      </c>
      <c r="H66" s="3">
        <v>7.4234492339046554</v>
      </c>
    </row>
    <row r="67" spans="1:8" x14ac:dyDescent="0.3">
      <c r="A67" s="2">
        <v>2023</v>
      </c>
      <c r="B67" s="3">
        <v>6</v>
      </c>
      <c r="C67" s="3">
        <v>117.857</v>
      </c>
      <c r="D67" s="3">
        <v>-7.2</v>
      </c>
      <c r="E67" s="3">
        <v>3.1360655309938386</v>
      </c>
      <c r="F67" s="3">
        <v>128.24700000000001</v>
      </c>
      <c r="G67" s="3">
        <v>-6.6</v>
      </c>
      <c r="H67" s="3">
        <v>6.898491212073373</v>
      </c>
    </row>
    <row r="68" spans="1:8" x14ac:dyDescent="0.3">
      <c r="A68" s="2">
        <v>2023</v>
      </c>
      <c r="B68" s="3">
        <v>7</v>
      </c>
      <c r="C68" s="3">
        <v>105.37</v>
      </c>
      <c r="D68" s="3">
        <v>-14.8</v>
      </c>
      <c r="E68" s="3">
        <v>2.5264370824438536</v>
      </c>
      <c r="F68" s="3">
        <v>119.846</v>
      </c>
      <c r="G68" s="3">
        <v>-5.2</v>
      </c>
      <c r="H68" s="3">
        <v>6.3787830016093823</v>
      </c>
    </row>
    <row r="69" spans="1:8" x14ac:dyDescent="0.3">
      <c r="A69" s="2">
        <v>2023</v>
      </c>
      <c r="B69" s="3">
        <v>8</v>
      </c>
      <c r="C69" s="3">
        <v>87.391000000000005</v>
      </c>
      <c r="D69" s="3">
        <v>-16</v>
      </c>
      <c r="E69" s="3">
        <v>1.9481309097984256</v>
      </c>
      <c r="F69" s="3">
        <v>96.948999999999998</v>
      </c>
      <c r="G69" s="3">
        <v>-6.3</v>
      </c>
      <c r="H69" s="3">
        <v>5.8681412409152394</v>
      </c>
    </row>
    <row r="70" spans="1:8" x14ac:dyDescent="0.3">
      <c r="A70" s="2">
        <v>2023</v>
      </c>
      <c r="B70" s="3">
        <v>9</v>
      </c>
      <c r="C70" s="3">
        <v>104.815</v>
      </c>
      <c r="D70" s="3">
        <v>-14.7</v>
      </c>
      <c r="E70" s="3">
        <v>1.4054412098922289</v>
      </c>
      <c r="F70" s="3">
        <v>121.672</v>
      </c>
      <c r="G70" s="3">
        <v>-5.6</v>
      </c>
      <c r="H70" s="3">
        <v>5.3695784862406128</v>
      </c>
    </row>
    <row r="71" spans="1:8" x14ac:dyDescent="0.3">
      <c r="A71" s="2">
        <v>2023</v>
      </c>
      <c r="B71" s="3">
        <v>10</v>
      </c>
      <c r="C71" s="3">
        <v>110.012</v>
      </c>
      <c r="D71" s="3">
        <v>-9.1999999999999993</v>
      </c>
      <c r="E71" s="3">
        <v>0.90141578158009006</v>
      </c>
      <c r="F71" s="3">
        <v>122.852</v>
      </c>
      <c r="G71" s="3">
        <v>0</v>
      </c>
      <c r="H71" s="3">
        <v>4.8852622840267728</v>
      </c>
    </row>
    <row r="72" spans="1:8" x14ac:dyDescent="0.3">
      <c r="A72" s="2">
        <v>2023</v>
      </c>
      <c r="B72" s="3">
        <v>11</v>
      </c>
      <c r="C72" s="3">
        <v>110.173</v>
      </c>
      <c r="D72" s="3">
        <v>-12.7</v>
      </c>
      <c r="E72" s="3">
        <v>0.43798399029948276</v>
      </c>
      <c r="F72" s="3">
        <v>127.30800000000001</v>
      </c>
      <c r="G72" s="3">
        <v>-1.9</v>
      </c>
      <c r="H72" s="3">
        <v>4.4165984044312232</v>
      </c>
    </row>
    <row r="73" spans="1:8" x14ac:dyDescent="0.3">
      <c r="A73" s="2">
        <v>2023</v>
      </c>
      <c r="B73" s="3">
        <v>12</v>
      </c>
      <c r="C73" s="3">
        <v>87.156000000000006</v>
      </c>
      <c r="D73" s="3">
        <v>-18.7</v>
      </c>
      <c r="E73" s="3">
        <v>1.6373714280826335E-2</v>
      </c>
      <c r="F73" s="3">
        <v>108.524</v>
      </c>
      <c r="G73" s="3">
        <v>-8</v>
      </c>
      <c r="H73" s="3">
        <v>3.9646533632861889</v>
      </c>
    </row>
    <row r="74" spans="1:8" x14ac:dyDescent="0.3">
      <c r="A74" s="2">
        <v>2024</v>
      </c>
      <c r="B74" s="3">
        <v>1</v>
      </c>
      <c r="C74" s="3">
        <v>104.821</v>
      </c>
      <c r="D74" s="3">
        <v>-5.9</v>
      </c>
      <c r="E74" s="3">
        <v>-0.36309952824478636</v>
      </c>
      <c r="F74" s="3">
        <v>113.53100000000001</v>
      </c>
      <c r="G74" s="3">
        <v>1.3</v>
      </c>
      <c r="H74" s="3">
        <v>3.530055023756919</v>
      </c>
    </row>
    <row r="75" spans="1:8" x14ac:dyDescent="0.3">
      <c r="A75" s="2">
        <v>2024</v>
      </c>
      <c r="B75" s="3">
        <v>2</v>
      </c>
      <c r="C75" s="3">
        <v>111.345</v>
      </c>
      <c r="D75" s="3">
        <v>-2.7</v>
      </c>
      <c r="E75" s="3">
        <v>-0.7014199672208653</v>
      </c>
      <c r="F75" s="3">
        <v>119.21899999999999</v>
      </c>
      <c r="G75" s="3">
        <v>1.3</v>
      </c>
      <c r="H75" s="3">
        <v>3.1126003703028795</v>
      </c>
    </row>
    <row r="76" spans="1:8" x14ac:dyDescent="0.3">
      <c r="A76" s="2">
        <v>2024</v>
      </c>
      <c r="B76" s="3">
        <v>3</v>
      </c>
      <c r="C76" s="3">
        <v>110.456</v>
      </c>
      <c r="D76" s="3">
        <v>-16.8</v>
      </c>
      <c r="E76" s="3">
        <v>-0.99995633956812568</v>
      </c>
      <c r="F76" s="3">
        <v>118.367</v>
      </c>
      <c r="G76" s="3">
        <v>-12.2</v>
      </c>
      <c r="H76" s="3">
        <v>2.7119315224513305</v>
      </c>
    </row>
    <row r="77" spans="1:8" x14ac:dyDescent="0.3">
      <c r="A77" s="2">
        <v>2024</v>
      </c>
      <c r="B77" s="3">
        <v>4</v>
      </c>
      <c r="C77" s="3">
        <v>113.506</v>
      </c>
      <c r="D77" s="3">
        <v>1</v>
      </c>
      <c r="E77" s="3">
        <v>-1.2602161724873369</v>
      </c>
      <c r="F77" s="3">
        <v>125.764</v>
      </c>
      <c r="G77" s="3">
        <v>13.9</v>
      </c>
      <c r="H77" s="3">
        <v>2.3275647247038167</v>
      </c>
    </row>
    <row r="78" spans="1:8" x14ac:dyDescent="0.3">
      <c r="A78" s="2">
        <v>2024</v>
      </c>
      <c r="B78" s="3">
        <v>5</v>
      </c>
      <c r="C78" s="3">
        <v>110.508</v>
      </c>
      <c r="D78" s="3">
        <v>-11.1</v>
      </c>
      <c r="E78" s="3">
        <v>-1.4848042184334649</v>
      </c>
      <c r="F78" s="3">
        <v>128.02500000000001</v>
      </c>
      <c r="G78" s="3">
        <v>-1.3</v>
      </c>
      <c r="H78" s="3">
        <v>1.957980670761712</v>
      </c>
    </row>
    <row r="79" spans="1:8" x14ac:dyDescent="0.3">
      <c r="A79" s="2">
        <v>2024</v>
      </c>
      <c r="B79" s="3">
        <v>6</v>
      </c>
      <c r="C79" s="3">
        <v>105.334</v>
      </c>
      <c r="D79" s="3">
        <v>-10.6</v>
      </c>
      <c r="E79" s="3">
        <v>-1.6761682704050533</v>
      </c>
      <c r="F79" s="3">
        <v>121.751</v>
      </c>
      <c r="G79" s="3">
        <v>-5.0999999999999996</v>
      </c>
      <c r="H79" s="3">
        <v>1.6024636956649527</v>
      </c>
    </row>
    <row r="80" spans="1:8" x14ac:dyDescent="0.3">
      <c r="A80" s="2">
        <v>2024</v>
      </c>
      <c r="B80" s="3">
        <v>7</v>
      </c>
      <c r="C80" s="3">
        <v>108.98399999999999</v>
      </c>
      <c r="D80" s="3">
        <v>3.4</v>
      </c>
      <c r="E80" s="3">
        <v>-1.8374238433299215</v>
      </c>
      <c r="F80" s="3">
        <v>126.321</v>
      </c>
      <c r="G80" s="3">
        <v>5.4</v>
      </c>
      <c r="H80" s="3">
        <v>1.2600718857957833</v>
      </c>
    </row>
    <row r="81" spans="1:8" x14ac:dyDescent="0.3">
      <c r="A81" s="2">
        <v>2024</v>
      </c>
      <c r="B81" s="3">
        <v>8</v>
      </c>
      <c r="C81" s="3">
        <v>85.468999999999994</v>
      </c>
      <c r="D81" s="3">
        <v>-2.2000000000000002</v>
      </c>
      <c r="E81" s="3">
        <v>-1.9723061626726657</v>
      </c>
      <c r="F81" s="3">
        <v>92.772999999999996</v>
      </c>
      <c r="G81" s="3">
        <v>-4.3</v>
      </c>
      <c r="H81" s="3">
        <v>0.92939787866869372</v>
      </c>
    </row>
    <row r="82" spans="1:8" x14ac:dyDescent="0.3">
      <c r="A82" s="2">
        <v>2024</v>
      </c>
      <c r="B82" s="3">
        <v>9</v>
      </c>
      <c r="C82" s="3">
        <v>103.893</v>
      </c>
      <c r="D82" s="3">
        <v>-0.9</v>
      </c>
      <c r="E82" s="3">
        <v>-2.0841867439087625</v>
      </c>
      <c r="F82" s="3">
        <v>120.02800000000001</v>
      </c>
      <c r="G82" s="3">
        <v>-1.4</v>
      </c>
      <c r="H82" s="3">
        <v>0.60932180680610493</v>
      </c>
    </row>
    <row r="83" spans="1:8" x14ac:dyDescent="0.3">
      <c r="A83" s="2">
        <v>2024</v>
      </c>
      <c r="B83" s="3">
        <v>10</v>
      </c>
      <c r="C83" s="3">
        <v>115.955</v>
      </c>
      <c r="D83" s="3">
        <v>5.4</v>
      </c>
      <c r="E83" s="3">
        <v>-2.1764529145857252</v>
      </c>
      <c r="F83" s="3">
        <v>128.529</v>
      </c>
      <c r="G83" s="3">
        <v>4.5999999999999996</v>
      </c>
      <c r="H83" s="3">
        <v>0.29836065009997453</v>
      </c>
    </row>
    <row r="84" spans="1:8" x14ac:dyDescent="0.3">
      <c r="A84" s="2">
        <v>2024</v>
      </c>
      <c r="B84" s="3">
        <v>11</v>
      </c>
      <c r="C84" s="3">
        <v>103.875</v>
      </c>
      <c r="D84" s="3">
        <v>-5.7</v>
      </c>
      <c r="E84" s="3">
        <v>-2.2524097670605179</v>
      </c>
      <c r="F84" s="3">
        <v>124.81</v>
      </c>
      <c r="G84" s="3">
        <v>-2</v>
      </c>
      <c r="H84" s="3">
        <v>-5.1081477943236472E-3</v>
      </c>
    </row>
    <row r="85" spans="1:8" x14ac:dyDescent="0.3">
      <c r="A85" s="2">
        <v>2024</v>
      </c>
      <c r="B85" s="3">
        <v>12</v>
      </c>
      <c r="C85" s="3">
        <v>92.747</v>
      </c>
      <c r="D85" s="3">
        <v>6.4</v>
      </c>
      <c r="E85" s="3">
        <v>-2.3148362511265916</v>
      </c>
      <c r="F85" s="3">
        <v>116.215</v>
      </c>
      <c r="G85" s="3">
        <v>7.1</v>
      </c>
      <c r="H85" s="3">
        <v>-0.30240841826656151</v>
      </c>
    </row>
    <row r="86" spans="1:8" x14ac:dyDescent="0.3">
      <c r="A86" s="2">
        <v>2025</v>
      </c>
      <c r="B86" s="3">
        <v>1</v>
      </c>
      <c r="C86" s="3">
        <v>104.803</v>
      </c>
      <c r="D86" s="3">
        <v>0</v>
      </c>
      <c r="E86" s="3">
        <v>-2.3667507325657966</v>
      </c>
      <c r="F86" s="3">
        <v>112.91500000000001</v>
      </c>
      <c r="G86" s="3">
        <v>-0.5</v>
      </c>
      <c r="H86" s="3">
        <v>-0.59500252686291411</v>
      </c>
    </row>
    <row r="87" spans="1:8" x14ac:dyDescent="0.3">
      <c r="A87" s="2">
        <v>2025</v>
      </c>
      <c r="B87" s="3">
        <v>2</v>
      </c>
      <c r="C87" s="3">
        <v>106.107</v>
      </c>
      <c r="D87" s="3">
        <v>-4.7</v>
      </c>
      <c r="E87" s="3">
        <v>-2.4105663801980985</v>
      </c>
      <c r="F87" s="3">
        <v>119.61799999999999</v>
      </c>
      <c r="G87" s="3">
        <v>0.3</v>
      </c>
      <c r="H87" s="3">
        <v>-0.883838782989399</v>
      </c>
    </row>
    <row r="88" spans="1:8" x14ac:dyDescent="0.3">
      <c r="A88" s="2">
        <v>2025</v>
      </c>
      <c r="B88" s="3">
        <v>3</v>
      </c>
      <c r="C88" s="3">
        <v>124.66500000000001</v>
      </c>
      <c r="D88" s="3">
        <v>12.9</v>
      </c>
      <c r="E88" s="3">
        <v>-2.4485320051537016</v>
      </c>
      <c r="F88" s="3">
        <v>126.43600000000001</v>
      </c>
      <c r="G88" s="3">
        <v>6.8</v>
      </c>
      <c r="H88" s="3">
        <v>-1.169858898654335</v>
      </c>
    </row>
    <row r="89" spans="1:8" x14ac:dyDescent="0.3">
      <c r="A89" s="2">
        <v>2025</v>
      </c>
      <c r="B89" s="3">
        <v>4</v>
      </c>
      <c r="C89" s="3">
        <v>113.21299999999999</v>
      </c>
      <c r="D89" s="3">
        <v>-0.3</v>
      </c>
      <c r="E89" s="3">
        <v>-2.4830554070086301</v>
      </c>
      <c r="F89" s="3">
        <v>117.15300000000001</v>
      </c>
      <c r="G89" s="3">
        <v>-6.8</v>
      </c>
      <c r="H89" s="3">
        <v>-1.4539223748394445</v>
      </c>
    </row>
    <row r="90" spans="1:8" x14ac:dyDescent="0.3">
      <c r="A90" s="2">
        <v>2025</v>
      </c>
      <c r="B90" s="3">
        <v>5</v>
      </c>
      <c r="C90" s="3">
        <v>116.148</v>
      </c>
      <c r="D90" s="3">
        <v>5.0999999999999996</v>
      </c>
      <c r="E90" s="3">
        <v>-2.515478515060773</v>
      </c>
      <c r="F90" s="3">
        <v>125.669</v>
      </c>
      <c r="G90" s="3">
        <v>-1.8</v>
      </c>
      <c r="H90" s="3">
        <v>-1.7363352501029323</v>
      </c>
    </row>
    <row r="91" spans="1:8" x14ac:dyDescent="0.3">
      <c r="A91" s="2">
        <v>2025</v>
      </c>
      <c r="B91" s="3">
        <v>6</v>
      </c>
      <c r="C91" s="3">
        <v>108.877</v>
      </c>
      <c r="D91" s="3">
        <v>3.4</v>
      </c>
      <c r="E91" s="3">
        <v>-2.5469916575380878</v>
      </c>
      <c r="F91" s="3">
        <v>126.10899999999999</v>
      </c>
      <c r="G91" s="3">
        <v>3.6</v>
      </c>
      <c r="H91" s="3">
        <v>-2.0177748183936397</v>
      </c>
    </row>
    <row r="92" spans="1:8" x14ac:dyDescent="0.3">
      <c r="A92" s="2">
        <v>2025</v>
      </c>
      <c r="B92" s="3">
        <v>7</v>
      </c>
      <c r="C92" s="3">
        <v>110.11499999999999</v>
      </c>
      <c r="D92" s="3">
        <v>1</v>
      </c>
      <c r="E92" s="3">
        <v>-2.5782563099938751</v>
      </c>
      <c r="F92" s="3">
        <v>128.779</v>
      </c>
      <c r="G92" s="3">
        <v>1.9</v>
      </c>
      <c r="H92" s="3">
        <v>-2.2989227948235955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73" workbookViewId="0">
      <selection activeCell="D93" sqref="D93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1" style="2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98</v>
      </c>
      <c r="D1" s="2" t="s">
        <v>99</v>
      </c>
      <c r="E1" s="2" t="s">
        <v>100</v>
      </c>
      <c r="F1" s="2" t="s">
        <v>101</v>
      </c>
      <c r="G1" s="2" t="s">
        <v>102</v>
      </c>
      <c r="H1" s="2" t="s">
        <v>103</v>
      </c>
    </row>
    <row r="2" spans="1:8" x14ac:dyDescent="0.3">
      <c r="A2" s="2">
        <v>2018</v>
      </c>
      <c r="B2" s="3">
        <v>1</v>
      </c>
      <c r="C2" s="3">
        <v>526.88</v>
      </c>
      <c r="D2" s="3">
        <v>-2.3663485592513633</v>
      </c>
      <c r="E2" s="3">
        <v>13.502506982302103</v>
      </c>
      <c r="F2" s="3">
        <v>34699.906000000003</v>
      </c>
      <c r="G2" s="3">
        <v>-7.6889316068899927</v>
      </c>
      <c r="H2" s="3">
        <v>6.5726912344727157</v>
      </c>
    </row>
    <row r="3" spans="1:8" x14ac:dyDescent="0.3">
      <c r="A3" s="2">
        <v>2018</v>
      </c>
      <c r="B3" s="3">
        <v>2</v>
      </c>
      <c r="C3" s="3">
        <v>497.02</v>
      </c>
      <c r="D3" s="3">
        <v>-17.025041736227053</v>
      </c>
      <c r="E3" s="3">
        <v>13.732762041601516</v>
      </c>
      <c r="F3" s="3">
        <v>33574.601999999999</v>
      </c>
      <c r="G3" s="3">
        <v>13.362330799017897</v>
      </c>
      <c r="H3" s="3">
        <v>6.5595196211074249</v>
      </c>
    </row>
    <row r="4" spans="1:8" x14ac:dyDescent="0.3">
      <c r="A4" s="2">
        <v>2018</v>
      </c>
      <c r="B4" s="3">
        <v>3</v>
      </c>
      <c r="C4" s="3">
        <v>476.63</v>
      </c>
      <c r="D4" s="3">
        <v>-10.591082181245204</v>
      </c>
      <c r="E4" s="3">
        <v>13.964515233484597</v>
      </c>
      <c r="F4" s="3">
        <v>31409.386999999999</v>
      </c>
      <c r="G4" s="3">
        <v>9.402177358288144</v>
      </c>
      <c r="H4" s="3">
        <v>6.5339540402119907</v>
      </c>
    </row>
    <row r="5" spans="1:8" x14ac:dyDescent="0.3">
      <c r="A5" s="2">
        <v>2018</v>
      </c>
      <c r="B5" s="3">
        <v>4</v>
      </c>
      <c r="C5" s="3">
        <v>420.94</v>
      </c>
      <c r="D5" s="3">
        <v>-9.5783300753979344</v>
      </c>
      <c r="E5" s="3">
        <v>14.196300061948632</v>
      </c>
      <c r="F5" s="3">
        <v>27026.403999999999</v>
      </c>
      <c r="G5" s="3">
        <v>13.64385852345842</v>
      </c>
      <c r="H5" s="3">
        <v>6.4972549116204812</v>
      </c>
    </row>
    <row r="6" spans="1:8" x14ac:dyDescent="0.3">
      <c r="A6" s="2">
        <v>2018</v>
      </c>
      <c r="B6" s="3">
        <v>5</v>
      </c>
      <c r="C6" s="3">
        <v>367.23</v>
      </c>
      <c r="D6" s="3">
        <v>-12.718068165612962</v>
      </c>
      <c r="E6" s="3">
        <v>14.424944781170435</v>
      </c>
      <c r="F6" s="3">
        <v>26443.027999999998</v>
      </c>
      <c r="G6" s="3">
        <v>11.024279875441989</v>
      </c>
      <c r="H6" s="3">
        <v>6.4508818373418304</v>
      </c>
    </row>
    <row r="7" spans="1:8" x14ac:dyDescent="0.3">
      <c r="A7" s="2">
        <v>2018</v>
      </c>
      <c r="B7" s="3">
        <v>6</v>
      </c>
      <c r="C7" s="3">
        <v>333.07</v>
      </c>
      <c r="D7" s="3">
        <v>-15.485917279878214</v>
      </c>
      <c r="E7" s="3">
        <v>14.645626629345065</v>
      </c>
      <c r="F7" s="3">
        <v>24651.552</v>
      </c>
      <c r="G7" s="3">
        <v>-2.7015608607824038</v>
      </c>
      <c r="H7" s="3">
        <v>6.3967907113024616</v>
      </c>
    </row>
    <row r="8" spans="1:8" x14ac:dyDescent="0.3">
      <c r="A8" s="2">
        <v>2018</v>
      </c>
      <c r="B8" s="3">
        <v>7</v>
      </c>
      <c r="C8" s="3">
        <v>330.85</v>
      </c>
      <c r="D8" s="3">
        <v>-14.681004693382837</v>
      </c>
      <c r="E8" s="3">
        <v>14.851637913212942</v>
      </c>
      <c r="F8" s="3">
        <v>24028.132000000001</v>
      </c>
      <c r="G8" s="3">
        <v>-11.594029119724858</v>
      </c>
      <c r="H8" s="3">
        <v>6.3372550245147767</v>
      </c>
    </row>
    <row r="9" spans="1:8" x14ac:dyDescent="0.3">
      <c r="A9" s="2">
        <v>2018</v>
      </c>
      <c r="B9" s="3">
        <v>8</v>
      </c>
      <c r="C9" s="3">
        <v>293.5</v>
      </c>
      <c r="D9" s="3">
        <v>-0.65664771188734816</v>
      </c>
      <c r="E9" s="3">
        <v>15.034178471187454</v>
      </c>
      <c r="F9" s="3">
        <v>24389.722000000002</v>
      </c>
      <c r="G9" s="3">
        <v>-2.6697174743848584</v>
      </c>
      <c r="H9" s="3">
        <v>6.273916438020894</v>
      </c>
    </row>
    <row r="10" spans="1:8" x14ac:dyDescent="0.3">
      <c r="A10" s="2">
        <v>2018</v>
      </c>
      <c r="B10" s="3">
        <v>9</v>
      </c>
      <c r="C10" s="3">
        <v>340.23</v>
      </c>
      <c r="D10" s="3">
        <v>-13.54846906365138</v>
      </c>
      <c r="E10" s="3">
        <v>15.182397263723201</v>
      </c>
      <c r="F10" s="3">
        <v>25213.550999999999</v>
      </c>
      <c r="G10" s="3">
        <v>-3.6283793065568837</v>
      </c>
      <c r="H10" s="3">
        <v>6.20717138479736</v>
      </c>
    </row>
    <row r="11" spans="1:8" x14ac:dyDescent="0.3">
      <c r="A11" s="2">
        <v>2018</v>
      </c>
      <c r="B11" s="3">
        <v>10</v>
      </c>
      <c r="C11" s="3">
        <v>863.84</v>
      </c>
      <c r="D11" s="3">
        <v>92.645123882161414</v>
      </c>
      <c r="E11" s="3">
        <v>15.284353610567623</v>
      </c>
      <c r="F11" s="3">
        <v>27815.745999999999</v>
      </c>
      <c r="G11" s="3">
        <v>-4.2102981963815012</v>
      </c>
      <c r="H11" s="3">
        <v>6.136795212132359</v>
      </c>
    </row>
    <row r="12" spans="1:8" x14ac:dyDescent="0.3">
      <c r="A12" s="2">
        <v>2018</v>
      </c>
      <c r="B12" s="3">
        <v>11</v>
      </c>
      <c r="C12" s="3">
        <v>491.2</v>
      </c>
      <c r="D12" s="3">
        <v>-8.3291342403374315</v>
      </c>
      <c r="E12" s="3">
        <v>15.326111632417645</v>
      </c>
      <c r="F12" s="3">
        <v>33573.775999999998</v>
      </c>
      <c r="G12" s="3">
        <v>-6.7066226040963572</v>
      </c>
      <c r="H12" s="3">
        <v>6.061880242960509</v>
      </c>
    </row>
    <row r="13" spans="1:8" x14ac:dyDescent="0.3">
      <c r="A13" s="2">
        <v>2018</v>
      </c>
      <c r="B13" s="3">
        <v>12</v>
      </c>
      <c r="C13" s="3">
        <v>597.5</v>
      </c>
      <c r="D13" s="3">
        <v>18.483412322274884</v>
      </c>
      <c r="E13" s="3">
        <v>15.2991077256835</v>
      </c>
      <c r="F13" s="3">
        <v>34619.546000000002</v>
      </c>
      <c r="G13" s="3">
        <v>-6.4425524741337341</v>
      </c>
      <c r="H13" s="3">
        <v>5.9808002520630588</v>
      </c>
    </row>
    <row r="14" spans="1:8" x14ac:dyDescent="0.3">
      <c r="A14" s="2">
        <v>2019</v>
      </c>
      <c r="B14" s="3">
        <v>1</v>
      </c>
      <c r="C14" s="3">
        <v>744.07</v>
      </c>
      <c r="D14" s="3">
        <v>41.221910112359559</v>
      </c>
      <c r="E14" s="3">
        <v>15.193135561367594</v>
      </c>
      <c r="F14" s="3">
        <v>39965.508999999998</v>
      </c>
      <c r="G14" s="3">
        <v>15.174689522213679</v>
      </c>
      <c r="H14" s="3">
        <v>5.8910423126346574</v>
      </c>
    </row>
    <row r="15" spans="1:8" x14ac:dyDescent="0.3">
      <c r="A15" s="2">
        <v>2019</v>
      </c>
      <c r="B15" s="3">
        <v>2</v>
      </c>
      <c r="C15" s="3">
        <v>564.38</v>
      </c>
      <c r="D15" s="3">
        <v>13.552774536235979</v>
      </c>
      <c r="E15" s="3">
        <v>14.998209942735981</v>
      </c>
      <c r="F15" s="3">
        <v>32926.908000000003</v>
      </c>
      <c r="G15" s="3">
        <v>-1.9291189214990401</v>
      </c>
      <c r="H15" s="3">
        <v>5.7892307650417445</v>
      </c>
    </row>
    <row r="16" spans="1:8" x14ac:dyDescent="0.3">
      <c r="A16" s="2">
        <v>2019</v>
      </c>
      <c r="B16" s="3">
        <v>3</v>
      </c>
      <c r="C16" s="3">
        <v>842.43</v>
      </c>
      <c r="D16" s="3">
        <v>76.747162369133278</v>
      </c>
      <c r="E16" s="3">
        <v>14.706153226842975</v>
      </c>
      <c r="F16" s="3">
        <v>31207.582999999999</v>
      </c>
      <c r="G16" s="3">
        <v>-0.64249582457626131</v>
      </c>
      <c r="H16" s="3">
        <v>5.6726346473736466</v>
      </c>
    </row>
    <row r="17" spans="1:8" x14ac:dyDescent="0.3">
      <c r="A17" s="2">
        <v>2019</v>
      </c>
      <c r="B17" s="3">
        <v>4</v>
      </c>
      <c r="C17" s="3">
        <v>585.02</v>
      </c>
      <c r="D17" s="3">
        <v>38.979426996721614</v>
      </c>
      <c r="E17" s="3">
        <v>14.308687393284107</v>
      </c>
      <c r="F17" s="3">
        <v>30579.945</v>
      </c>
      <c r="G17" s="3">
        <v>13.148404797027391</v>
      </c>
      <c r="H17" s="3">
        <v>5.5379870012136792</v>
      </c>
    </row>
    <row r="18" spans="1:8" x14ac:dyDescent="0.3">
      <c r="A18" s="2">
        <v>2019</v>
      </c>
      <c r="B18" s="3">
        <v>5</v>
      </c>
      <c r="C18" s="3">
        <v>636.34</v>
      </c>
      <c r="D18" s="3">
        <v>73.281050023146264</v>
      </c>
      <c r="E18" s="3">
        <v>13.801842825067565</v>
      </c>
      <c r="F18" s="3">
        <v>30348.314999999999</v>
      </c>
      <c r="G18" s="3">
        <v>14.768683072150445</v>
      </c>
      <c r="H18" s="3">
        <v>5.3815823174179398</v>
      </c>
    </row>
    <row r="19" spans="1:8" x14ac:dyDescent="0.3">
      <c r="A19" s="2">
        <v>2019</v>
      </c>
      <c r="B19" s="3">
        <v>6</v>
      </c>
      <c r="C19" s="3">
        <v>679.74</v>
      </c>
      <c r="D19" s="3">
        <v>104.08322574834119</v>
      </c>
      <c r="E19" s="3">
        <v>13.183363151007335</v>
      </c>
      <c r="F19" s="3">
        <v>31016.920999999998</v>
      </c>
      <c r="G19" s="3">
        <v>25.821372220296723</v>
      </c>
      <c r="H19" s="3">
        <v>5.2002435880783473</v>
      </c>
    </row>
    <row r="20" spans="1:8" x14ac:dyDescent="0.3">
      <c r="A20" s="2">
        <v>2019</v>
      </c>
      <c r="B20" s="3">
        <v>7</v>
      </c>
      <c r="C20" s="3">
        <v>547.9</v>
      </c>
      <c r="D20" s="3">
        <v>65.603747922019011</v>
      </c>
      <c r="E20" s="3">
        <v>12.455122500417264</v>
      </c>
      <c r="F20" s="3">
        <v>34603.343000000001</v>
      </c>
      <c r="G20" s="3">
        <v>44.011790013472528</v>
      </c>
      <c r="H20" s="3">
        <v>4.9914456872836759</v>
      </c>
    </row>
    <row r="21" spans="1:8" x14ac:dyDescent="0.3">
      <c r="A21" s="2">
        <v>2019</v>
      </c>
      <c r="B21" s="3">
        <v>8</v>
      </c>
      <c r="C21" s="3">
        <v>486.88</v>
      </c>
      <c r="D21" s="3">
        <v>65.887563884156734</v>
      </c>
      <c r="E21" s="3">
        <v>11.625307493069354</v>
      </c>
      <c r="F21" s="3">
        <v>32959.822</v>
      </c>
      <c r="G21" s="3">
        <v>35.138161886388033</v>
      </c>
      <c r="H21" s="3">
        <v>4.7540955119443815</v>
      </c>
    </row>
    <row r="22" spans="1:8" x14ac:dyDescent="0.3">
      <c r="A22" s="2">
        <v>2019</v>
      </c>
      <c r="B22" s="3">
        <v>9</v>
      </c>
      <c r="C22" s="3">
        <v>557.98</v>
      </c>
      <c r="D22" s="3">
        <v>64.000822972694934</v>
      </c>
      <c r="E22" s="3">
        <v>10.70579562550099</v>
      </c>
      <c r="F22" s="3">
        <v>31243.069</v>
      </c>
      <c r="G22" s="3">
        <v>23.91379936923601</v>
      </c>
      <c r="H22" s="3">
        <v>4.4898097051046832</v>
      </c>
    </row>
    <row r="23" spans="1:8" x14ac:dyDescent="0.3">
      <c r="A23" s="2">
        <v>2019</v>
      </c>
      <c r="B23" s="3">
        <v>10</v>
      </c>
      <c r="C23" s="3">
        <v>521.19000000000005</v>
      </c>
      <c r="D23" s="3">
        <v>-39.665910353769206</v>
      </c>
      <c r="E23" s="3">
        <v>9.7122326064989402</v>
      </c>
      <c r="F23" s="3">
        <v>33391.534</v>
      </c>
      <c r="G23" s="3">
        <v>20.045437573380198</v>
      </c>
      <c r="H23" s="3">
        <v>4.2023149144181371</v>
      </c>
    </row>
    <row r="24" spans="1:8" x14ac:dyDescent="0.3">
      <c r="A24" s="2">
        <v>2019</v>
      </c>
      <c r="B24" s="3">
        <v>11</v>
      </c>
      <c r="C24" s="3">
        <v>669.97</v>
      </c>
      <c r="D24" s="3">
        <v>36.394543973941374</v>
      </c>
      <c r="E24" s="3">
        <v>8.6639651884157498</v>
      </c>
      <c r="F24" s="3">
        <v>35546.601000000002</v>
      </c>
      <c r="G24" s="3">
        <v>5.8760891238447632</v>
      </c>
      <c r="H24" s="3">
        <v>3.8966866757094185</v>
      </c>
    </row>
    <row r="25" spans="1:8" x14ac:dyDescent="0.3">
      <c r="A25" s="2">
        <v>2019</v>
      </c>
      <c r="B25" s="3">
        <v>12</v>
      </c>
      <c r="C25" s="3">
        <v>666.37</v>
      </c>
      <c r="D25" s="3">
        <v>11.52635983263599</v>
      </c>
      <c r="E25" s="3">
        <v>7.5769110858983879</v>
      </c>
      <c r="F25" s="3">
        <v>34354.991000000002</v>
      </c>
      <c r="G25" s="3">
        <v>-0.76417813220311936</v>
      </c>
      <c r="H25" s="3">
        <v>3.5791007416545191</v>
      </c>
    </row>
    <row r="26" spans="1:8" x14ac:dyDescent="0.3">
      <c r="A26" s="2">
        <v>2020</v>
      </c>
      <c r="B26" s="3">
        <v>1</v>
      </c>
      <c r="C26" s="3">
        <v>652.28199999999993</v>
      </c>
      <c r="D26" s="3">
        <v>-12.33593613504107</v>
      </c>
      <c r="E26" s="3">
        <v>6.4689137482317065</v>
      </c>
      <c r="F26" s="3">
        <v>38513.892999999996</v>
      </c>
      <c r="G26" s="3">
        <v>-3.632171931051853</v>
      </c>
      <c r="H26" s="3">
        <v>3.2558703234327733</v>
      </c>
    </row>
    <row r="27" spans="1:8" x14ac:dyDescent="0.3">
      <c r="A27" s="2">
        <v>2020</v>
      </c>
      <c r="B27" s="3">
        <v>2</v>
      </c>
      <c r="C27" s="3">
        <v>539.49900000000002</v>
      </c>
      <c r="D27" s="3">
        <v>-4.4085545200042482</v>
      </c>
      <c r="E27" s="3">
        <v>5.3580908919746353</v>
      </c>
      <c r="F27" s="3">
        <v>32397.167000000001</v>
      </c>
      <c r="G27" s="3">
        <v>-1.6088391901237786</v>
      </c>
      <c r="H27" s="3">
        <v>2.9330070156350523</v>
      </c>
    </row>
    <row r="28" spans="1:8" x14ac:dyDescent="0.3">
      <c r="A28" s="2">
        <v>2020</v>
      </c>
      <c r="B28" s="3">
        <v>3</v>
      </c>
      <c r="C28" s="3">
        <v>480.89399999999995</v>
      </c>
      <c r="D28" s="3">
        <v>-42.915850575121972</v>
      </c>
      <c r="E28" s="3">
        <v>4.2612543413330988</v>
      </c>
      <c r="F28" s="3">
        <v>29284.882000000001</v>
      </c>
      <c r="G28" s="3">
        <v>-6.1610058042623761</v>
      </c>
      <c r="H28" s="3">
        <v>2.6160440765845547</v>
      </c>
    </row>
    <row r="29" spans="1:8" x14ac:dyDescent="0.3">
      <c r="A29" s="2">
        <v>2020</v>
      </c>
      <c r="B29" s="3">
        <v>4</v>
      </c>
      <c r="C29" s="3">
        <v>345.80700000000002</v>
      </c>
      <c r="D29" s="3">
        <v>-40.889713172199237</v>
      </c>
      <c r="E29" s="3">
        <v>3.1945376812483026</v>
      </c>
      <c r="F29" s="3">
        <v>23830.665000000001</v>
      </c>
      <c r="G29" s="3">
        <v>-22.070935706391882</v>
      </c>
      <c r="H29" s="3">
        <v>2.310199358617969</v>
      </c>
    </row>
    <row r="30" spans="1:8" x14ac:dyDescent="0.3">
      <c r="A30" s="2">
        <v>2020</v>
      </c>
      <c r="B30" s="3">
        <v>5</v>
      </c>
      <c r="C30" s="3">
        <v>368.66900000000004</v>
      </c>
      <c r="D30" s="3">
        <v>-42.064148096929308</v>
      </c>
      <c r="E30" s="3">
        <v>2.1707983088200318</v>
      </c>
      <c r="F30" s="3">
        <v>23567.814999999999</v>
      </c>
      <c r="G30" s="3">
        <v>-22.342261835624157</v>
      </c>
      <c r="H30" s="3">
        <v>2.020081196719147</v>
      </c>
    </row>
    <row r="31" spans="1:8" x14ac:dyDescent="0.3">
      <c r="A31" s="2">
        <v>2020</v>
      </c>
      <c r="B31" s="3">
        <v>6</v>
      </c>
      <c r="C31" s="3">
        <v>347.47399999999999</v>
      </c>
      <c r="D31" s="3">
        <v>-48.881336981787157</v>
      </c>
      <c r="E31" s="3">
        <v>1.1998322148388036</v>
      </c>
      <c r="F31" s="3">
        <v>26309.866999999998</v>
      </c>
      <c r="G31" s="3">
        <v>-15.175761643136665</v>
      </c>
      <c r="H31" s="3">
        <v>1.7486047914924261</v>
      </c>
    </row>
    <row r="32" spans="1:8" x14ac:dyDescent="0.3">
      <c r="A32" s="2">
        <v>2020</v>
      </c>
      <c r="B32" s="3">
        <v>7</v>
      </c>
      <c r="C32" s="3">
        <v>327.99299999999999</v>
      </c>
      <c r="D32" s="3">
        <v>-40.136338747946709</v>
      </c>
      <c r="E32" s="3">
        <v>0.28836351881695882</v>
      </c>
      <c r="F32" s="3">
        <v>31295.793000000001</v>
      </c>
      <c r="G32" s="3">
        <v>-9.5584695386223153</v>
      </c>
      <c r="H32" s="3">
        <v>1.4969935141648978</v>
      </c>
    </row>
    <row r="33" spans="1:8" x14ac:dyDescent="0.3">
      <c r="A33" s="2">
        <v>2020</v>
      </c>
      <c r="B33" s="3">
        <v>8</v>
      </c>
      <c r="C33" s="3">
        <v>354.91999999999996</v>
      </c>
      <c r="D33" s="3">
        <v>-27.103187643772596</v>
      </c>
      <c r="E33" s="3">
        <v>-0.56036151870514961</v>
      </c>
      <c r="F33" s="3">
        <v>28989.670999999998</v>
      </c>
      <c r="G33" s="3">
        <v>-12.045426094837531</v>
      </c>
      <c r="H33" s="3">
        <v>1.2652954327390269</v>
      </c>
    </row>
    <row r="34" spans="1:8" x14ac:dyDescent="0.3">
      <c r="A34" s="2">
        <v>2020</v>
      </c>
      <c r="B34" s="3">
        <v>9</v>
      </c>
      <c r="C34" s="3">
        <v>380.863</v>
      </c>
      <c r="D34" s="3">
        <v>-31.742535574751784</v>
      </c>
      <c r="E34" s="3">
        <v>-1.3459039081779161</v>
      </c>
      <c r="F34" s="3">
        <v>29028.435000000001</v>
      </c>
      <c r="G34" s="3">
        <v>-7.0884009506236296</v>
      </c>
      <c r="H34" s="3">
        <v>1.052790874727501</v>
      </c>
    </row>
    <row r="35" spans="1:8" x14ac:dyDescent="0.3">
      <c r="A35" s="2">
        <v>2020</v>
      </c>
      <c r="B35" s="3">
        <v>10</v>
      </c>
      <c r="C35" s="3">
        <v>425.17199999999997</v>
      </c>
      <c r="D35" s="3">
        <v>-18.422840039141207</v>
      </c>
      <c r="E35" s="3">
        <v>-2.0696679118659755</v>
      </c>
      <c r="F35" s="3">
        <v>28544.983</v>
      </c>
      <c r="G35" s="3">
        <v>-14.514310723191093</v>
      </c>
      <c r="H35" s="3">
        <v>0.85783581198137038</v>
      </c>
    </row>
    <row r="36" spans="1:8" x14ac:dyDescent="0.3">
      <c r="A36" s="2">
        <v>2020</v>
      </c>
      <c r="B36" s="3">
        <v>11</v>
      </c>
      <c r="C36" s="3">
        <v>456.779</v>
      </c>
      <c r="D36" s="3">
        <v>-31.82097705867427</v>
      </c>
      <c r="E36" s="3">
        <v>-2.735168669233031</v>
      </c>
      <c r="F36" s="3">
        <v>31745.252</v>
      </c>
      <c r="G36" s="3">
        <v>-10.693987309785269</v>
      </c>
      <c r="H36" s="3">
        <v>0.67822085580825842</v>
      </c>
    </row>
    <row r="37" spans="1:8" x14ac:dyDescent="0.3">
      <c r="A37" s="2">
        <v>2020</v>
      </c>
      <c r="B37" s="3">
        <v>12</v>
      </c>
      <c r="C37" s="3">
        <v>506</v>
      </c>
      <c r="D37" s="3">
        <v>-24.066209463211131</v>
      </c>
      <c r="E37" s="3">
        <v>-3.3470569566960688</v>
      </c>
      <c r="F37" s="3">
        <v>34971.705000000002</v>
      </c>
      <c r="G37" s="3">
        <v>1.7951219955202324</v>
      </c>
      <c r="H37" s="3">
        <v>0.51066910733973481</v>
      </c>
    </row>
    <row r="38" spans="1:8" x14ac:dyDescent="0.3">
      <c r="A38" s="2">
        <v>2021</v>
      </c>
      <c r="B38" s="3">
        <v>1</v>
      </c>
      <c r="C38" s="3">
        <v>581</v>
      </c>
      <c r="D38" s="3">
        <v>-10.928095516969648</v>
      </c>
      <c r="E38" s="3">
        <v>-3.9120033984768976</v>
      </c>
      <c r="F38" s="3">
        <v>38110.743999999999</v>
      </c>
      <c r="G38" s="3">
        <v>-1.0467625280051518</v>
      </c>
      <c r="H38" s="3">
        <v>0.35111393102920296</v>
      </c>
    </row>
    <row r="39" spans="1:8" x14ac:dyDescent="0.3">
      <c r="A39" s="2">
        <v>2021</v>
      </c>
      <c r="B39" s="3">
        <v>2</v>
      </c>
      <c r="C39" s="3">
        <v>467.99</v>
      </c>
      <c r="D39" s="3">
        <v>-13.254704827997832</v>
      </c>
      <c r="E39" s="3">
        <v>-4.438117448832501</v>
      </c>
      <c r="F39" s="3">
        <v>28986.378000000001</v>
      </c>
      <c r="G39" s="3">
        <v>-10.528047097451454</v>
      </c>
      <c r="H39" s="3">
        <v>0.1955778894473012</v>
      </c>
    </row>
    <row r="40" spans="1:8" x14ac:dyDescent="0.3">
      <c r="A40" s="2">
        <v>2021</v>
      </c>
      <c r="B40" s="3">
        <v>3</v>
      </c>
      <c r="C40" s="3">
        <v>509.03</v>
      </c>
      <c r="D40" s="3">
        <v>5.8507696082712668</v>
      </c>
      <c r="E40" s="3">
        <v>-4.9339957906392025</v>
      </c>
      <c r="F40" s="3">
        <v>32167.909</v>
      </c>
      <c r="G40" s="3">
        <v>9.8447622223644125</v>
      </c>
      <c r="H40" s="3">
        <v>3.9986470410568124E-2</v>
      </c>
    </row>
    <row r="41" spans="1:8" x14ac:dyDescent="0.3">
      <c r="A41" s="2">
        <v>2021</v>
      </c>
      <c r="B41" s="3">
        <v>4</v>
      </c>
      <c r="C41" s="3">
        <v>433.2</v>
      </c>
      <c r="D41" s="3">
        <v>25.27218940044591</v>
      </c>
      <c r="E41" s="3">
        <v>-5.4088473697857671</v>
      </c>
      <c r="F41" s="3">
        <v>30939.565999999999</v>
      </c>
      <c r="G41" s="3">
        <v>29.830896452113276</v>
      </c>
      <c r="H41" s="3">
        <v>-0.12047953444410334</v>
      </c>
    </row>
    <row r="42" spans="1:8" x14ac:dyDescent="0.3">
      <c r="A42" s="2">
        <v>2021</v>
      </c>
      <c r="B42" s="3">
        <v>5</v>
      </c>
      <c r="C42" s="3">
        <v>439.33</v>
      </c>
      <c r="D42" s="3">
        <v>19.166515220970549</v>
      </c>
      <c r="E42" s="3">
        <v>-5.8711321901193703</v>
      </c>
      <c r="F42" s="3">
        <v>27110.774000000001</v>
      </c>
      <c r="G42" s="3">
        <v>15.033039762065359</v>
      </c>
      <c r="H42" s="3">
        <v>-0.28995844627482348</v>
      </c>
    </row>
    <row r="43" spans="1:8" ht="15" customHeight="1" x14ac:dyDescent="0.3">
      <c r="A43" s="2">
        <v>2021</v>
      </c>
      <c r="B43" s="3">
        <v>6</v>
      </c>
      <c r="C43" s="3">
        <v>407.29</v>
      </c>
      <c r="D43" s="3">
        <v>17.214525403339543</v>
      </c>
      <c r="E43" s="3">
        <v>-6.3271796279337007</v>
      </c>
      <c r="F43" s="3">
        <v>27456.120999999999</v>
      </c>
      <c r="G43" s="3">
        <v>4.3567457030474488</v>
      </c>
      <c r="H43" s="3">
        <v>-0.47050862957396949</v>
      </c>
    </row>
    <row r="44" spans="1:8" x14ac:dyDescent="0.3">
      <c r="A44" s="2">
        <v>2021</v>
      </c>
      <c r="B44" s="3">
        <v>7</v>
      </c>
      <c r="C44" s="3">
        <v>416.55</v>
      </c>
      <c r="D44" s="3">
        <v>26.999661578143442</v>
      </c>
      <c r="E44" s="3">
        <v>-6.7815803340077876</v>
      </c>
      <c r="F44" s="3">
        <v>27974.346000000001</v>
      </c>
      <c r="G44" s="3">
        <v>-10.613078249846552</v>
      </c>
      <c r="H44" s="3">
        <v>-0.66312435173611717</v>
      </c>
    </row>
    <row r="45" spans="1:8" x14ac:dyDescent="0.3">
      <c r="A45" s="2">
        <v>2021</v>
      </c>
      <c r="B45" s="3">
        <v>8</v>
      </c>
      <c r="C45" s="3">
        <v>430.26</v>
      </c>
      <c r="D45" s="3">
        <v>21.227318832412955</v>
      </c>
      <c r="E45" s="3">
        <v>-7.2372901184934877</v>
      </c>
      <c r="F45" s="3">
        <v>27301.232</v>
      </c>
      <c r="G45" s="3">
        <v>-5.8242778953924601</v>
      </c>
      <c r="H45" s="3">
        <v>-0.86846465416052132</v>
      </c>
    </row>
    <row r="46" spans="1:8" x14ac:dyDescent="0.3">
      <c r="A46" s="2">
        <v>2021</v>
      </c>
      <c r="B46" s="3">
        <v>9</v>
      </c>
      <c r="C46" s="3">
        <v>317.17</v>
      </c>
      <c r="D46" s="3">
        <v>-16.723336212758909</v>
      </c>
      <c r="E46" s="3">
        <v>-7.6949188719654256</v>
      </c>
      <c r="F46" s="3">
        <v>29845.777999999998</v>
      </c>
      <c r="G46" s="3">
        <v>2.8156633314885715</v>
      </c>
      <c r="H46" s="3">
        <v>-1.087879547267139</v>
      </c>
    </row>
    <row r="47" spans="1:8" x14ac:dyDescent="0.3">
      <c r="A47" s="2">
        <v>2021</v>
      </c>
      <c r="B47" s="3">
        <v>10</v>
      </c>
      <c r="C47" s="3">
        <v>340.32399999999996</v>
      </c>
      <c r="D47" s="3">
        <v>-19.956158919213873</v>
      </c>
      <c r="E47" s="3">
        <v>-8.1530997760433035</v>
      </c>
      <c r="F47" s="3">
        <v>29702.505000000001</v>
      </c>
      <c r="G47" s="3">
        <v>4.0550803621077769</v>
      </c>
      <c r="H47" s="3">
        <v>-1.323063195173235</v>
      </c>
    </row>
    <row r="48" spans="1:8" x14ac:dyDescent="0.3">
      <c r="A48" s="2">
        <v>2021</v>
      </c>
      <c r="B48" s="3">
        <v>11</v>
      </c>
      <c r="C48" s="3">
        <v>534.40100000000007</v>
      </c>
      <c r="D48" s="3">
        <v>16.993338135071888</v>
      </c>
      <c r="E48" s="3">
        <v>-8.6110929857732668</v>
      </c>
      <c r="F48" s="3">
        <v>39595.396000000001</v>
      </c>
      <c r="G48" s="3">
        <v>24.728560982914871</v>
      </c>
      <c r="H48" s="3">
        <v>-1.5754386826294939</v>
      </c>
    </row>
    <row r="49" spans="1:8" x14ac:dyDescent="0.3">
      <c r="A49" s="2">
        <v>2021</v>
      </c>
      <c r="B49" s="3">
        <v>12</v>
      </c>
      <c r="C49" s="3">
        <v>503.51299999999998</v>
      </c>
      <c r="D49" s="3">
        <v>-0.4915019762845918</v>
      </c>
      <c r="E49" s="3">
        <v>-9.0689783130864043</v>
      </c>
      <c r="F49" s="3">
        <v>38056.966</v>
      </c>
      <c r="G49" s="3">
        <v>8.8221635176208846</v>
      </c>
      <c r="H49" s="3">
        <v>-1.8460556121951226</v>
      </c>
    </row>
    <row r="50" spans="1:8" x14ac:dyDescent="0.3">
      <c r="A50" s="2">
        <v>2022</v>
      </c>
      <c r="B50" s="3">
        <v>1</v>
      </c>
      <c r="C50" s="3">
        <v>538.24199999999996</v>
      </c>
      <c r="D50" s="3">
        <v>-7.3593803786574981</v>
      </c>
      <c r="E50" s="3">
        <v>-9.5250574844193014</v>
      </c>
      <c r="F50" s="3">
        <v>41586.332999999999</v>
      </c>
      <c r="G50" s="3">
        <v>9.1197091297928967</v>
      </c>
      <c r="H50" s="3">
        <v>-2.1341369197858873</v>
      </c>
    </row>
    <row r="51" spans="1:8" x14ac:dyDescent="0.3">
      <c r="A51" s="2">
        <v>2022</v>
      </c>
      <c r="B51" s="3">
        <v>2</v>
      </c>
      <c r="C51" s="3">
        <v>509.40199999999999</v>
      </c>
      <c r="D51" s="3">
        <v>8.8489070279279325</v>
      </c>
      <c r="E51" s="3">
        <v>-9.9770365681295967</v>
      </c>
      <c r="F51" s="3">
        <v>35044.654999999999</v>
      </c>
      <c r="G51" s="3">
        <v>20.900427780249053</v>
      </c>
      <c r="H51" s="3">
        <v>-2.4381646927668723</v>
      </c>
    </row>
    <row r="52" spans="1:8" x14ac:dyDescent="0.3">
      <c r="A52" s="2">
        <v>2022</v>
      </c>
      <c r="B52" s="3">
        <v>3</v>
      </c>
      <c r="C52" s="3">
        <v>477.31400000000002</v>
      </c>
      <c r="D52" s="3">
        <v>-6.2306740270710819</v>
      </c>
      <c r="E52" s="3">
        <v>-10.422471238331475</v>
      </c>
      <c r="F52" s="3">
        <v>33818.326999999997</v>
      </c>
      <c r="G52" s="3">
        <v>5.1306350064593831</v>
      </c>
      <c r="H52" s="3">
        <v>-2.7558395014163857</v>
      </c>
    </row>
    <row r="53" spans="1:8" x14ac:dyDescent="0.3">
      <c r="A53" s="2">
        <v>2022</v>
      </c>
      <c r="B53" s="3">
        <v>4</v>
      </c>
      <c r="C53" s="3">
        <v>402.36899999999997</v>
      </c>
      <c r="D53" s="3">
        <v>-7.1170360110803355</v>
      </c>
      <c r="E53" s="3">
        <v>-10.857609811944952</v>
      </c>
      <c r="F53" s="3">
        <v>26989.825000000001</v>
      </c>
      <c r="G53" s="3">
        <v>-12.765987085920983</v>
      </c>
      <c r="H53" s="3">
        <v>-3.083241180424332</v>
      </c>
    </row>
    <row r="54" spans="1:8" x14ac:dyDescent="0.3">
      <c r="A54" s="2">
        <v>2022</v>
      </c>
      <c r="B54" s="3">
        <v>5</v>
      </c>
      <c r="C54" s="3">
        <v>421.98</v>
      </c>
      <c r="D54" s="3">
        <v>-3.9491953656704437</v>
      </c>
      <c r="E54" s="3">
        <v>-11.278409508861483</v>
      </c>
      <c r="F54" s="3">
        <v>26072.741000000002</v>
      </c>
      <c r="G54" s="3">
        <v>-3.8288578555521813</v>
      </c>
      <c r="H54" s="3">
        <v>-3.4159018926397913</v>
      </c>
    </row>
    <row r="55" spans="1:8" x14ac:dyDescent="0.3">
      <c r="A55" s="2">
        <v>2022</v>
      </c>
      <c r="B55" s="3">
        <v>6</v>
      </c>
      <c r="C55" s="3">
        <v>348.51</v>
      </c>
      <c r="D55" s="3">
        <v>-14.431977215252035</v>
      </c>
      <c r="E55" s="3">
        <v>-11.680567786903017</v>
      </c>
      <c r="F55" s="3">
        <v>29352.751</v>
      </c>
      <c r="G55" s="3">
        <v>6.9078585427271522</v>
      </c>
      <c r="H55" s="3">
        <v>-3.7500262138219473</v>
      </c>
    </row>
    <row r="56" spans="1:8" x14ac:dyDescent="0.3">
      <c r="A56" s="2">
        <v>2022</v>
      </c>
      <c r="B56" s="3">
        <v>7</v>
      </c>
      <c r="C56" s="3">
        <v>245.09100000000001</v>
      </c>
      <c r="D56" s="3">
        <v>-41.161685271876124</v>
      </c>
      <c r="E56" s="3">
        <v>-12.059273130687121</v>
      </c>
      <c r="F56" s="3">
        <v>31174.152999999998</v>
      </c>
      <c r="G56" s="3">
        <v>11.43836213364915</v>
      </c>
      <c r="H56" s="3">
        <v>-4.081847397227409</v>
      </c>
    </row>
    <row r="57" spans="1:8" x14ac:dyDescent="0.3">
      <c r="A57" s="2">
        <v>2022</v>
      </c>
      <c r="B57" s="3">
        <v>8</v>
      </c>
      <c r="C57" s="3">
        <v>180.559</v>
      </c>
      <c r="D57" s="3">
        <v>-58.034909124715298</v>
      </c>
      <c r="E57" s="3">
        <v>-12.409905094930545</v>
      </c>
      <c r="F57" s="3">
        <v>28420.651999999998</v>
      </c>
      <c r="G57" s="3">
        <v>4.1002545233123522</v>
      </c>
      <c r="H57" s="3">
        <v>-4.406858565226913</v>
      </c>
    </row>
    <row r="58" spans="1:8" x14ac:dyDescent="0.3">
      <c r="A58" s="2">
        <v>2022</v>
      </c>
      <c r="B58" s="3">
        <v>9</v>
      </c>
      <c r="C58" s="3">
        <v>236.33500000000001</v>
      </c>
      <c r="D58" s="3">
        <v>-25.486332250843404</v>
      </c>
      <c r="E58" s="3">
        <v>-12.729864235193185</v>
      </c>
      <c r="F58" s="3">
        <v>28339.993999999999</v>
      </c>
      <c r="G58" s="3">
        <v>-5.0452161106338096</v>
      </c>
      <c r="H58" s="3">
        <v>-4.7194750478626641</v>
      </c>
    </row>
    <row r="59" spans="1:8" x14ac:dyDescent="0.3">
      <c r="A59" s="2">
        <v>2022</v>
      </c>
      <c r="B59" s="3">
        <v>10</v>
      </c>
      <c r="C59" s="3">
        <v>340.61</v>
      </c>
      <c r="D59" s="3">
        <v>8.4037564203542914E-2</v>
      </c>
      <c r="E59" s="3">
        <v>-13.019719510092555</v>
      </c>
      <c r="F59" s="3">
        <v>28305.027999999998</v>
      </c>
      <c r="G59" s="3">
        <v>-4.7049129357944803</v>
      </c>
      <c r="H59" s="3">
        <v>-5.0135214034346065</v>
      </c>
    </row>
    <row r="60" spans="1:8" x14ac:dyDescent="0.3">
      <c r="A60" s="2">
        <v>2022</v>
      </c>
      <c r="B60" s="3">
        <v>11</v>
      </c>
      <c r="C60" s="3">
        <v>296.85200000000003</v>
      </c>
      <c r="D60" s="3">
        <v>-44.451451251026853</v>
      </c>
      <c r="E60" s="3">
        <v>-13.280925744080594</v>
      </c>
      <c r="F60" s="3">
        <v>27416.011999999999</v>
      </c>
      <c r="G60" s="3">
        <v>-30.759596393479693</v>
      </c>
      <c r="H60" s="3">
        <v>-5.2828448111498219</v>
      </c>
    </row>
    <row r="61" spans="1:8" x14ac:dyDescent="0.3">
      <c r="A61" s="2">
        <v>2022</v>
      </c>
      <c r="B61" s="3">
        <v>12</v>
      </c>
      <c r="C61" s="3">
        <v>293.86599999999999</v>
      </c>
      <c r="D61" s="3">
        <v>-41.636859425675212</v>
      </c>
      <c r="E61" s="3">
        <v>-13.514027778479079</v>
      </c>
      <c r="F61" s="3">
        <v>27237.756000000001</v>
      </c>
      <c r="G61" s="3">
        <v>-28.428987218791956</v>
      </c>
      <c r="H61" s="3">
        <v>-5.5212710190718051</v>
      </c>
    </row>
    <row r="62" spans="1:8" x14ac:dyDescent="0.3">
      <c r="A62" s="2">
        <v>2023</v>
      </c>
      <c r="B62" s="3">
        <v>1</v>
      </c>
      <c r="C62" s="3">
        <v>343.97799999999995</v>
      </c>
      <c r="D62" s="3">
        <v>-36.092315352573756</v>
      </c>
      <c r="E62" s="3">
        <v>-13.721735074436658</v>
      </c>
      <c r="F62" s="3">
        <v>29135.095000000001</v>
      </c>
      <c r="G62" s="3">
        <v>-29.940697103541204</v>
      </c>
      <c r="H62" s="3">
        <v>-5.7243949941239354</v>
      </c>
    </row>
    <row r="63" spans="1:8" x14ac:dyDescent="0.3">
      <c r="A63" s="2">
        <v>2023</v>
      </c>
      <c r="B63" s="3">
        <v>2</v>
      </c>
      <c r="C63" s="3">
        <v>504.63200000000001</v>
      </c>
      <c r="D63" s="3">
        <v>-0.93639208326625756</v>
      </c>
      <c r="E63" s="3">
        <v>-13.908710067521922</v>
      </c>
      <c r="F63" s="3">
        <v>33493.637000000002</v>
      </c>
      <c r="G63" s="3">
        <v>-4.4258332690106261</v>
      </c>
      <c r="H63" s="3">
        <v>-5.8894025168545712</v>
      </c>
    </row>
    <row r="64" spans="1:8" x14ac:dyDescent="0.3">
      <c r="A64" s="2">
        <v>2023</v>
      </c>
      <c r="B64" s="3">
        <v>3</v>
      </c>
      <c r="C64" s="3">
        <v>475.77600000000007</v>
      </c>
      <c r="D64" s="3">
        <v>-0.32221975471072861</v>
      </c>
      <c r="E64" s="3">
        <v>-14.081168705822769</v>
      </c>
      <c r="F64" s="3">
        <v>28836.284</v>
      </c>
      <c r="G64" s="3">
        <v>-14.731784336936594</v>
      </c>
      <c r="H64" s="3">
        <v>-6.0151610554585559</v>
      </c>
    </row>
    <row r="65" spans="1:8" x14ac:dyDescent="0.3">
      <c r="A65" s="2">
        <v>2023</v>
      </c>
      <c r="B65" s="3">
        <v>4</v>
      </c>
      <c r="C65" s="3">
        <v>330.65699999999998</v>
      </c>
      <c r="D65" s="3">
        <v>-17.822446560246942</v>
      </c>
      <c r="E65" s="3">
        <v>-14.244426082011527</v>
      </c>
      <c r="F65" s="3">
        <v>24043.43</v>
      </c>
      <c r="G65" s="3">
        <v>-10.916688048181122</v>
      </c>
      <c r="H65" s="3">
        <v>-6.1004364413774113</v>
      </c>
    </row>
    <row r="66" spans="1:8" x14ac:dyDescent="0.3">
      <c r="A66" s="2">
        <v>2023</v>
      </c>
      <c r="B66" s="3">
        <v>5</v>
      </c>
      <c r="C66" s="3">
        <v>349.488</v>
      </c>
      <c r="D66" s="3">
        <v>-17.179013223375517</v>
      </c>
      <c r="E66" s="3">
        <v>-14.402841806194475</v>
      </c>
      <c r="F66" s="3">
        <v>24388.242000000006</v>
      </c>
      <c r="G66" s="3">
        <v>-6.46076682156278</v>
      </c>
      <c r="H66" s="3">
        <v>-6.1445998271138729</v>
      </c>
    </row>
    <row r="67" spans="1:8" x14ac:dyDescent="0.3">
      <c r="A67" s="2">
        <v>2023</v>
      </c>
      <c r="B67" s="3">
        <v>6</v>
      </c>
      <c r="C67" s="3">
        <v>351.71400000000006</v>
      </c>
      <c r="D67" s="3">
        <v>0.91934234311785712</v>
      </c>
      <c r="E67" s="3">
        <v>-14.561023962122214</v>
      </c>
      <c r="F67" s="3">
        <v>26065.130999999998</v>
      </c>
      <c r="G67" s="3">
        <v>-11.200381184032814</v>
      </c>
      <c r="H67" s="3">
        <v>-6.1473568270878163</v>
      </c>
    </row>
    <row r="68" spans="1:8" x14ac:dyDescent="0.3">
      <c r="A68" s="2">
        <v>2023</v>
      </c>
      <c r="B68" s="3">
        <v>7</v>
      </c>
      <c r="C68" s="3">
        <v>252.173</v>
      </c>
      <c r="D68" s="3">
        <v>2.8895389875597255</v>
      </c>
      <c r="E68" s="3">
        <v>-14.72377342322709</v>
      </c>
      <c r="F68" s="3">
        <v>25969.094000000001</v>
      </c>
      <c r="G68" s="3">
        <v>-16.69671346002567</v>
      </c>
      <c r="H68" s="3">
        <v>-6.1084350117603972</v>
      </c>
    </row>
    <row r="69" spans="1:8" x14ac:dyDescent="0.3">
      <c r="A69" s="2">
        <v>2023</v>
      </c>
      <c r="B69" s="3">
        <v>8</v>
      </c>
      <c r="C69" s="3">
        <v>207.10599999999999</v>
      </c>
      <c r="D69" s="3">
        <v>14.702673364385044</v>
      </c>
      <c r="E69" s="3">
        <v>-14.894816037503592</v>
      </c>
      <c r="F69" s="3">
        <v>25050.973000000002</v>
      </c>
      <c r="G69" s="3">
        <v>-11.856445094926027</v>
      </c>
      <c r="H69" s="3">
        <v>-6.0279128560620032</v>
      </c>
    </row>
    <row r="70" spans="1:8" x14ac:dyDescent="0.3">
      <c r="A70" s="2">
        <v>2023</v>
      </c>
      <c r="B70" s="3">
        <v>9</v>
      </c>
      <c r="C70" s="3">
        <v>243.21100000000001</v>
      </c>
      <c r="D70" s="3">
        <v>2.9094294116402519</v>
      </c>
      <c r="E70" s="3">
        <v>-15.07665450625101</v>
      </c>
      <c r="F70" s="3">
        <v>26087.966</v>
      </c>
      <c r="G70" s="3">
        <v>-7.946466043711931</v>
      </c>
      <c r="H70" s="3">
        <v>-5.9066041320374865</v>
      </c>
    </row>
    <row r="71" spans="1:8" x14ac:dyDescent="0.3">
      <c r="A71" s="2">
        <v>2023</v>
      </c>
      <c r="B71" s="3">
        <v>10</v>
      </c>
      <c r="C71" s="3">
        <v>338.54500000000002</v>
      </c>
      <c r="D71" s="3">
        <v>-0.60626523002847987</v>
      </c>
      <c r="E71" s="3">
        <v>-15.269736149560178</v>
      </c>
      <c r="F71" s="3">
        <v>24876.207999999999</v>
      </c>
      <c r="G71" s="3">
        <v>-12.1138194952501</v>
      </c>
      <c r="H71" s="3">
        <v>-5.7457273709149543</v>
      </c>
    </row>
    <row r="72" spans="1:8" x14ac:dyDescent="0.3">
      <c r="A72" s="2">
        <v>2023</v>
      </c>
      <c r="B72" s="3">
        <v>11</v>
      </c>
      <c r="C72" s="3">
        <v>320.03800000000001</v>
      </c>
      <c r="D72" s="3">
        <v>7.8106261706170077</v>
      </c>
      <c r="E72" s="3">
        <v>-15.473259253916517</v>
      </c>
      <c r="F72" s="3">
        <v>25501.074999999997</v>
      </c>
      <c r="G72" s="3">
        <v>-6.9847394289147546</v>
      </c>
      <c r="H72" s="3">
        <v>-5.5466427609997142</v>
      </c>
    </row>
    <row r="73" spans="1:8" x14ac:dyDescent="0.3">
      <c r="A73" s="2">
        <v>2023</v>
      </c>
      <c r="B73" s="3">
        <v>12</v>
      </c>
      <c r="C73" s="3">
        <v>388.32799999999997</v>
      </c>
      <c r="D73" s="3">
        <v>32.144582905133625</v>
      </c>
      <c r="E73" s="3">
        <v>-15.685403809213822</v>
      </c>
      <c r="F73" s="3">
        <v>29831.512000000002</v>
      </c>
      <c r="G73" s="3">
        <v>9.5226493695002024</v>
      </c>
      <c r="H73" s="3">
        <v>-5.3111527192168211</v>
      </c>
    </row>
    <row r="74" spans="1:8" x14ac:dyDescent="0.3">
      <c r="A74" s="2">
        <v>2024</v>
      </c>
      <c r="B74" s="3">
        <v>1</v>
      </c>
      <c r="C74" s="3">
        <v>366.01499999999999</v>
      </c>
      <c r="D74" s="3">
        <v>6.4065143701050653</v>
      </c>
      <c r="E74" s="3">
        <v>-15.902732868858072</v>
      </c>
      <c r="F74" s="3">
        <v>32988.364999999998</v>
      </c>
      <c r="G74" s="3">
        <v>13.225527495276722</v>
      </c>
      <c r="H74" s="3">
        <v>-5.0411595303154897</v>
      </c>
    </row>
    <row r="75" spans="1:8" x14ac:dyDescent="0.3">
      <c r="A75" s="2">
        <v>2024</v>
      </c>
      <c r="B75" s="3">
        <v>2</v>
      </c>
      <c r="C75" s="3">
        <v>358.04699999999997</v>
      </c>
      <c r="D75" s="3">
        <v>-29.047900252064874</v>
      </c>
      <c r="E75" s="3">
        <v>-16.118487959400081</v>
      </c>
      <c r="F75" s="3">
        <v>27642.226000000002</v>
      </c>
      <c r="G75" s="3">
        <v>-17.470216805657746</v>
      </c>
      <c r="H75" s="3">
        <v>-4.7375353538998848</v>
      </c>
    </row>
    <row r="76" spans="1:8" x14ac:dyDescent="0.3">
      <c r="A76" s="2">
        <v>2024</v>
      </c>
      <c r="B76" s="3">
        <v>3</v>
      </c>
      <c r="C76" s="3">
        <v>292.60599999999999</v>
      </c>
      <c r="D76" s="3">
        <v>-38.49920971213345</v>
      </c>
      <c r="E76" s="3">
        <v>-16.324361354110181</v>
      </c>
      <c r="F76" s="3">
        <v>26720.005000000001</v>
      </c>
      <c r="G76" s="3">
        <v>-7.338944920919765</v>
      </c>
      <c r="H76" s="3">
        <v>-4.3998838296418388</v>
      </c>
    </row>
    <row r="77" spans="1:8" x14ac:dyDescent="0.3">
      <c r="A77" s="2">
        <v>2024</v>
      </c>
      <c r="B77" s="3">
        <v>4</v>
      </c>
      <c r="C77" s="3">
        <v>228.40300000000002</v>
      </c>
      <c r="D77" s="3">
        <v>-30.924492752308275</v>
      </c>
      <c r="E77" s="3">
        <v>-16.512943202112357</v>
      </c>
      <c r="F77" s="3">
        <v>22585.981000000003</v>
      </c>
      <c r="G77" s="3">
        <v>-6.0617349521261961</v>
      </c>
      <c r="H77" s="3">
        <v>-4.0286928112028892</v>
      </c>
    </row>
    <row r="78" spans="1:8" x14ac:dyDescent="0.3">
      <c r="A78" s="2">
        <v>2024</v>
      </c>
      <c r="B78" s="3">
        <v>5</v>
      </c>
      <c r="C78" s="3">
        <v>199.10599999999999</v>
      </c>
      <c r="D78" s="3">
        <v>-43.029231332692397</v>
      </c>
      <c r="E78" s="3">
        <v>-16.678363572555462</v>
      </c>
      <c r="F78" s="3">
        <v>22269.650999999998</v>
      </c>
      <c r="G78" s="3">
        <v>-8.6869361063417685</v>
      </c>
      <c r="H78" s="3">
        <v>-3.6246542537092465</v>
      </c>
    </row>
    <row r="79" spans="1:8" x14ac:dyDescent="0.3">
      <c r="A79" s="2">
        <v>2024</v>
      </c>
      <c r="B79" s="3">
        <v>6</v>
      </c>
      <c r="C79" s="3">
        <v>202.14600000000002</v>
      </c>
      <c r="D79" s="3">
        <v>-42.525461027994339</v>
      </c>
      <c r="E79" s="3">
        <v>-16.815753336640448</v>
      </c>
      <c r="F79" s="3">
        <v>20985.721000000001</v>
      </c>
      <c r="G79" s="3">
        <v>-19.4873756820942</v>
      </c>
      <c r="H79" s="3">
        <v>-3.1886012957691294</v>
      </c>
    </row>
    <row r="80" spans="1:8" x14ac:dyDescent="0.3">
      <c r="A80" s="2">
        <v>2024</v>
      </c>
      <c r="B80" s="3">
        <v>7</v>
      </c>
      <c r="C80" s="3">
        <v>175.87</v>
      </c>
      <c r="D80" s="3">
        <v>-30.258195762432926</v>
      </c>
      <c r="E80" s="3">
        <v>-16.922073286940503</v>
      </c>
      <c r="F80" s="3">
        <v>23802.034999999996</v>
      </c>
      <c r="G80" s="3">
        <v>-8.3447616616891036</v>
      </c>
      <c r="H80" s="3">
        <v>-2.7217186233416353</v>
      </c>
    </row>
    <row r="81" spans="1:8" x14ac:dyDescent="0.3">
      <c r="A81" s="2">
        <v>2024</v>
      </c>
      <c r="B81" s="3">
        <v>8</v>
      </c>
      <c r="C81" s="3">
        <v>141.76900000000001</v>
      </c>
      <c r="D81" s="3">
        <v>-31.547613299469834</v>
      </c>
      <c r="E81" s="3">
        <v>-16.996069612396266</v>
      </c>
      <c r="F81" s="3">
        <v>22802.518</v>
      </c>
      <c r="G81" s="3">
        <v>-8.9755196335088545</v>
      </c>
      <c r="H81" s="3">
        <v>-2.2263227817182449</v>
      </c>
    </row>
    <row r="82" spans="1:8" x14ac:dyDescent="0.3">
      <c r="A82" s="2">
        <v>2024</v>
      </c>
      <c r="B82" s="3">
        <v>9</v>
      </c>
      <c r="C82" s="3">
        <v>190.57100000000003</v>
      </c>
      <c r="D82" s="3">
        <v>-21.643757889240199</v>
      </c>
      <c r="E82" s="3">
        <v>-17.037414621564729</v>
      </c>
      <c r="F82" s="3">
        <v>22469.171999999999</v>
      </c>
      <c r="G82" s="3">
        <v>-13.871506885588559</v>
      </c>
      <c r="H82" s="3">
        <v>-1.7051208052903237</v>
      </c>
    </row>
    <row r="83" spans="1:8" x14ac:dyDescent="0.3">
      <c r="A83" s="2">
        <v>2024</v>
      </c>
      <c r="B83" s="3">
        <v>10</v>
      </c>
      <c r="C83" s="3">
        <v>204.518</v>
      </c>
      <c r="D83" s="3">
        <v>-39.589124045547862</v>
      </c>
      <c r="E83" s="3">
        <v>-17.046791146870042</v>
      </c>
      <c r="F83" s="3">
        <v>23728.600000000002</v>
      </c>
      <c r="G83" s="3">
        <v>-4.6132754638488205</v>
      </c>
      <c r="H83" s="3">
        <v>-1.1612884226750559</v>
      </c>
    </row>
    <row r="84" spans="1:8" x14ac:dyDescent="0.3">
      <c r="A84" s="2">
        <v>2024</v>
      </c>
      <c r="B84" s="3">
        <v>11</v>
      </c>
      <c r="C84" s="3">
        <v>211.797</v>
      </c>
      <c r="D84" s="3">
        <v>-33.821296221073752</v>
      </c>
      <c r="E84" s="3">
        <v>-17.025201905685499</v>
      </c>
      <c r="F84" s="3">
        <v>29460.960999999999</v>
      </c>
      <c r="G84" s="3">
        <v>15.528310081045603</v>
      </c>
      <c r="H84" s="3">
        <v>-0.59884625041186879</v>
      </c>
    </row>
    <row r="85" spans="1:8" x14ac:dyDescent="0.3">
      <c r="A85" s="2">
        <v>2024</v>
      </c>
      <c r="B85" s="3">
        <v>12</v>
      </c>
      <c r="C85" s="3">
        <v>262</v>
      </c>
      <c r="D85" s="3">
        <v>-32.531262231927649</v>
      </c>
      <c r="E85" s="3">
        <v>-16.975215055169027</v>
      </c>
      <c r="F85" s="3">
        <v>34876.928999999996</v>
      </c>
      <c r="G85" s="3">
        <v>16.913044836614354</v>
      </c>
      <c r="H85" s="3">
        <v>-2.2054626362492905E-2</v>
      </c>
    </row>
    <row r="86" spans="1:8" x14ac:dyDescent="0.3">
      <c r="A86" s="2">
        <v>2025</v>
      </c>
      <c r="B86" s="3">
        <v>1</v>
      </c>
      <c r="C86" s="3">
        <v>265.74</v>
      </c>
      <c r="D86" s="3">
        <v>-27.396418179582803</v>
      </c>
      <c r="E86" s="3">
        <v>-16.900565147917117</v>
      </c>
      <c r="F86" s="3">
        <v>32412.517</v>
      </c>
      <c r="G86" s="3">
        <v>-1.7456093989501986</v>
      </c>
      <c r="H86" s="3">
        <v>0.56594605302324763</v>
      </c>
    </row>
    <row r="87" spans="1:8" x14ac:dyDescent="0.3">
      <c r="A87" s="2">
        <v>2025</v>
      </c>
      <c r="B87" s="3">
        <v>2</v>
      </c>
      <c r="C87" s="3">
        <v>306.21600000000001</v>
      </c>
      <c r="D87" s="3">
        <v>-14.476032476183287</v>
      </c>
      <c r="E87" s="3">
        <v>-16.806067017580197</v>
      </c>
      <c r="F87" s="3">
        <v>28481.071</v>
      </c>
      <c r="G87" s="3">
        <v>3.0346506826186781</v>
      </c>
      <c r="H87" s="3">
        <v>1.1631914398693466</v>
      </c>
    </row>
    <row r="88" spans="1:8" x14ac:dyDescent="0.3">
      <c r="A88" s="2">
        <v>2025</v>
      </c>
      <c r="B88" s="3">
        <v>3</v>
      </c>
      <c r="C88" s="3">
        <v>278.791</v>
      </c>
      <c r="D88" s="3">
        <v>-4.721365932345889</v>
      </c>
      <c r="E88" s="3">
        <v>-16.69726437649145</v>
      </c>
      <c r="F88" s="3">
        <v>27913.571</v>
      </c>
      <c r="G88" s="3">
        <v>4.4669377868754134</v>
      </c>
      <c r="H88" s="3">
        <v>1.7675566616156329</v>
      </c>
    </row>
    <row r="89" spans="1:8" x14ac:dyDescent="0.3">
      <c r="A89" s="2">
        <v>2025</v>
      </c>
      <c r="B89" s="3">
        <v>4</v>
      </c>
      <c r="C89" s="3">
        <v>233</v>
      </c>
      <c r="D89" s="3">
        <v>2.0126705866385208</v>
      </c>
      <c r="E89" s="3">
        <v>-16.579539129029794</v>
      </c>
      <c r="F89" s="3">
        <v>23099</v>
      </c>
      <c r="G89" s="3">
        <v>2.2714045495743518</v>
      </c>
      <c r="H89" s="3">
        <v>2.3770468081493483</v>
      </c>
    </row>
    <row r="90" spans="1:8" x14ac:dyDescent="0.3">
      <c r="A90" s="2">
        <v>2025</v>
      </c>
      <c r="B90" s="3">
        <v>5</v>
      </c>
      <c r="C90" s="3">
        <v>218.98499999999999</v>
      </c>
      <c r="D90" s="3">
        <v>9.9841290568842602</v>
      </c>
      <c r="E90" s="3">
        <v>-16.457441519959971</v>
      </c>
      <c r="F90" s="3">
        <v>24356.076000000001</v>
      </c>
      <c r="G90" s="3">
        <v>9.3689164684260362</v>
      </c>
      <c r="H90" s="3">
        <v>2.989854426380322</v>
      </c>
    </row>
    <row r="91" spans="1:8" x14ac:dyDescent="0.3">
      <c r="A91" s="2">
        <v>2025</v>
      </c>
      <c r="B91" s="3">
        <v>6</v>
      </c>
      <c r="C91" s="3">
        <v>219.56</v>
      </c>
      <c r="D91" s="3">
        <v>8.6145657099324211</v>
      </c>
      <c r="E91" s="3">
        <v>-16.334230668372022</v>
      </c>
      <c r="F91" s="3">
        <v>25492.058000000001</v>
      </c>
      <c r="G91" s="3">
        <v>21.47334847346918</v>
      </c>
      <c r="H91" s="3">
        <v>3.6041647269504264</v>
      </c>
    </row>
    <row r="92" spans="1:8" x14ac:dyDescent="0.3">
      <c r="A92" s="2">
        <v>2025</v>
      </c>
      <c r="B92" s="3">
        <v>7</v>
      </c>
      <c r="C92" s="3">
        <v>139.51700000000002</v>
      </c>
      <c r="D92" s="3">
        <v>-20.670381531813263</v>
      </c>
      <c r="E92" s="3">
        <v>-16.211329473177035</v>
      </c>
      <c r="F92" s="3">
        <v>25254.751</v>
      </c>
      <c r="G92" s="3">
        <v>6.1033268794034035</v>
      </c>
      <c r="H92" s="3">
        <v>4.21860591092112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C96" s="4"/>
      <c r="D96" s="3"/>
      <c r="E96" s="3"/>
      <c r="F96" s="4"/>
      <c r="G96" s="3"/>
      <c r="H96" s="3"/>
    </row>
    <row r="97" spans="3:8" x14ac:dyDescent="0.3">
      <c r="C97" s="4"/>
      <c r="D97" s="3"/>
      <c r="E97" s="3"/>
      <c r="F97" s="4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79" workbookViewId="0">
      <selection activeCell="C92" sqref="C92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1" style="2" customWidth="1"/>
    <col min="4" max="4" width="20.7109375" style="2" bestFit="1" customWidth="1"/>
    <col min="5" max="5" width="18.140625" style="2" bestFit="1" customWidth="1"/>
    <col min="6" max="6" width="13.71093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104</v>
      </c>
      <c r="D1" s="2" t="s">
        <v>105</v>
      </c>
      <c r="E1" s="2" t="s">
        <v>106</v>
      </c>
      <c r="F1" s="2" t="s">
        <v>107</v>
      </c>
      <c r="G1" s="2" t="s">
        <v>108</v>
      </c>
      <c r="H1" s="2" t="s">
        <v>109</v>
      </c>
    </row>
    <row r="2" spans="1:8" x14ac:dyDescent="0.3">
      <c r="A2" s="2">
        <v>2018</v>
      </c>
      <c r="B2" s="3">
        <v>1</v>
      </c>
      <c r="C2" s="3">
        <v>180325.52</v>
      </c>
      <c r="D2" s="3">
        <v>16.236741830190461</v>
      </c>
      <c r="E2" s="3">
        <v>5.8673461733553109</v>
      </c>
      <c r="F2" s="3">
        <v>22644455.91</v>
      </c>
      <c r="G2" s="3">
        <v>-9.8924369546690478</v>
      </c>
      <c r="H2" s="3">
        <v>-0.24688092383035282</v>
      </c>
    </row>
    <row r="3" spans="1:8" x14ac:dyDescent="0.3">
      <c r="A3" s="2">
        <v>2018</v>
      </c>
      <c r="B3" s="3">
        <v>2</v>
      </c>
      <c r="C3" s="3">
        <v>154107.51</v>
      </c>
      <c r="D3" s="3">
        <v>1.0521766437112667</v>
      </c>
      <c r="E3" s="3">
        <v>6.3418951443032112</v>
      </c>
      <c r="F3" s="3">
        <v>21418725.260000002</v>
      </c>
      <c r="G3" s="3">
        <v>3.0814526831794309</v>
      </c>
      <c r="H3" s="3">
        <v>-0.26936262193950922</v>
      </c>
    </row>
    <row r="4" spans="1:8" x14ac:dyDescent="0.3">
      <c r="A4" s="2">
        <v>2018</v>
      </c>
      <c r="B4" s="3">
        <v>3</v>
      </c>
      <c r="C4" s="3">
        <v>162115.04999999999</v>
      </c>
      <c r="D4" s="3">
        <v>-3.9122744200346227</v>
      </c>
      <c r="E4" s="3">
        <v>6.8041531575929737</v>
      </c>
      <c r="F4" s="3">
        <v>23931088.719999999</v>
      </c>
      <c r="G4" s="3">
        <v>14.613325694606116</v>
      </c>
      <c r="H4" s="3">
        <v>-0.29364057458797943</v>
      </c>
    </row>
    <row r="5" spans="1:8" x14ac:dyDescent="0.3">
      <c r="A5" s="2">
        <v>2018</v>
      </c>
      <c r="B5" s="3">
        <v>4</v>
      </c>
      <c r="C5" s="3">
        <v>181426.38</v>
      </c>
      <c r="D5" s="3">
        <v>19.330130436361181</v>
      </c>
      <c r="E5" s="3">
        <v>7.2512337546855701</v>
      </c>
      <c r="F5" s="3">
        <v>20487032.469999999</v>
      </c>
      <c r="G5" s="3">
        <v>6.2340819665450242</v>
      </c>
      <c r="H5" s="3">
        <v>-0.31992965201669982</v>
      </c>
    </row>
    <row r="6" spans="1:8" x14ac:dyDescent="0.3">
      <c r="A6" s="2">
        <v>2018</v>
      </c>
      <c r="B6" s="3">
        <v>5</v>
      </c>
      <c r="C6" s="3">
        <v>147312.67000000001</v>
      </c>
      <c r="D6" s="3">
        <v>10.229915487190787</v>
      </c>
      <c r="E6" s="3">
        <v>7.679506280682415</v>
      </c>
      <c r="F6" s="3">
        <v>19917115.359999999</v>
      </c>
      <c r="G6" s="3">
        <v>-0.89687707258681026</v>
      </c>
      <c r="H6" s="3">
        <v>-0.34740951847569052</v>
      </c>
    </row>
    <row r="7" spans="1:8" x14ac:dyDescent="0.3">
      <c r="A7" s="2">
        <v>2018</v>
      </c>
      <c r="B7" s="3">
        <v>6</v>
      </c>
      <c r="C7" s="3">
        <v>148133.17000000001</v>
      </c>
      <c r="D7" s="3">
        <v>28.78543751553493</v>
      </c>
      <c r="E7" s="3">
        <v>8.086178892954484</v>
      </c>
      <c r="F7" s="3">
        <v>19675727.100000001</v>
      </c>
      <c r="G7" s="3">
        <v>-10.478407301419757</v>
      </c>
      <c r="H7" s="3">
        <v>-0.37480469851923814</v>
      </c>
    </row>
    <row r="8" spans="1:8" x14ac:dyDescent="0.3">
      <c r="A8" s="2">
        <v>2018</v>
      </c>
      <c r="B8" s="3">
        <v>7</v>
      </c>
      <c r="C8" s="3">
        <v>132476.75</v>
      </c>
      <c r="D8" s="3">
        <v>13.178434775952375</v>
      </c>
      <c r="E8" s="3">
        <v>8.4686368606232012</v>
      </c>
      <c r="F8" s="3">
        <v>21692676.010000002</v>
      </c>
      <c r="G8" s="3">
        <v>-4.3535793796834916</v>
      </c>
      <c r="H8" s="3">
        <v>-0.40087787417066473</v>
      </c>
    </row>
    <row r="9" spans="1:8" x14ac:dyDescent="0.3">
      <c r="A9" s="2">
        <v>2018</v>
      </c>
      <c r="B9" s="3">
        <v>8</v>
      </c>
      <c r="C9" s="3">
        <v>127596.94</v>
      </c>
      <c r="D9" s="3">
        <v>-1.8992785887426811</v>
      </c>
      <c r="E9" s="3">
        <v>8.8257029013254495</v>
      </c>
      <c r="F9" s="3">
        <v>22216138.359999999</v>
      </c>
      <c r="G9" s="3">
        <v>2.9762110308126477</v>
      </c>
      <c r="H9" s="3">
        <v>-0.42509336652293828</v>
      </c>
    </row>
    <row r="10" spans="1:8" x14ac:dyDescent="0.3">
      <c r="A10" s="2">
        <v>2018</v>
      </c>
      <c r="B10" s="3">
        <v>9</v>
      </c>
      <c r="C10" s="3">
        <v>117687.73</v>
      </c>
      <c r="D10" s="3">
        <v>0.52916999520962182</v>
      </c>
      <c r="E10" s="3">
        <v>9.1565268019977903</v>
      </c>
      <c r="F10" s="3">
        <v>20883240.600000001</v>
      </c>
      <c r="G10" s="3">
        <v>3.957633714641573</v>
      </c>
      <c r="H10" s="3">
        <v>-0.44718998982913188</v>
      </c>
    </row>
    <row r="11" spans="1:8" x14ac:dyDescent="0.3">
      <c r="A11" s="2">
        <v>2018</v>
      </c>
      <c r="B11" s="3">
        <v>10</v>
      </c>
      <c r="C11" s="3">
        <v>132365.47</v>
      </c>
      <c r="D11" s="3">
        <v>-1.1042528494485837</v>
      </c>
      <c r="E11" s="3">
        <v>9.4595135591955302</v>
      </c>
      <c r="F11" s="3">
        <v>21907304.949999999</v>
      </c>
      <c r="G11" s="3">
        <v>3.2154956039692095</v>
      </c>
      <c r="H11" s="3">
        <v>-0.46667035664805928</v>
      </c>
    </row>
    <row r="12" spans="1:8" x14ac:dyDescent="0.3">
      <c r="A12" s="2">
        <v>2018</v>
      </c>
      <c r="B12" s="3">
        <v>11</v>
      </c>
      <c r="C12" s="3">
        <v>106751.28</v>
      </c>
      <c r="D12" s="3">
        <v>-31.596404788591535</v>
      </c>
      <c r="E12" s="3">
        <v>9.7324690474735007</v>
      </c>
      <c r="F12" s="3">
        <v>22032578.93</v>
      </c>
      <c r="G12" s="3">
        <v>-1.6896432173337805</v>
      </c>
      <c r="H12" s="3">
        <v>-0.48273118900350143</v>
      </c>
    </row>
    <row r="13" spans="1:8" x14ac:dyDescent="0.3">
      <c r="A13" s="2">
        <v>2018</v>
      </c>
      <c r="B13" s="3">
        <v>12</v>
      </c>
      <c r="C13" s="3">
        <v>131870.97</v>
      </c>
      <c r="D13" s="3">
        <v>-28.010461143458631</v>
      </c>
      <c r="E13" s="3">
        <v>9.9724655464970464</v>
      </c>
      <c r="F13" s="3">
        <v>21405553.57</v>
      </c>
      <c r="G13" s="3">
        <v>-9.0363959013207484</v>
      </c>
      <c r="H13" s="3">
        <v>-0.49431350294975196</v>
      </c>
    </row>
    <row r="14" spans="1:8" x14ac:dyDescent="0.3">
      <c r="A14" s="2">
        <v>2019</v>
      </c>
      <c r="B14" s="3">
        <v>1</v>
      </c>
      <c r="C14" s="3">
        <v>209553.76</v>
      </c>
      <c r="D14" s="3">
        <v>16.208598760730041</v>
      </c>
      <c r="E14" s="3">
        <v>10.173705275248455</v>
      </c>
      <c r="F14" s="3">
        <v>24476967.489999998</v>
      </c>
      <c r="G14" s="3">
        <v>8.0925396807204564</v>
      </c>
      <c r="H14" s="3">
        <v>-0.50044212787640541</v>
      </c>
    </row>
    <row r="15" spans="1:8" x14ac:dyDescent="0.3">
      <c r="A15" s="2">
        <v>2019</v>
      </c>
      <c r="B15" s="3">
        <v>2</v>
      </c>
      <c r="C15" s="3">
        <v>217790.93</v>
      </c>
      <c r="D15" s="3">
        <v>41.324021133038855</v>
      </c>
      <c r="E15" s="3">
        <v>10.327752749467654</v>
      </c>
      <c r="F15" s="3">
        <v>20402966.969999999</v>
      </c>
      <c r="G15" s="3">
        <v>-4.7423844214340649</v>
      </c>
      <c r="H15" s="3">
        <v>-0.50073509333960975</v>
      </c>
    </row>
    <row r="16" spans="1:8" x14ac:dyDescent="0.3">
      <c r="A16" s="2">
        <v>2019</v>
      </c>
      <c r="B16" s="3">
        <v>3</v>
      </c>
      <c r="C16" s="3">
        <v>185628.41</v>
      </c>
      <c r="D16" s="3">
        <v>14.504119142547234</v>
      </c>
      <c r="E16" s="3">
        <v>10.426591574719954</v>
      </c>
      <c r="F16" s="3">
        <v>20624711.359999999</v>
      </c>
      <c r="G16" s="3">
        <v>-13.816242957792181</v>
      </c>
      <c r="H16" s="3">
        <v>-0.49421369404769372</v>
      </c>
    </row>
    <row r="17" spans="1:8" x14ac:dyDescent="0.3">
      <c r="A17" s="2">
        <v>2019</v>
      </c>
      <c r="B17" s="3">
        <v>4</v>
      </c>
      <c r="C17" s="3">
        <v>206188.93</v>
      </c>
      <c r="D17" s="3">
        <v>13.648814466782611</v>
      </c>
      <c r="E17" s="3">
        <v>10.46435787520841</v>
      </c>
      <c r="F17" s="3">
        <v>19767691.359999999</v>
      </c>
      <c r="G17" s="3">
        <v>-3.5112020789412002</v>
      </c>
      <c r="H17" s="3">
        <v>-0.48019378369010396</v>
      </c>
    </row>
    <row r="18" spans="1:8" x14ac:dyDescent="0.3">
      <c r="A18" s="2">
        <v>2019</v>
      </c>
      <c r="B18" s="3">
        <v>5</v>
      </c>
      <c r="C18" s="3">
        <v>214793.13</v>
      </c>
      <c r="D18" s="3">
        <v>45.80764166449498</v>
      </c>
      <c r="E18" s="3">
        <v>10.435470936772736</v>
      </c>
      <c r="F18" s="3">
        <v>20484341.510000002</v>
      </c>
      <c r="G18" s="3">
        <v>2.8479332460923379</v>
      </c>
      <c r="H18" s="3">
        <v>-0.45891635687738025</v>
      </c>
    </row>
    <row r="19" spans="1:8" x14ac:dyDescent="0.3">
      <c r="A19" s="2">
        <v>2019</v>
      </c>
      <c r="B19" s="3">
        <v>6</v>
      </c>
      <c r="C19" s="3">
        <v>191199.12</v>
      </c>
      <c r="D19" s="3">
        <v>29.072455547937025</v>
      </c>
      <c r="E19" s="3">
        <v>10.334571188071502</v>
      </c>
      <c r="F19" s="3">
        <v>20776398.82</v>
      </c>
      <c r="G19" s="3">
        <v>5.5940586815721671</v>
      </c>
      <c r="H19" s="3">
        <v>-0.43083289490723259</v>
      </c>
    </row>
    <row r="20" spans="1:8" x14ac:dyDescent="0.3">
      <c r="A20" s="2">
        <v>2019</v>
      </c>
      <c r="B20" s="3">
        <v>7</v>
      </c>
      <c r="C20" s="3">
        <v>178737.36</v>
      </c>
      <c r="D20" s="3">
        <v>34.919795360317927</v>
      </c>
      <c r="E20" s="3">
        <v>10.158755458508256</v>
      </c>
      <c r="F20" s="3">
        <v>23483725.510000002</v>
      </c>
      <c r="G20" s="3">
        <v>8.2564709820694979</v>
      </c>
      <c r="H20" s="3">
        <v>-0.39616523674383136</v>
      </c>
    </row>
    <row r="21" spans="1:8" x14ac:dyDescent="0.3">
      <c r="A21" s="2">
        <v>2019</v>
      </c>
      <c r="B21" s="3">
        <v>8</v>
      </c>
      <c r="C21" s="3">
        <v>175755.21</v>
      </c>
      <c r="D21" s="3">
        <v>37.742496019105154</v>
      </c>
      <c r="E21" s="3">
        <v>9.9064218194559839</v>
      </c>
      <c r="F21" s="3">
        <v>22251322.140000001</v>
      </c>
      <c r="G21" s="3">
        <v>0.15837036765735668</v>
      </c>
      <c r="H21" s="3">
        <v>-0.35471682610298028</v>
      </c>
    </row>
    <row r="22" spans="1:8" x14ac:dyDescent="0.3">
      <c r="A22" s="2">
        <v>2019</v>
      </c>
      <c r="B22" s="3">
        <v>9</v>
      </c>
      <c r="C22" s="3">
        <v>179263.35</v>
      </c>
      <c r="D22" s="3">
        <v>52.321189303251934</v>
      </c>
      <c r="E22" s="3">
        <v>9.5776878589475167</v>
      </c>
      <c r="F22" s="3">
        <v>21155815.949999999</v>
      </c>
      <c r="G22" s="3">
        <v>1.3052349260392004</v>
      </c>
      <c r="H22" s="3">
        <v>-0.30569022918528777</v>
      </c>
    </row>
    <row r="23" spans="1:8" x14ac:dyDescent="0.3">
      <c r="A23" s="2">
        <v>2019</v>
      </c>
      <c r="B23" s="3">
        <v>10</v>
      </c>
      <c r="C23" s="3">
        <v>204195.89</v>
      </c>
      <c r="D23" s="3">
        <v>54.266735879077842</v>
      </c>
      <c r="E23" s="3">
        <v>9.1746042257239964</v>
      </c>
      <c r="F23" s="3">
        <v>20763144.989999998</v>
      </c>
      <c r="G23" s="3">
        <v>-5.2227326118450819</v>
      </c>
      <c r="H23" s="3">
        <v>-0.24825238113623996</v>
      </c>
    </row>
    <row r="24" spans="1:8" x14ac:dyDescent="0.3">
      <c r="A24" s="2">
        <v>2019</v>
      </c>
      <c r="B24" s="3">
        <v>11</v>
      </c>
      <c r="C24" s="3">
        <v>214643.16</v>
      </c>
      <c r="D24" s="3">
        <v>101.0684649401862</v>
      </c>
      <c r="E24" s="3">
        <v>8.7021898672379745</v>
      </c>
      <c r="F24" s="3">
        <v>22222921.489999998</v>
      </c>
      <c r="G24" s="3">
        <v>0.86391411829154219</v>
      </c>
      <c r="H24" s="3">
        <v>-0.18145834729887683</v>
      </c>
    </row>
    <row r="25" spans="1:8" x14ac:dyDescent="0.3">
      <c r="A25" s="2">
        <v>2019</v>
      </c>
      <c r="B25" s="3">
        <v>12</v>
      </c>
      <c r="C25" s="3">
        <v>208915.91</v>
      </c>
      <c r="D25" s="3">
        <v>58.424488725608079</v>
      </c>
      <c r="E25" s="3">
        <v>8.1685951289734842</v>
      </c>
      <c r="F25" s="3">
        <v>21772781.530000001</v>
      </c>
      <c r="G25" s="3">
        <v>1.7155732917585986</v>
      </c>
      <c r="H25" s="3">
        <v>-0.10470864303225981</v>
      </c>
    </row>
    <row r="26" spans="1:8" x14ac:dyDescent="0.3">
      <c r="A26" s="2">
        <v>2020</v>
      </c>
      <c r="B26" s="3">
        <v>1</v>
      </c>
      <c r="C26" s="3">
        <v>206056.77</v>
      </c>
      <c r="D26" s="3">
        <v>-1.6687794101141518</v>
      </c>
      <c r="E26" s="3">
        <v>7.5883846810724007</v>
      </c>
      <c r="F26" s="3">
        <v>22904961.585000001</v>
      </c>
      <c r="G26" s="3">
        <v>-6.4223883356557039</v>
      </c>
      <c r="H26" s="3">
        <v>-1.733118838533983E-2</v>
      </c>
    </row>
    <row r="27" spans="1:8" x14ac:dyDescent="0.3">
      <c r="A27" s="2">
        <v>2020</v>
      </c>
      <c r="B27" s="3">
        <v>2</v>
      </c>
      <c r="C27" s="3">
        <v>158401.91</v>
      </c>
      <c r="D27" s="3">
        <v>-27.268821525304098</v>
      </c>
      <c r="E27" s="3">
        <v>6.9796131862874766</v>
      </c>
      <c r="F27" s="3">
        <v>20460852.623000003</v>
      </c>
      <c r="G27" s="3">
        <v>0.28371193799958672</v>
      </c>
      <c r="H27" s="3">
        <v>8.1472505060626019E-2</v>
      </c>
    </row>
    <row r="28" spans="1:8" x14ac:dyDescent="0.3">
      <c r="A28" s="2">
        <v>2020</v>
      </c>
      <c r="B28" s="3">
        <v>3</v>
      </c>
      <c r="C28" s="3">
        <v>125090.98</v>
      </c>
      <c r="D28" s="3">
        <v>-32.612157804939457</v>
      </c>
      <c r="E28" s="3">
        <v>6.3596924487540196</v>
      </c>
      <c r="F28" s="3">
        <v>21160857.077999998</v>
      </c>
      <c r="G28" s="3">
        <v>2.5995307698696291</v>
      </c>
      <c r="H28" s="3">
        <v>0.19205613008915354</v>
      </c>
    </row>
    <row r="29" spans="1:8" x14ac:dyDescent="0.3">
      <c r="A29" s="2">
        <v>2020</v>
      </c>
      <c r="B29" s="3">
        <v>4</v>
      </c>
      <c r="C29" s="3">
        <v>143312.19</v>
      </c>
      <c r="D29" s="3">
        <v>-30.494721515844713</v>
      </c>
      <c r="E29" s="3">
        <v>5.7436559090856987</v>
      </c>
      <c r="F29" s="3">
        <v>17606887.246999998</v>
      </c>
      <c r="G29" s="3">
        <v>-10.930988721183688</v>
      </c>
      <c r="H29" s="3">
        <v>0.31478742388882375</v>
      </c>
    </row>
    <row r="30" spans="1:8" x14ac:dyDescent="0.3">
      <c r="A30" s="2">
        <v>2020</v>
      </c>
      <c r="B30" s="3">
        <v>5</v>
      </c>
      <c r="C30" s="3">
        <v>146814.60999999999</v>
      </c>
      <c r="D30" s="3">
        <v>-31.648367897055184</v>
      </c>
      <c r="E30" s="3">
        <v>5.1438306294063443</v>
      </c>
      <c r="F30" s="3">
        <v>18072942.740000002</v>
      </c>
      <c r="G30" s="3">
        <v>-11.771912554879094</v>
      </c>
      <c r="H30" s="3">
        <v>0.45020130938709135</v>
      </c>
    </row>
    <row r="31" spans="1:8" x14ac:dyDescent="0.3">
      <c r="A31" s="2">
        <v>2020</v>
      </c>
      <c r="B31" s="3">
        <v>6</v>
      </c>
      <c r="C31" s="3">
        <v>117955.64</v>
      </c>
      <c r="D31" s="3">
        <v>-38.307435724599571</v>
      </c>
      <c r="E31" s="3">
        <v>4.5700271178519438</v>
      </c>
      <c r="F31" s="3">
        <v>18984194.230999999</v>
      </c>
      <c r="G31" s="3">
        <v>-8.6261560751075379</v>
      </c>
      <c r="H31" s="3">
        <v>0.59805175283466994</v>
      </c>
    </row>
    <row r="32" spans="1:8" x14ac:dyDescent="0.3">
      <c r="A32" s="2">
        <v>2020</v>
      </c>
      <c r="B32" s="3">
        <v>7</v>
      </c>
      <c r="C32" s="3">
        <v>113269.42</v>
      </c>
      <c r="D32" s="3">
        <v>-36.628011066069234</v>
      </c>
      <c r="E32" s="3">
        <v>4.0295008687719251</v>
      </c>
      <c r="F32" s="3">
        <v>23492232.523999996</v>
      </c>
      <c r="G32" s="3">
        <v>3.6225146629198512E-2</v>
      </c>
      <c r="H32" s="3">
        <v>0.75724396257503235</v>
      </c>
    </row>
    <row r="33" spans="1:8" x14ac:dyDescent="0.3">
      <c r="A33" s="2">
        <v>2020</v>
      </c>
      <c r="B33" s="3">
        <v>8</v>
      </c>
      <c r="C33" s="3">
        <v>136014.22</v>
      </c>
      <c r="D33" s="3">
        <v>-22.611557290392692</v>
      </c>
      <c r="E33" s="3">
        <v>3.5265297749294358</v>
      </c>
      <c r="F33" s="3">
        <v>22076470.555</v>
      </c>
      <c r="G33" s="3">
        <v>-0.78580312621370219</v>
      </c>
      <c r="H33" s="3">
        <v>0.92604257696359993</v>
      </c>
    </row>
    <row r="34" spans="1:8" x14ac:dyDescent="0.3">
      <c r="A34" s="2">
        <v>2020</v>
      </c>
      <c r="B34" s="3">
        <v>9</v>
      </c>
      <c r="C34" s="3">
        <v>156952.4</v>
      </c>
      <c r="D34" s="3">
        <v>-12.445907097016773</v>
      </c>
      <c r="E34" s="3">
        <v>3.0625682907588141</v>
      </c>
      <c r="F34" s="3">
        <v>20870864.921</v>
      </c>
      <c r="G34" s="3">
        <v>-1.3469158063837194</v>
      </c>
      <c r="H34" s="3">
        <v>1.1026621636046867</v>
      </c>
    </row>
    <row r="35" spans="1:8" x14ac:dyDescent="0.3">
      <c r="A35" s="2">
        <v>2020</v>
      </c>
      <c r="B35" s="3">
        <v>10</v>
      </c>
      <c r="C35" s="3">
        <v>180737.86</v>
      </c>
      <c r="D35" s="3">
        <v>-11.488003015143954</v>
      </c>
      <c r="E35" s="3">
        <v>2.6372557257593074</v>
      </c>
      <c r="F35" s="3">
        <v>20613162.982000001</v>
      </c>
      <c r="G35" s="3">
        <v>-0.72234725554453094</v>
      </c>
      <c r="H35" s="3">
        <v>1.2851984119287749</v>
      </c>
    </row>
    <row r="36" spans="1:8" x14ac:dyDescent="0.3">
      <c r="A36" s="2">
        <v>2020</v>
      </c>
      <c r="B36" s="3">
        <v>11</v>
      </c>
      <c r="C36" s="3">
        <v>150467.25</v>
      </c>
      <c r="D36" s="3">
        <v>-29.898884269128356</v>
      </c>
      <c r="E36" s="3">
        <v>2.2491544119726776</v>
      </c>
      <c r="F36" s="3">
        <v>19559887.862999998</v>
      </c>
      <c r="G36" s="3">
        <v>-11.983274243210229</v>
      </c>
      <c r="H36" s="3">
        <v>1.4715769017850973</v>
      </c>
    </row>
    <row r="37" spans="1:8" x14ac:dyDescent="0.3">
      <c r="A37" s="2">
        <v>2020</v>
      </c>
      <c r="B37" s="3">
        <v>12</v>
      </c>
      <c r="C37" s="3">
        <v>181636.77</v>
      </c>
      <c r="D37" s="3">
        <v>-13.057473698388989</v>
      </c>
      <c r="E37" s="3">
        <v>1.89584576069479</v>
      </c>
      <c r="F37" s="3">
        <v>23441055.543000001</v>
      </c>
      <c r="G37" s="3">
        <v>7.6621997547779541</v>
      </c>
      <c r="H37" s="3">
        <v>1.6595838001293117</v>
      </c>
    </row>
    <row r="38" spans="1:8" x14ac:dyDescent="0.3">
      <c r="A38" s="2">
        <v>2021</v>
      </c>
      <c r="B38" s="3">
        <v>1</v>
      </c>
      <c r="C38" s="3">
        <v>191648.39</v>
      </c>
      <c r="D38" s="3">
        <v>-6.9924322311758935</v>
      </c>
      <c r="E38" s="3">
        <v>1.5726786805353226</v>
      </c>
      <c r="F38" s="3">
        <v>24431369.931000002</v>
      </c>
      <c r="G38" s="3">
        <v>6.664094765387496</v>
      </c>
      <c r="H38" s="3">
        <v>1.8460709092542293</v>
      </c>
    </row>
    <row r="39" spans="1:8" x14ac:dyDescent="0.3">
      <c r="A39" s="2">
        <v>2021</v>
      </c>
      <c r="B39" s="3">
        <v>2</v>
      </c>
      <c r="C39" s="3">
        <v>187084.1</v>
      </c>
      <c r="D39" s="3">
        <v>18.107224843437809</v>
      </c>
      <c r="E39" s="3">
        <v>1.2739636551415163</v>
      </c>
      <c r="F39" s="3">
        <v>21199109.228</v>
      </c>
      <c r="G39" s="3">
        <v>3.6081419411140514</v>
      </c>
      <c r="H39" s="3">
        <v>2.0283068797828454</v>
      </c>
    </row>
    <row r="40" spans="1:8" x14ac:dyDescent="0.3">
      <c r="A40" s="2">
        <v>2021</v>
      </c>
      <c r="B40" s="3">
        <v>3</v>
      </c>
      <c r="C40" s="3">
        <v>190618.88</v>
      </c>
      <c r="D40" s="3">
        <v>52.3841926891931</v>
      </c>
      <c r="E40" s="3">
        <v>0.99341636879174422</v>
      </c>
      <c r="F40" s="3">
        <v>22207842.120999999</v>
      </c>
      <c r="G40" s="3">
        <v>4.9477440310700116</v>
      </c>
      <c r="H40" s="3">
        <v>2.2038949473281644</v>
      </c>
    </row>
    <row r="41" spans="1:8" x14ac:dyDescent="0.3">
      <c r="A41" s="2">
        <v>2021</v>
      </c>
      <c r="B41" s="3">
        <v>4</v>
      </c>
      <c r="C41" s="3">
        <v>116780.49</v>
      </c>
      <c r="D41" s="3">
        <v>-18.513219287207871</v>
      </c>
      <c r="E41" s="3">
        <v>0.72592148223578834</v>
      </c>
      <c r="F41" s="3">
        <v>20007418.434</v>
      </c>
      <c r="G41" s="3">
        <v>13.63404645763846</v>
      </c>
      <c r="H41" s="3">
        <v>2.3705480582713392</v>
      </c>
    </row>
    <row r="42" spans="1:8" x14ac:dyDescent="0.3">
      <c r="A42" s="2">
        <v>2021</v>
      </c>
      <c r="B42" s="3">
        <v>5</v>
      </c>
      <c r="C42" s="3">
        <v>162347.71</v>
      </c>
      <c r="D42" s="3">
        <v>10.580077827404244</v>
      </c>
      <c r="E42" s="3">
        <v>0.46993246013456957</v>
      </c>
      <c r="F42" s="3">
        <v>20247861.307</v>
      </c>
      <c r="G42" s="3">
        <v>12.034114190968758</v>
      </c>
      <c r="H42" s="3">
        <v>2.5261697040687814</v>
      </c>
    </row>
    <row r="43" spans="1:8" ht="15" customHeight="1" x14ac:dyDescent="0.3">
      <c r="A43" s="2">
        <v>2021</v>
      </c>
      <c r="B43" s="3">
        <v>6</v>
      </c>
      <c r="C43" s="3">
        <v>129723.32</v>
      </c>
      <c r="D43" s="3">
        <v>9.9763606047154738</v>
      </c>
      <c r="E43" s="3">
        <v>0.22256671570668632</v>
      </c>
      <c r="F43" s="3">
        <v>19992009.98</v>
      </c>
      <c r="G43" s="3">
        <v>5.3087096388547472</v>
      </c>
      <c r="H43" s="3">
        <v>2.6694455635657479</v>
      </c>
    </row>
    <row r="44" spans="1:8" x14ac:dyDescent="0.3">
      <c r="A44" s="2">
        <v>2021</v>
      </c>
      <c r="B44" s="3">
        <v>7</v>
      </c>
      <c r="C44" s="3">
        <v>140933.35999999999</v>
      </c>
      <c r="D44" s="3">
        <v>24.423132033341389</v>
      </c>
      <c r="E44" s="3">
        <v>-1.8356244400980423E-2</v>
      </c>
      <c r="F44" s="3">
        <v>22460922.289000001</v>
      </c>
      <c r="G44" s="3">
        <v>-4.3900052238389664</v>
      </c>
      <c r="H44" s="3">
        <v>2.7997215895301975</v>
      </c>
    </row>
    <row r="45" spans="1:8" x14ac:dyDescent="0.3">
      <c r="A45" s="2">
        <v>2021</v>
      </c>
      <c r="B45" s="3">
        <v>8</v>
      </c>
      <c r="C45" s="3">
        <v>138739.35</v>
      </c>
      <c r="D45" s="3">
        <v>2.0035625686784853</v>
      </c>
      <c r="E45" s="3">
        <v>-0.25433956674370189</v>
      </c>
      <c r="F45" s="3">
        <v>21622107.366</v>
      </c>
      <c r="G45" s="3">
        <v>-2.0581332866049684</v>
      </c>
      <c r="H45" s="3">
        <v>2.9165270169575388</v>
      </c>
    </row>
    <row r="46" spans="1:8" x14ac:dyDescent="0.3">
      <c r="A46" s="2">
        <v>2021</v>
      </c>
      <c r="B46" s="3">
        <v>9</v>
      </c>
      <c r="C46" s="3">
        <v>138951.38</v>
      </c>
      <c r="D46" s="3">
        <v>-11.469095088702041</v>
      </c>
      <c r="E46" s="3">
        <v>-0.48518907230190611</v>
      </c>
      <c r="F46" s="3">
        <v>20903842.870000001</v>
      </c>
      <c r="G46" s="3">
        <v>0.15800949852740054</v>
      </c>
      <c r="H46" s="3">
        <v>3.0188917942589191</v>
      </c>
    </row>
    <row r="47" spans="1:8" x14ac:dyDescent="0.3">
      <c r="A47" s="2">
        <v>2021</v>
      </c>
      <c r="B47" s="3">
        <v>10</v>
      </c>
      <c r="C47" s="3">
        <v>118772.36</v>
      </c>
      <c r="D47" s="3">
        <v>-34.284737021894571</v>
      </c>
      <c r="E47" s="3">
        <v>-0.71055378329661678</v>
      </c>
      <c r="F47" s="3">
        <v>20878159.075999998</v>
      </c>
      <c r="G47" s="3">
        <v>1.2855673543715751</v>
      </c>
      <c r="H47" s="3">
        <v>3.105500407324405</v>
      </c>
    </row>
    <row r="48" spans="1:8" x14ac:dyDescent="0.3">
      <c r="A48" s="2">
        <v>2021</v>
      </c>
      <c r="B48" s="3">
        <v>11</v>
      </c>
      <c r="C48" s="3">
        <v>162555.82</v>
      </c>
      <c r="D48" s="3">
        <v>8.0340206922104418</v>
      </c>
      <c r="E48" s="3">
        <v>-0.93084549319999643</v>
      </c>
      <c r="F48" s="3">
        <v>23261486.169999994</v>
      </c>
      <c r="G48" s="3">
        <v>18.924435216226556</v>
      </c>
      <c r="H48" s="3">
        <v>3.1748386696624147</v>
      </c>
    </row>
    <row r="49" spans="1:8" x14ac:dyDescent="0.3">
      <c r="A49" s="2">
        <v>2021</v>
      </c>
      <c r="B49" s="3">
        <v>12</v>
      </c>
      <c r="C49" s="3">
        <v>201588.29</v>
      </c>
      <c r="D49" s="3">
        <v>10.984295745844875</v>
      </c>
      <c r="E49" s="3">
        <v>-1.1488075359868881</v>
      </c>
      <c r="F49" s="3">
        <v>24175856.670000002</v>
      </c>
      <c r="G49" s="3">
        <v>3.1346759349300202</v>
      </c>
      <c r="H49" s="3">
        <v>3.2252660105415778</v>
      </c>
    </row>
    <row r="50" spans="1:8" x14ac:dyDescent="0.3">
      <c r="A50" s="2">
        <v>2022</v>
      </c>
      <c r="B50" s="3">
        <v>1</v>
      </c>
      <c r="C50" s="3">
        <v>178039.09999999998</v>
      </c>
      <c r="D50" s="3">
        <v>-7.1011762739045414</v>
      </c>
      <c r="E50" s="3">
        <v>-1.3665606854803702</v>
      </c>
      <c r="F50" s="3">
        <v>24613939.172500003</v>
      </c>
      <c r="G50" s="3">
        <v>0.74727386149699981</v>
      </c>
      <c r="H50" s="3">
        <v>3.2562355812129251</v>
      </c>
    </row>
    <row r="51" spans="1:8" x14ac:dyDescent="0.3">
      <c r="A51" s="2">
        <v>2022</v>
      </c>
      <c r="B51" s="3">
        <v>2</v>
      </c>
      <c r="C51" s="3">
        <v>146262.22</v>
      </c>
      <c r="D51" s="3">
        <v>-21.820069156064037</v>
      </c>
      <c r="E51" s="3">
        <v>-1.5853831388867272</v>
      </c>
      <c r="F51" s="3">
        <v>21300547.849999998</v>
      </c>
      <c r="G51" s="3">
        <v>0.47850417160932857</v>
      </c>
      <c r="H51" s="3">
        <v>3.2671942419500137</v>
      </c>
    </row>
    <row r="52" spans="1:8" x14ac:dyDescent="0.3">
      <c r="A52" s="2">
        <v>2022</v>
      </c>
      <c r="B52" s="3">
        <v>3</v>
      </c>
      <c r="C52" s="3">
        <v>164220.21</v>
      </c>
      <c r="D52" s="3">
        <v>-13.848927241624764</v>
      </c>
      <c r="E52" s="3">
        <v>-1.8069513306058844</v>
      </c>
      <c r="F52" s="3">
        <v>23048236.260000002</v>
      </c>
      <c r="G52" s="3">
        <v>3.784222413060645</v>
      </c>
      <c r="H52" s="3">
        <v>3.2574146195736429</v>
      </c>
    </row>
    <row r="53" spans="1:8" x14ac:dyDescent="0.3">
      <c r="A53" s="2">
        <v>2022</v>
      </c>
      <c r="B53" s="3">
        <v>4</v>
      </c>
      <c r="C53" s="3">
        <v>168690.71</v>
      </c>
      <c r="D53" s="3">
        <v>44.451106516165481</v>
      </c>
      <c r="E53" s="3">
        <v>-2.0343468815667376</v>
      </c>
      <c r="F53" s="3">
        <v>21963380.510000005</v>
      </c>
      <c r="G53" s="3">
        <v>9.776184181144032</v>
      </c>
      <c r="H53" s="3">
        <v>3.2259756818719496</v>
      </c>
    </row>
    <row r="54" spans="1:8" x14ac:dyDescent="0.3">
      <c r="A54" s="2">
        <v>2022</v>
      </c>
      <c r="B54" s="3">
        <v>5</v>
      </c>
      <c r="C54" s="3">
        <v>180258.69</v>
      </c>
      <c r="D54" s="3">
        <v>11.03248084004389</v>
      </c>
      <c r="E54" s="3">
        <v>-2.2714876610253367</v>
      </c>
      <c r="F54" s="3">
        <v>22388670.520000003</v>
      </c>
      <c r="G54" s="3">
        <v>10.573014011410153</v>
      </c>
      <c r="H54" s="3">
        <v>3.1719929805076186</v>
      </c>
    </row>
    <row r="55" spans="1:8" x14ac:dyDescent="0.3">
      <c r="A55" s="2">
        <v>2022</v>
      </c>
      <c r="B55" s="3">
        <v>6</v>
      </c>
      <c r="C55" s="3">
        <v>146658.96</v>
      </c>
      <c r="D55" s="3">
        <v>13.055200869049589</v>
      </c>
      <c r="E55" s="3">
        <v>-2.5190633817517787</v>
      </c>
      <c r="F55" s="3">
        <v>23445944.620000001</v>
      </c>
      <c r="G55" s="3">
        <v>17.276575209072597</v>
      </c>
      <c r="H55" s="3">
        <v>3.0950369427335622</v>
      </c>
    </row>
    <row r="56" spans="1:8" x14ac:dyDescent="0.3">
      <c r="A56" s="2">
        <v>2022</v>
      </c>
      <c r="B56" s="3">
        <v>7</v>
      </c>
      <c r="C56" s="3">
        <v>91079.43</v>
      </c>
      <c r="D56" s="3">
        <v>-35.374115823251493</v>
      </c>
      <c r="E56" s="3">
        <v>-2.7768398698146974</v>
      </c>
      <c r="F56" s="3">
        <v>26622662.84</v>
      </c>
      <c r="G56" s="3">
        <v>18.528805262098103</v>
      </c>
      <c r="H56" s="3">
        <v>2.9951919555965061</v>
      </c>
    </row>
    <row r="57" spans="1:8" x14ac:dyDescent="0.3">
      <c r="A57" s="2">
        <v>2022</v>
      </c>
      <c r="B57" s="3">
        <v>8</v>
      </c>
      <c r="C57" s="3">
        <v>92416.25</v>
      </c>
      <c r="D57" s="3">
        <v>-33.38858081719426</v>
      </c>
      <c r="E57" s="3">
        <v>-3.0435014051541991</v>
      </c>
      <c r="F57" s="3">
        <v>25478046.979999997</v>
      </c>
      <c r="G57" s="3">
        <v>17.833320077132385</v>
      </c>
      <c r="H57" s="3">
        <v>2.8735272351894499</v>
      </c>
    </row>
    <row r="58" spans="1:8" x14ac:dyDescent="0.3">
      <c r="A58" s="2">
        <v>2022</v>
      </c>
      <c r="B58" s="3">
        <v>9</v>
      </c>
      <c r="C58" s="3">
        <v>107337.9</v>
      </c>
      <c r="D58" s="3">
        <v>-22.751468895091222</v>
      </c>
      <c r="E58" s="3">
        <v>-3.3199959674293784</v>
      </c>
      <c r="F58" s="3">
        <v>23882484.5</v>
      </c>
      <c r="G58" s="3">
        <v>14.249253826313325</v>
      </c>
      <c r="H58" s="3">
        <v>2.7321907207516776</v>
      </c>
    </row>
    <row r="59" spans="1:8" x14ac:dyDescent="0.3">
      <c r="A59" s="2">
        <v>2022</v>
      </c>
      <c r="B59" s="3">
        <v>10</v>
      </c>
      <c r="C59" s="3">
        <v>156327.19</v>
      </c>
      <c r="D59" s="3">
        <v>31.619166277406642</v>
      </c>
      <c r="E59" s="3">
        <v>-3.6093788334807226</v>
      </c>
      <c r="F59" s="3">
        <v>22160553.599999994</v>
      </c>
      <c r="G59" s="3">
        <v>6.142277771387139</v>
      </c>
      <c r="H59" s="3">
        <v>2.5743692260253868</v>
      </c>
    </row>
    <row r="60" spans="1:8" x14ac:dyDescent="0.3">
      <c r="A60" s="2">
        <v>2022</v>
      </c>
      <c r="B60" s="3">
        <v>11</v>
      </c>
      <c r="C60" s="3">
        <v>139301</v>
      </c>
      <c r="D60" s="3">
        <v>-14.305744328317505</v>
      </c>
      <c r="E60" s="3">
        <v>-3.9160546879909175</v>
      </c>
      <c r="F60" s="3">
        <v>21817922.329999998</v>
      </c>
      <c r="G60" s="3">
        <v>-6.2058108817730666</v>
      </c>
      <c r="H60" s="3">
        <v>2.4040493608017721</v>
      </c>
    </row>
    <row r="61" spans="1:8" x14ac:dyDescent="0.3">
      <c r="A61" s="2">
        <v>2022</v>
      </c>
      <c r="B61" s="3">
        <v>12</v>
      </c>
      <c r="C61" s="3">
        <v>130157.85</v>
      </c>
      <c r="D61" s="3">
        <v>-35.433824057935112</v>
      </c>
      <c r="E61" s="3">
        <v>-4.2419817888988369</v>
      </c>
      <c r="F61" s="3">
        <v>22447960.309999999</v>
      </c>
      <c r="G61" s="3">
        <v>-7.1471980645226196</v>
      </c>
      <c r="H61" s="3">
        <v>2.2254655062987894</v>
      </c>
    </row>
    <row r="62" spans="1:8" x14ac:dyDescent="0.3">
      <c r="A62" s="2">
        <v>2023</v>
      </c>
      <c r="B62" s="3">
        <v>1</v>
      </c>
      <c r="C62" s="3">
        <v>133807.73000000001</v>
      </c>
      <c r="D62" s="3">
        <v>-24.843627045969097</v>
      </c>
      <c r="E62" s="3">
        <v>-4.5898399003683776</v>
      </c>
      <c r="F62" s="3">
        <v>24146306.68</v>
      </c>
      <c r="G62" s="3">
        <v>-1.8998685631858026</v>
      </c>
      <c r="H62" s="3">
        <v>2.0422541367731042</v>
      </c>
    </row>
    <row r="63" spans="1:8" x14ac:dyDescent="0.3">
      <c r="A63" s="2">
        <v>2023</v>
      </c>
      <c r="B63" s="3">
        <v>2</v>
      </c>
      <c r="C63" s="3">
        <v>157291.35</v>
      </c>
      <c r="D63" s="3">
        <v>7.5406554064337383</v>
      </c>
      <c r="E63" s="3">
        <v>-4.9644748867210087</v>
      </c>
      <c r="F63" s="3">
        <v>22054384.5</v>
      </c>
      <c r="G63" s="3">
        <v>3.5390481752327396</v>
      </c>
      <c r="H63" s="3">
        <v>1.8574008470667422</v>
      </c>
    </row>
    <row r="64" spans="1:8" x14ac:dyDescent="0.3">
      <c r="A64" s="2">
        <v>2023</v>
      </c>
      <c r="B64" s="3">
        <v>3</v>
      </c>
      <c r="C64" s="3">
        <v>193999.89</v>
      </c>
      <c r="D64" s="3">
        <v>18.133992156020273</v>
      </c>
      <c r="E64" s="3">
        <v>-5.3721391252744208</v>
      </c>
      <c r="F64" s="3">
        <v>24299632.880000003</v>
      </c>
      <c r="G64" s="3">
        <v>5.4294680334034506</v>
      </c>
      <c r="H64" s="3">
        <v>1.6736174735008984</v>
      </c>
    </row>
    <row r="65" spans="1:8" x14ac:dyDescent="0.3">
      <c r="A65" s="2">
        <v>2023</v>
      </c>
      <c r="B65" s="3">
        <v>4</v>
      </c>
      <c r="C65" s="3">
        <v>158498.49</v>
      </c>
      <c r="D65" s="3">
        <v>-6.0419569044436461</v>
      </c>
      <c r="E65" s="3">
        <v>-5.8182165815203915</v>
      </c>
      <c r="F65" s="3">
        <v>21729492.57</v>
      </c>
      <c r="G65" s="3">
        <v>-1.0648995490175839</v>
      </c>
      <c r="H65" s="3">
        <v>1.4937326334612235</v>
      </c>
    </row>
    <row r="66" spans="1:8" x14ac:dyDescent="0.3">
      <c r="A66" s="2">
        <v>2023</v>
      </c>
      <c r="B66" s="3">
        <v>5</v>
      </c>
      <c r="C66" s="3">
        <v>168180.22</v>
      </c>
      <c r="D66" s="3">
        <v>-6.700631187323058</v>
      </c>
      <c r="E66" s="3">
        <v>-6.306458850722831</v>
      </c>
      <c r="F66" s="3">
        <v>21780255.710000001</v>
      </c>
      <c r="G66" s="3">
        <v>-2.7175120088372418</v>
      </c>
      <c r="H66" s="3">
        <v>1.3208357672889175</v>
      </c>
    </row>
    <row r="67" spans="1:8" x14ac:dyDescent="0.3">
      <c r="A67" s="2">
        <v>2023</v>
      </c>
      <c r="B67" s="3">
        <v>6</v>
      </c>
      <c r="C67" s="3">
        <v>154225.09</v>
      </c>
      <c r="D67" s="3">
        <v>5.1589960817941094</v>
      </c>
      <c r="E67" s="3">
        <v>-6.8406330656680741</v>
      </c>
      <c r="F67" s="3">
        <v>21583847.830000002</v>
      </c>
      <c r="G67" s="3">
        <v>-7.9420847407938648</v>
      </c>
      <c r="H67" s="3">
        <v>1.1578386325347303</v>
      </c>
    </row>
    <row r="68" spans="1:8" x14ac:dyDescent="0.3">
      <c r="A68" s="2">
        <v>2023</v>
      </c>
      <c r="B68" s="3">
        <v>7</v>
      </c>
      <c r="C68" s="3">
        <v>123226.12999999999</v>
      </c>
      <c r="D68" s="3">
        <v>35.295236256968224</v>
      </c>
      <c r="E68" s="3">
        <v>-7.4245337322213869</v>
      </c>
      <c r="F68" s="3">
        <v>23897567.93</v>
      </c>
      <c r="G68" s="3">
        <v>-10.235996776046019</v>
      </c>
      <c r="H68" s="3">
        <v>1.0073725459316254</v>
      </c>
    </row>
    <row r="69" spans="1:8" x14ac:dyDescent="0.3">
      <c r="A69" s="2">
        <v>2023</v>
      </c>
      <c r="B69" s="3">
        <v>8</v>
      </c>
      <c r="C69" s="3">
        <v>114398.58</v>
      </c>
      <c r="D69" s="3">
        <v>23.786217250754071</v>
      </c>
      <c r="E69" s="3">
        <v>-8.0611220486683504</v>
      </c>
      <c r="F69" s="3">
        <v>23910612.710000001</v>
      </c>
      <c r="G69" s="3">
        <v>-6.1520974163773889</v>
      </c>
      <c r="H69" s="3">
        <v>0.8714368850894183</v>
      </c>
    </row>
    <row r="70" spans="1:8" x14ac:dyDescent="0.3">
      <c r="A70" s="2">
        <v>2023</v>
      </c>
      <c r="B70" s="3">
        <v>9</v>
      </c>
      <c r="C70" s="3">
        <v>110487.28</v>
      </c>
      <c r="D70" s="3">
        <v>2.9340801338576528</v>
      </c>
      <c r="E70" s="3">
        <v>-8.7503925626008527</v>
      </c>
      <c r="F70" s="3">
        <v>21175164.550000001</v>
      </c>
      <c r="G70" s="3">
        <v>-11.336006310398727</v>
      </c>
      <c r="H70" s="3">
        <v>0.75125023808167624</v>
      </c>
    </row>
    <row r="71" spans="1:8" x14ac:dyDescent="0.3">
      <c r="A71" s="2">
        <v>2023</v>
      </c>
      <c r="B71" s="3">
        <v>10</v>
      </c>
      <c r="C71" s="3">
        <v>157312.44</v>
      </c>
      <c r="D71" s="3">
        <v>0.63024864708436379</v>
      </c>
      <c r="E71" s="3">
        <v>-9.4901282008260992</v>
      </c>
      <c r="F71" s="3">
        <v>21241212</v>
      </c>
      <c r="G71" s="3">
        <v>-4.1485497907416624</v>
      </c>
      <c r="H71" s="3">
        <v>0.64754344754436455</v>
      </c>
    </row>
    <row r="72" spans="1:8" x14ac:dyDescent="0.3">
      <c r="A72" s="2">
        <v>2023</v>
      </c>
      <c r="B72" s="3">
        <v>11</v>
      </c>
      <c r="C72" s="3">
        <v>147495.44</v>
      </c>
      <c r="D72" s="3">
        <v>5.882542121018508</v>
      </c>
      <c r="E72" s="3">
        <v>-10.277300468436261</v>
      </c>
      <c r="F72" s="3">
        <v>21977076.170000002</v>
      </c>
      <c r="G72" s="3">
        <v>0.7294637756646738</v>
      </c>
      <c r="H72" s="3">
        <v>0.56020796329758182</v>
      </c>
    </row>
    <row r="73" spans="1:8" x14ac:dyDescent="0.3">
      <c r="A73" s="2">
        <v>2023</v>
      </c>
      <c r="B73" s="3">
        <v>12</v>
      </c>
      <c r="C73" s="3">
        <v>164455.41999999998</v>
      </c>
      <c r="D73" s="3">
        <v>26.350750262085597</v>
      </c>
      <c r="E73" s="3">
        <v>-11.108178066575737</v>
      </c>
      <c r="F73" s="3">
        <v>22826574.440000001</v>
      </c>
      <c r="G73" s="3">
        <v>1.6866304322149972</v>
      </c>
      <c r="H73" s="3">
        <v>0.48880217313099006</v>
      </c>
    </row>
    <row r="74" spans="1:8" x14ac:dyDescent="0.3">
      <c r="A74" s="2">
        <v>2024</v>
      </c>
      <c r="B74" s="3">
        <v>1</v>
      </c>
      <c r="C74" s="3">
        <v>168849.4</v>
      </c>
      <c r="D74" s="3">
        <v>26.188075980363745</v>
      </c>
      <c r="E74" s="3">
        <v>-11.977907485097996</v>
      </c>
      <c r="F74" s="3">
        <v>23696277.5</v>
      </c>
      <c r="G74" s="3">
        <v>-1.8637598948942014</v>
      </c>
      <c r="H74" s="3">
        <v>0.43289621871011008</v>
      </c>
    </row>
    <row r="75" spans="1:8" x14ac:dyDescent="0.3">
      <c r="A75" s="2">
        <v>2024</v>
      </c>
      <c r="B75" s="3">
        <v>2</v>
      </c>
      <c r="C75" s="3">
        <v>151531.62</v>
      </c>
      <c r="D75" s="3">
        <v>-3.6618224714836556</v>
      </c>
      <c r="E75" s="3">
        <v>-12.879033899389233</v>
      </c>
      <c r="F75" s="3">
        <v>22299152.709999997</v>
      </c>
      <c r="G75" s="3">
        <v>1.1098392249395905</v>
      </c>
      <c r="H75" s="3">
        <v>0.39214342421845472</v>
      </c>
    </row>
    <row r="76" spans="1:8" x14ac:dyDescent="0.3">
      <c r="A76" s="2">
        <v>2024</v>
      </c>
      <c r="B76" s="3">
        <v>3</v>
      </c>
      <c r="C76" s="3">
        <v>144211.20000000001</v>
      </c>
      <c r="D76" s="3">
        <v>-25.664287747792024</v>
      </c>
      <c r="E76" s="3">
        <v>-13.801452069317211</v>
      </c>
      <c r="F76" s="3">
        <v>22646865.910000004</v>
      </c>
      <c r="G76" s="3">
        <v>-6.8016129221455053</v>
      </c>
      <c r="H76" s="3">
        <v>0.36603762383164756</v>
      </c>
    </row>
    <row r="77" spans="1:8" x14ac:dyDescent="0.3">
      <c r="A77" s="2">
        <v>2024</v>
      </c>
      <c r="B77" s="3">
        <v>4</v>
      </c>
      <c r="C77" s="3">
        <v>109333.52</v>
      </c>
      <c r="D77" s="3">
        <v>-31.019204031533665</v>
      </c>
      <c r="E77" s="3">
        <v>-14.734416670622753</v>
      </c>
      <c r="F77" s="3">
        <v>21421442.960000001</v>
      </c>
      <c r="G77" s="3">
        <v>-1.4176567124503214</v>
      </c>
      <c r="H77" s="3">
        <v>0.35412249171147336</v>
      </c>
    </row>
    <row r="78" spans="1:8" x14ac:dyDescent="0.3">
      <c r="A78" s="2">
        <v>2024</v>
      </c>
      <c r="B78" s="3">
        <v>5</v>
      </c>
      <c r="C78" s="3">
        <v>93811.839999999997</v>
      </c>
      <c r="D78" s="3">
        <v>-44.219456961109941</v>
      </c>
      <c r="E78" s="3">
        <v>-15.668006187079907</v>
      </c>
      <c r="F78" s="3">
        <v>21621016.859999999</v>
      </c>
      <c r="G78" s="3">
        <v>-0.73111561278359494</v>
      </c>
      <c r="H78" s="3">
        <v>0.3554439485095795</v>
      </c>
    </row>
    <row r="79" spans="1:8" x14ac:dyDescent="0.3">
      <c r="A79" s="2">
        <v>2024</v>
      </c>
      <c r="B79" s="3">
        <v>6</v>
      </c>
      <c r="C79" s="3">
        <v>89026.86</v>
      </c>
      <c r="D79" s="3">
        <v>-42.274723263251133</v>
      </c>
      <c r="E79" s="3">
        <v>-16.593429990473897</v>
      </c>
      <c r="F79" s="3">
        <v>21822383.010000002</v>
      </c>
      <c r="G79" s="3">
        <v>1.1051559568004965</v>
      </c>
      <c r="H79" s="3">
        <v>0.36892487465510221</v>
      </c>
    </row>
    <row r="80" spans="1:8" x14ac:dyDescent="0.3">
      <c r="A80" s="2">
        <v>2024</v>
      </c>
      <c r="B80" s="3">
        <v>7</v>
      </c>
      <c r="C80" s="3">
        <v>85245.4</v>
      </c>
      <c r="D80" s="3">
        <v>-30.821977449101091</v>
      </c>
      <c r="E80" s="3">
        <v>-17.50388019222703</v>
      </c>
      <c r="F80" s="3">
        <v>23879403.440000001</v>
      </c>
      <c r="G80" s="3">
        <v>-7.6009784983999129E-2</v>
      </c>
      <c r="H80" s="3">
        <v>0.39341269505208781</v>
      </c>
    </row>
    <row r="81" spans="1:8" x14ac:dyDescent="0.3">
      <c r="A81" s="2">
        <v>2024</v>
      </c>
      <c r="B81" s="3">
        <v>8</v>
      </c>
      <c r="C81" s="3">
        <v>60127.23</v>
      </c>
      <c r="D81" s="3">
        <v>-47.440580119088892</v>
      </c>
      <c r="E81" s="3">
        <v>-18.394332326905555</v>
      </c>
      <c r="F81" s="3">
        <v>23733746.779999997</v>
      </c>
      <c r="G81" s="3">
        <v>-0.73969635218102958</v>
      </c>
      <c r="H81" s="3">
        <v>0.42780596176306501</v>
      </c>
    </row>
    <row r="82" spans="1:8" x14ac:dyDescent="0.3">
      <c r="A82" s="2">
        <v>2024</v>
      </c>
      <c r="B82" s="3">
        <v>9</v>
      </c>
      <c r="C82" s="3">
        <v>73277.459999999992</v>
      </c>
      <c r="D82" s="3">
        <v>-33.677922019620731</v>
      </c>
      <c r="E82" s="3">
        <v>-19.260686796940785</v>
      </c>
      <c r="F82" s="3">
        <v>21938696.129999999</v>
      </c>
      <c r="G82" s="3">
        <v>3.6057881779246737</v>
      </c>
      <c r="H82" s="3">
        <v>0.47097062806722656</v>
      </c>
    </row>
    <row r="83" spans="1:8" x14ac:dyDescent="0.3">
      <c r="A83" s="2">
        <v>2024</v>
      </c>
      <c r="B83" s="3">
        <v>10</v>
      </c>
      <c r="C83" s="3">
        <v>89875.57</v>
      </c>
      <c r="D83" s="3">
        <v>-42.868110112588674</v>
      </c>
      <c r="E83" s="3">
        <v>-20.100861105305146</v>
      </c>
      <c r="F83" s="3">
        <v>21939054.900000002</v>
      </c>
      <c r="G83" s="3">
        <v>3.2853252441527481</v>
      </c>
      <c r="H83" s="3">
        <v>0.5216915706941857</v>
      </c>
    </row>
    <row r="84" spans="1:8" x14ac:dyDescent="0.3">
      <c r="A84" s="2">
        <v>2024</v>
      </c>
      <c r="B84" s="3">
        <v>11</v>
      </c>
      <c r="C84" s="3">
        <v>81859.200000000012</v>
      </c>
      <c r="D84" s="3">
        <v>-44.50052150764796</v>
      </c>
      <c r="E84" s="3">
        <v>-20.913773951861536</v>
      </c>
      <c r="F84" s="3">
        <v>20906267.480000004</v>
      </c>
      <c r="G84" s="3">
        <v>-4.8723892191888325</v>
      </c>
      <c r="H84" s="3">
        <v>0.57897136203674027</v>
      </c>
    </row>
    <row r="85" spans="1:8" x14ac:dyDescent="0.3">
      <c r="A85" s="2">
        <v>2024</v>
      </c>
      <c r="B85" s="3">
        <v>12</v>
      </c>
      <c r="C85" s="3">
        <v>96942.85</v>
      </c>
      <c r="D85" s="3">
        <v>-41.05220125916189</v>
      </c>
      <c r="E85" s="3">
        <v>-21.699925095431695</v>
      </c>
      <c r="F85" s="3">
        <v>23083026.940000001</v>
      </c>
      <c r="G85" s="3">
        <v>1.1234821969196007</v>
      </c>
      <c r="H85" s="3">
        <v>0.64200449349278954</v>
      </c>
    </row>
    <row r="86" spans="1:8" x14ac:dyDescent="0.3">
      <c r="A86" s="2">
        <v>2025</v>
      </c>
      <c r="B86" s="3">
        <v>1</v>
      </c>
      <c r="C86" s="3">
        <v>107216.74</v>
      </c>
      <c r="D86" s="3">
        <v>-36.501557008790073</v>
      </c>
      <c r="E86" s="3">
        <v>-22.461452263417623</v>
      </c>
      <c r="F86" s="3">
        <v>25084536.330000006</v>
      </c>
      <c r="G86" s="3">
        <v>5.8585523823309726</v>
      </c>
      <c r="H86" s="3">
        <v>0.70960688975320318</v>
      </c>
    </row>
    <row r="87" spans="1:8" x14ac:dyDescent="0.3">
      <c r="A87" s="2">
        <v>2025</v>
      </c>
      <c r="B87" s="3">
        <v>2</v>
      </c>
      <c r="C87" s="3">
        <v>91942.209999999992</v>
      </c>
      <c r="D87" s="3">
        <v>-39.324736315760369</v>
      </c>
      <c r="E87" s="3">
        <v>-23.201837091288247</v>
      </c>
      <c r="F87" s="3">
        <v>22207687.57</v>
      </c>
      <c r="G87" s="3">
        <v>-0.41017316303224582</v>
      </c>
      <c r="H87" s="3">
        <v>0.78062791146047772</v>
      </c>
    </row>
    <row r="88" spans="1:8" x14ac:dyDescent="0.3">
      <c r="A88" s="2">
        <v>2025</v>
      </c>
      <c r="B88" s="3">
        <v>3</v>
      </c>
      <c r="C88" s="3">
        <v>111535.95999999999</v>
      </c>
      <c r="D88" s="3">
        <v>-22.657907291527991</v>
      </c>
      <c r="E88" s="3">
        <v>-23.92553622178648</v>
      </c>
      <c r="F88" s="3">
        <v>24364945.939999998</v>
      </c>
      <c r="G88" s="3">
        <v>7.5863920280525576</v>
      </c>
      <c r="H88" s="3">
        <v>0.85427448491631652</v>
      </c>
    </row>
    <row r="89" spans="1:8" x14ac:dyDescent="0.3">
      <c r="A89" s="2">
        <v>2025</v>
      </c>
      <c r="B89" s="3">
        <v>4</v>
      </c>
      <c r="C89" s="3">
        <v>109068.42</v>
      </c>
      <c r="D89" s="3">
        <v>-0.24246909822349672</v>
      </c>
      <c r="E89" s="3">
        <v>-24.638125943434709</v>
      </c>
      <c r="F89" s="3">
        <v>20931932.790000003</v>
      </c>
      <c r="G89" s="3">
        <v>-2.2851409725948679</v>
      </c>
      <c r="H89" s="3">
        <v>0.92967084190336091</v>
      </c>
    </row>
    <row r="90" spans="1:8" x14ac:dyDescent="0.3">
      <c r="A90" s="2">
        <v>2025</v>
      </c>
      <c r="B90" s="3">
        <v>5</v>
      </c>
      <c r="C90" s="3">
        <v>96608.26</v>
      </c>
      <c r="D90" s="3">
        <v>2.9808817309201041</v>
      </c>
      <c r="E90" s="3">
        <v>-25.345094514968498</v>
      </c>
      <c r="F90" s="3">
        <v>21594203.310000002</v>
      </c>
      <c r="G90" s="3">
        <v>-0.124016137509253</v>
      </c>
      <c r="H90" s="3">
        <v>1.00640872236697</v>
      </c>
    </row>
    <row r="91" spans="1:8" x14ac:dyDescent="0.3">
      <c r="A91" s="2">
        <v>2025</v>
      </c>
      <c r="B91" s="3">
        <v>6</v>
      </c>
      <c r="C91" s="3">
        <v>89257.489999999991</v>
      </c>
      <c r="D91" s="3">
        <v>0.25905664874621426</v>
      </c>
      <c r="E91" s="3">
        <v>-26.050236052286937</v>
      </c>
      <c r="F91" s="3">
        <v>24290066.389999997</v>
      </c>
      <c r="G91" s="3">
        <v>11.308038076635318</v>
      </c>
      <c r="H91" s="3">
        <v>1.0838566154320515</v>
      </c>
    </row>
    <row r="92" spans="1:8" x14ac:dyDescent="0.3">
      <c r="B92" s="3"/>
      <c r="C92" s="3"/>
      <c r="D92" s="3"/>
      <c r="E92" s="3"/>
      <c r="F92" s="3"/>
      <c r="G92" s="3"/>
      <c r="H92" s="3"/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topLeftCell="A79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7.425781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140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110</v>
      </c>
      <c r="D1" s="2" t="s">
        <v>111</v>
      </c>
      <c r="E1" s="2" t="s">
        <v>112</v>
      </c>
      <c r="F1" s="2" t="s">
        <v>113</v>
      </c>
      <c r="G1" s="2" t="s">
        <v>114</v>
      </c>
      <c r="H1" s="2" t="s">
        <v>115</v>
      </c>
    </row>
    <row r="2" spans="1:8" x14ac:dyDescent="0.3">
      <c r="A2" s="2">
        <v>2018</v>
      </c>
      <c r="B2" s="3">
        <v>1</v>
      </c>
      <c r="C2" s="3">
        <v>65228</v>
      </c>
      <c r="D2" s="3">
        <v>36.377511551569143</v>
      </c>
      <c r="E2" s="3">
        <v>-93.586427542682017</v>
      </c>
      <c r="F2" s="3">
        <v>15496979</v>
      </c>
      <c r="G2" s="3">
        <v>8.7368954391978004</v>
      </c>
      <c r="H2" s="3">
        <v>-7.1833769889758283</v>
      </c>
    </row>
    <row r="3" spans="1:8" x14ac:dyDescent="0.3">
      <c r="A3" s="2">
        <v>2018</v>
      </c>
      <c r="B3" s="3">
        <v>2</v>
      </c>
      <c r="C3" s="3">
        <v>64052</v>
      </c>
      <c r="D3" s="3">
        <v>32.412709569387886</v>
      </c>
      <c r="E3" s="3">
        <v>-68.964310576622026</v>
      </c>
      <c r="F3" s="3">
        <v>15283462</v>
      </c>
      <c r="G3" s="3">
        <v>9.2318452483904032</v>
      </c>
      <c r="H3" s="3">
        <v>-6.3412337351316115</v>
      </c>
    </row>
    <row r="4" spans="1:8" x14ac:dyDescent="0.3">
      <c r="A4" s="2">
        <v>2018</v>
      </c>
      <c r="B4" s="3">
        <v>3</v>
      </c>
      <c r="C4" s="3">
        <v>77644</v>
      </c>
      <c r="D4" s="3">
        <v>23.334498205038589</v>
      </c>
      <c r="E4" s="3">
        <v>-40.282237022515936</v>
      </c>
      <c r="F4" s="3">
        <v>19103667</v>
      </c>
      <c r="G4" s="3">
        <v>10.997928513856859</v>
      </c>
      <c r="H4" s="3">
        <v>-5.3756318330486321</v>
      </c>
    </row>
    <row r="5" spans="1:8" x14ac:dyDescent="0.3">
      <c r="A5" s="2">
        <v>2018</v>
      </c>
      <c r="B5" s="3">
        <v>4</v>
      </c>
      <c r="C5" s="3">
        <v>93701</v>
      </c>
      <c r="D5" s="3">
        <v>11.53818683934864</v>
      </c>
      <c r="E5" s="3">
        <v>-7.2235471472774533</v>
      </c>
      <c r="F5" s="3">
        <v>21632331</v>
      </c>
      <c r="G5" s="3">
        <v>2.8876054769689352</v>
      </c>
      <c r="H5" s="3">
        <v>-4.2686615483599253</v>
      </c>
    </row>
    <row r="6" spans="1:8" x14ac:dyDescent="0.3">
      <c r="A6" s="2">
        <v>2018</v>
      </c>
      <c r="B6" s="3">
        <v>5</v>
      </c>
      <c r="C6" s="3">
        <v>98149</v>
      </c>
      <c r="D6" s="3">
        <v>18.474482159239059</v>
      </c>
      <c r="E6" s="3">
        <v>30.532836611014961</v>
      </c>
      <c r="F6" s="3">
        <v>23807495</v>
      </c>
      <c r="G6" s="3">
        <v>6.3935106089647142</v>
      </c>
      <c r="H6" s="3">
        <v>-3.0012760938966583</v>
      </c>
    </row>
    <row r="7" spans="1:8" x14ac:dyDescent="0.3">
      <c r="A7" s="2">
        <v>2018</v>
      </c>
      <c r="B7" s="3">
        <v>6</v>
      </c>
      <c r="C7" s="3">
        <v>101358</v>
      </c>
      <c r="D7" s="3">
        <v>11.785336156696658</v>
      </c>
      <c r="E7" s="3">
        <v>73.309294712476358</v>
      </c>
      <c r="F7" s="3">
        <v>25744939</v>
      </c>
      <c r="G7" s="3">
        <v>5.0857372254401456</v>
      </c>
      <c r="H7" s="3">
        <v>-1.5539317195021274</v>
      </c>
    </row>
    <row r="8" spans="1:8" x14ac:dyDescent="0.3">
      <c r="A8" s="2">
        <v>2018</v>
      </c>
      <c r="B8" s="3">
        <v>7</v>
      </c>
      <c r="C8" s="3">
        <v>118100</v>
      </c>
      <c r="D8" s="3">
        <v>14.514549456516468</v>
      </c>
      <c r="E8" s="3">
        <v>121.42737023149598</v>
      </c>
      <c r="F8" s="3">
        <v>28446699</v>
      </c>
      <c r="G8" s="3">
        <v>3.1960608413003966</v>
      </c>
      <c r="H8" s="3">
        <v>9.3567740723625017E-2</v>
      </c>
    </row>
    <row r="9" spans="1:8" x14ac:dyDescent="0.3">
      <c r="A9" s="2">
        <v>2018</v>
      </c>
      <c r="B9" s="3">
        <v>8</v>
      </c>
      <c r="C9" s="3">
        <v>114345</v>
      </c>
      <c r="D9" s="3">
        <v>9.1286505058217227</v>
      </c>
      <c r="E9" s="3">
        <v>175.20433374534116</v>
      </c>
      <c r="F9" s="3">
        <v>28346258</v>
      </c>
      <c r="G9" s="3">
        <v>3.3535866259503111</v>
      </c>
      <c r="H9" s="3">
        <v>1.9618795408017333</v>
      </c>
    </row>
    <row r="10" spans="1:8" x14ac:dyDescent="0.3">
      <c r="A10" s="2">
        <v>2018</v>
      </c>
      <c r="B10" s="3">
        <v>9</v>
      </c>
      <c r="C10" s="3">
        <v>105440</v>
      </c>
      <c r="D10" s="3">
        <v>22.058227701568555</v>
      </c>
      <c r="E10" s="3">
        <v>234.95003132983646</v>
      </c>
      <c r="F10" s="3">
        <v>26242088</v>
      </c>
      <c r="G10" s="3">
        <v>4.6254441991461892</v>
      </c>
      <c r="H10" s="3">
        <v>4.071876385663094</v>
      </c>
    </row>
    <row r="11" spans="1:8" x14ac:dyDescent="0.3">
      <c r="A11" s="2">
        <v>2018</v>
      </c>
      <c r="B11" s="3">
        <v>10</v>
      </c>
      <c r="C11" s="3">
        <v>101294</v>
      </c>
      <c r="D11" s="3">
        <v>18.939927668968103</v>
      </c>
      <c r="E11" s="3">
        <v>300.9627760272482</v>
      </c>
      <c r="F11" s="3">
        <v>24326839</v>
      </c>
      <c r="G11" s="3">
        <v>6.4989432557424509</v>
      </c>
      <c r="H11" s="3">
        <v>6.4445276265639615</v>
      </c>
    </row>
    <row r="12" spans="1:8" x14ac:dyDescent="0.3">
      <c r="A12" s="2">
        <v>2018</v>
      </c>
      <c r="B12" s="3">
        <v>11</v>
      </c>
      <c r="C12" s="3">
        <v>82363</v>
      </c>
      <c r="D12" s="3">
        <v>15.210731720964056</v>
      </c>
      <c r="E12" s="3">
        <v>373.52609672681297</v>
      </c>
      <c r="F12" s="3">
        <v>17718779</v>
      </c>
      <c r="G12" s="3">
        <v>6.8637812060577508</v>
      </c>
      <c r="H12" s="3">
        <v>9.1008410569698608</v>
      </c>
    </row>
    <row r="13" spans="1:8" x14ac:dyDescent="0.3">
      <c r="A13" s="2">
        <v>2018</v>
      </c>
      <c r="B13" s="3">
        <v>12</v>
      </c>
      <c r="C13" s="3">
        <v>81679</v>
      </c>
      <c r="D13" s="3">
        <v>16.660953523580989</v>
      </c>
      <c r="E13" s="3">
        <v>452.90393739774248</v>
      </c>
      <c r="F13" s="3">
        <v>17604821</v>
      </c>
      <c r="G13" s="3">
        <v>7.5705573488576983</v>
      </c>
      <c r="H13" s="3">
        <v>12.061828249209455</v>
      </c>
    </row>
    <row r="14" spans="1:8" x14ac:dyDescent="0.3">
      <c r="A14" s="2">
        <v>2019</v>
      </c>
      <c r="B14" s="3">
        <v>1</v>
      </c>
      <c r="C14" s="3">
        <v>75022</v>
      </c>
      <c r="D14" s="3">
        <v>15.015024222726447</v>
      </c>
      <c r="E14" s="3">
        <v>539.33535899778963</v>
      </c>
      <c r="F14" s="3">
        <v>16583215</v>
      </c>
      <c r="G14" s="3">
        <v>7.0093403365907747</v>
      </c>
      <c r="H14" s="3">
        <v>15.348345424232869</v>
      </c>
    </row>
    <row r="15" spans="1:8" x14ac:dyDescent="0.3">
      <c r="A15" s="2">
        <v>2019</v>
      </c>
      <c r="B15" s="3">
        <v>2</v>
      </c>
      <c r="C15" s="3">
        <v>74131</v>
      </c>
      <c r="D15" s="3">
        <v>15.735652282520451</v>
      </c>
      <c r="E15" s="3">
        <v>633.0291278330493</v>
      </c>
      <c r="F15" s="3">
        <v>16258250</v>
      </c>
      <c r="G15" s="3">
        <v>6.3780575369638104</v>
      </c>
      <c r="H15" s="3">
        <v>18.980936909177707</v>
      </c>
    </row>
    <row r="16" spans="1:8" x14ac:dyDescent="0.3">
      <c r="A16" s="2">
        <v>2019</v>
      </c>
      <c r="B16" s="3">
        <v>3</v>
      </c>
      <c r="C16" s="3">
        <v>89789</v>
      </c>
      <c r="D16" s="3">
        <v>15.641904075009005</v>
      </c>
      <c r="E16" s="3">
        <v>734.15759907525694</v>
      </c>
      <c r="F16" s="3">
        <v>19966606</v>
      </c>
      <c r="G16" s="3">
        <v>4.5171379924074273</v>
      </c>
      <c r="H16" s="3">
        <v>22.979567933606045</v>
      </c>
    </row>
    <row r="17" spans="1:8" x14ac:dyDescent="0.3">
      <c r="A17" s="2">
        <v>2019</v>
      </c>
      <c r="B17" s="3">
        <v>4</v>
      </c>
      <c r="C17" s="3">
        <v>100807</v>
      </c>
      <c r="D17" s="3">
        <v>7.5836970790066349</v>
      </c>
      <c r="E17" s="3">
        <v>842.85026029367918</v>
      </c>
      <c r="F17" s="3">
        <v>23206175</v>
      </c>
      <c r="G17" s="3">
        <v>7.2754249183779596</v>
      </c>
      <c r="H17" s="3">
        <v>27.363328527123553</v>
      </c>
    </row>
    <row r="18" spans="1:8" x14ac:dyDescent="0.3">
      <c r="A18" s="2">
        <v>2019</v>
      </c>
      <c r="B18" s="3">
        <v>5</v>
      </c>
      <c r="C18" s="3">
        <v>98895</v>
      </c>
      <c r="D18" s="3">
        <v>0.76006887487392039</v>
      </c>
      <c r="E18" s="3">
        <v>959.18670213431869</v>
      </c>
      <c r="F18" s="3">
        <v>24627713</v>
      </c>
      <c r="G18" s="3">
        <v>3.4452091662730666</v>
      </c>
      <c r="H18" s="3">
        <v>32.150026606145538</v>
      </c>
    </row>
    <row r="19" spans="1:8" x14ac:dyDescent="0.3">
      <c r="A19" s="2">
        <v>2019</v>
      </c>
      <c r="B19" s="3">
        <v>6</v>
      </c>
      <c r="C19" s="3">
        <v>106783</v>
      </c>
      <c r="D19" s="3">
        <v>5.3523155547662737</v>
      </c>
      <c r="E19" s="3">
        <v>1083.1885106207326</v>
      </c>
      <c r="F19" s="3">
        <v>27279729</v>
      </c>
      <c r="G19" s="3">
        <v>5.9615212139364493</v>
      </c>
      <c r="H19" s="3">
        <v>37.356075093781151</v>
      </c>
    </row>
    <row r="20" spans="1:8" x14ac:dyDescent="0.3">
      <c r="A20" s="2">
        <v>2019</v>
      </c>
      <c r="B20" s="3">
        <v>7</v>
      </c>
      <c r="C20" s="3">
        <v>123005</v>
      </c>
      <c r="D20" s="3">
        <v>4.1532599491955979</v>
      </c>
      <c r="E20" s="3">
        <v>1214.8107143713903</v>
      </c>
      <c r="F20" s="3">
        <v>29409598</v>
      </c>
      <c r="G20" s="3">
        <v>3.3849235020203983</v>
      </c>
      <c r="H20" s="3">
        <v>42.995893523039548</v>
      </c>
    </row>
    <row r="21" spans="1:8" x14ac:dyDescent="0.3">
      <c r="A21" s="2">
        <v>2019</v>
      </c>
      <c r="B21" s="3">
        <v>8</v>
      </c>
      <c r="C21" s="3">
        <v>120979</v>
      </c>
      <c r="D21" s="3">
        <v>5.8017403471948947</v>
      </c>
      <c r="E21" s="3">
        <v>1353.9334922689927</v>
      </c>
      <c r="F21" s="3">
        <v>29481222</v>
      </c>
      <c r="G21" s="3">
        <v>4.003928843094573</v>
      </c>
      <c r="H21" s="3">
        <v>49.081721249577114</v>
      </c>
    </row>
    <row r="22" spans="1:8" x14ac:dyDescent="0.3">
      <c r="A22" s="2">
        <v>2019</v>
      </c>
      <c r="B22" s="3">
        <v>9</v>
      </c>
      <c r="C22" s="3">
        <v>107101</v>
      </c>
      <c r="D22" s="3">
        <v>1.5753034901365703</v>
      </c>
      <c r="E22" s="3">
        <v>1500.3529497619056</v>
      </c>
      <c r="F22" s="3">
        <v>27137706</v>
      </c>
      <c r="G22" s="3">
        <v>3.4129067778448041</v>
      </c>
      <c r="H22" s="3">
        <v>55.623046867243211</v>
      </c>
    </row>
    <row r="23" spans="1:8" x14ac:dyDescent="0.3">
      <c r="A23" s="2">
        <v>2019</v>
      </c>
      <c r="B23" s="3">
        <v>10</v>
      </c>
      <c r="C23" s="3">
        <v>102260</v>
      </c>
      <c r="D23" s="3">
        <v>0.95365964420399685</v>
      </c>
      <c r="E23" s="3">
        <v>1653.7715720379449</v>
      </c>
      <c r="F23" s="3">
        <v>24699768</v>
      </c>
      <c r="G23" s="3">
        <v>1.5329940729249758</v>
      </c>
      <c r="H23" s="3">
        <v>62.626228567636751</v>
      </c>
    </row>
    <row r="24" spans="1:8" x14ac:dyDescent="0.3">
      <c r="A24" s="2">
        <v>2019</v>
      </c>
      <c r="B24" s="3">
        <v>11</v>
      </c>
      <c r="C24" s="3">
        <v>88558</v>
      </c>
      <c r="D24" s="3">
        <v>7.5215812925707004</v>
      </c>
      <c r="E24" s="3">
        <v>1813.7877625039355</v>
      </c>
      <c r="F24" s="3">
        <v>18349196</v>
      </c>
      <c r="G24" s="3">
        <v>3.5579031715447185</v>
      </c>
      <c r="H24" s="3">
        <v>70.093998838183779</v>
      </c>
    </row>
    <row r="25" spans="1:8" x14ac:dyDescent="0.3">
      <c r="A25" s="2">
        <v>2019</v>
      </c>
      <c r="B25" s="3">
        <v>12</v>
      </c>
      <c r="C25" s="3">
        <v>87669</v>
      </c>
      <c r="D25" s="3">
        <v>7.3335863563461778</v>
      </c>
      <c r="E25" s="3">
        <v>1979.8851455450083</v>
      </c>
      <c r="F25" s="3">
        <v>18248209</v>
      </c>
      <c r="G25" s="3">
        <v>3.6546125632291204</v>
      </c>
      <c r="H25" s="3">
        <v>78.024847580581536</v>
      </c>
    </row>
    <row r="26" spans="1:8" x14ac:dyDescent="0.3">
      <c r="A26" s="2">
        <v>2020</v>
      </c>
      <c r="B26" s="3">
        <v>1</v>
      </c>
      <c r="C26" s="3">
        <v>83192</v>
      </c>
      <c r="D26" s="3">
        <v>10.890138892591516</v>
      </c>
      <c r="E26" s="3">
        <v>2151.4219103948212</v>
      </c>
      <c r="F26" s="3">
        <v>16982161</v>
      </c>
      <c r="G26" s="3">
        <v>2.40572168906934</v>
      </c>
      <c r="H26" s="3">
        <v>86.41264413432819</v>
      </c>
    </row>
    <row r="27" spans="1:8" x14ac:dyDescent="0.3">
      <c r="A27" s="2">
        <v>2020</v>
      </c>
      <c r="B27" s="3">
        <v>2</v>
      </c>
      <c r="C27" s="3">
        <v>77086</v>
      </c>
      <c r="D27" s="3">
        <v>3.9861866155859182</v>
      </c>
      <c r="E27" s="3">
        <v>2327.6192635398656</v>
      </c>
      <c r="F27" s="3">
        <v>16904590</v>
      </c>
      <c r="G27" s="3">
        <v>3.9754586133193826</v>
      </c>
      <c r="H27" s="3">
        <v>95.246093239267921</v>
      </c>
    </row>
    <row r="28" spans="1:8" x14ac:dyDescent="0.3">
      <c r="A28" s="2">
        <v>2020</v>
      </c>
      <c r="B28" s="3">
        <v>3</v>
      </c>
      <c r="C28" s="3">
        <v>32350</v>
      </c>
      <c r="D28" s="3">
        <v>-63.971087772444292</v>
      </c>
      <c r="E28" s="3">
        <v>2507.5497634269454</v>
      </c>
      <c r="F28" s="3">
        <v>8128859</v>
      </c>
      <c r="G28" s="3">
        <v>-59.28772771897237</v>
      </c>
      <c r="H28" s="3">
        <v>104.50806582118619</v>
      </c>
    </row>
    <row r="29" spans="1:8" x14ac:dyDescent="0.3">
      <c r="A29" s="2">
        <v>2020</v>
      </c>
      <c r="B29" s="3">
        <v>4</v>
      </c>
      <c r="C29" s="3">
        <v>18</v>
      </c>
      <c r="D29" s="3">
        <v>-99.982144097136114</v>
      </c>
      <c r="E29" s="3">
        <v>2690.1246050947448</v>
      </c>
      <c r="F29" s="3">
        <v>141014</v>
      </c>
      <c r="G29" s="3">
        <v>-99.392342770835782</v>
      </c>
      <c r="H29" s="3">
        <v>114.17509456735277</v>
      </c>
    </row>
    <row r="30" spans="1:8" x14ac:dyDescent="0.3">
      <c r="A30" s="2">
        <v>2020</v>
      </c>
      <c r="B30" s="3">
        <v>5</v>
      </c>
      <c r="C30" s="3">
        <v>16</v>
      </c>
      <c r="D30" s="3">
        <v>-99.98382122453107</v>
      </c>
      <c r="E30" s="3">
        <v>2874.0764057450592</v>
      </c>
      <c r="F30" s="3">
        <v>267671</v>
      </c>
      <c r="G30" s="3">
        <v>-98.91313091069398</v>
      </c>
      <c r="H30" s="3">
        <v>124.21233745715269</v>
      </c>
    </row>
    <row r="31" spans="1:8" x14ac:dyDescent="0.3">
      <c r="A31" s="2">
        <v>2020</v>
      </c>
      <c r="B31" s="3">
        <v>6</v>
      </c>
      <c r="C31" s="3">
        <v>915</v>
      </c>
      <c r="D31" s="3">
        <v>-99.14312203253327</v>
      </c>
      <c r="E31" s="3">
        <v>3057.944025166546</v>
      </c>
      <c r="F31" s="3">
        <v>1053780</v>
      </c>
      <c r="G31" s="3">
        <v>-96.137131714175013</v>
      </c>
      <c r="H31" s="3">
        <v>134.57012139793358</v>
      </c>
    </row>
    <row r="32" spans="1:8" x14ac:dyDescent="0.3">
      <c r="A32" s="2">
        <v>2020</v>
      </c>
      <c r="B32" s="3">
        <v>7</v>
      </c>
      <c r="C32" s="3">
        <v>33502</v>
      </c>
      <c r="D32" s="3">
        <v>-72.763708792325517</v>
      </c>
      <c r="E32" s="3">
        <v>3240.0597911876562</v>
      </c>
      <c r="F32" s="3">
        <v>6987828</v>
      </c>
      <c r="G32" s="3">
        <v>-76.239634421388558</v>
      </c>
      <c r="H32" s="3">
        <v>145.1832784728509</v>
      </c>
    </row>
    <row r="33" spans="1:8" x14ac:dyDescent="0.3">
      <c r="A33" s="2">
        <v>2020</v>
      </c>
      <c r="B33" s="3">
        <v>8</v>
      </c>
      <c r="C33" s="3">
        <v>44782</v>
      </c>
      <c r="D33" s="3">
        <v>-62.983658320865608</v>
      </c>
      <c r="E33" s="3">
        <v>3418.5367894738415</v>
      </c>
      <c r="F33" s="3">
        <v>8951753</v>
      </c>
      <c r="G33" s="3">
        <v>-69.635746442260768</v>
      </c>
      <c r="H33" s="3">
        <v>155.97061942803845</v>
      </c>
    </row>
    <row r="34" spans="1:8" x14ac:dyDescent="0.3">
      <c r="A34" s="2">
        <v>2020</v>
      </c>
      <c r="B34" s="3">
        <v>9</v>
      </c>
      <c r="C34" s="3">
        <v>28256</v>
      </c>
      <c r="D34" s="3">
        <v>-73.617426541302137</v>
      </c>
      <c r="E34" s="3">
        <v>3591.2580485030558</v>
      </c>
      <c r="F34" s="3">
        <v>5457083</v>
      </c>
      <c r="G34" s="3">
        <v>-79.891141130351997</v>
      </c>
      <c r="H34" s="3">
        <v>166.83557841845678</v>
      </c>
    </row>
    <row r="35" spans="1:8" x14ac:dyDescent="0.3">
      <c r="A35" s="2">
        <v>2020</v>
      </c>
      <c r="B35" s="3">
        <v>10</v>
      </c>
      <c r="C35" s="3">
        <v>18105</v>
      </c>
      <c r="D35" s="3">
        <v>-82.295130060629759</v>
      </c>
      <c r="E35" s="3">
        <v>3755.8648244999335</v>
      </c>
      <c r="F35" s="3">
        <v>4458349</v>
      </c>
      <c r="G35" s="3">
        <v>-81.949834508567037</v>
      </c>
      <c r="H35" s="3">
        <v>177.6659224903255</v>
      </c>
    </row>
    <row r="36" spans="1:8" x14ac:dyDescent="0.3">
      <c r="A36" s="2">
        <v>2020</v>
      </c>
      <c r="B36" s="3">
        <v>11</v>
      </c>
      <c r="C36" s="3">
        <v>6656</v>
      </c>
      <c r="D36" s="3">
        <v>-92.484021771042705</v>
      </c>
      <c r="E36" s="3">
        <v>3909.743868447787</v>
      </c>
      <c r="F36" s="3">
        <v>2913072</v>
      </c>
      <c r="G36" s="3">
        <v>-84.12425263755425</v>
      </c>
      <c r="H36" s="3">
        <v>188.33228488989553</v>
      </c>
    </row>
    <row r="37" spans="1:8" x14ac:dyDescent="0.3">
      <c r="A37" s="2">
        <v>2020</v>
      </c>
      <c r="B37" s="3">
        <v>12</v>
      </c>
      <c r="C37" s="3">
        <v>10402</v>
      </c>
      <c r="D37" s="3">
        <v>-88.13491656115616</v>
      </c>
      <c r="E37" s="3">
        <v>4050.0153924441943</v>
      </c>
      <c r="F37" s="3">
        <v>3818162</v>
      </c>
      <c r="G37" s="3">
        <v>-79.076511015409793</v>
      </c>
      <c r="H37" s="3">
        <v>198.68726999140398</v>
      </c>
    </row>
    <row r="38" spans="1:8" x14ac:dyDescent="0.3">
      <c r="A38" s="2">
        <v>2021</v>
      </c>
      <c r="B38" s="3">
        <v>1</v>
      </c>
      <c r="C38" s="3">
        <v>8049</v>
      </c>
      <c r="D38" s="3">
        <v>-90.324790845273583</v>
      </c>
      <c r="E38" s="3">
        <v>4173.5216760943576</v>
      </c>
      <c r="F38" s="3">
        <v>2814424</v>
      </c>
      <c r="G38" s="3">
        <v>-83.42717396213591</v>
      </c>
      <c r="H38" s="3">
        <v>208.56456157620406</v>
      </c>
    </row>
    <row r="39" spans="1:8" x14ac:dyDescent="0.3">
      <c r="A39" s="2">
        <v>2021</v>
      </c>
      <c r="B39" s="3">
        <v>2</v>
      </c>
      <c r="C39" s="3">
        <v>5212</v>
      </c>
      <c r="D39" s="3">
        <v>-93.23872039021353</v>
      </c>
      <c r="E39" s="3">
        <v>4276.817627454242</v>
      </c>
      <c r="F39" s="3">
        <v>2229568</v>
      </c>
      <c r="G39" s="3">
        <v>-86.810872076755487</v>
      </c>
      <c r="H39" s="3">
        <v>217.77855427419013</v>
      </c>
    </row>
    <row r="40" spans="1:8" x14ac:dyDescent="0.3">
      <c r="A40" s="2">
        <v>2021</v>
      </c>
      <c r="B40" s="3">
        <v>3</v>
      </c>
      <c r="C40" s="3">
        <v>6618</v>
      </c>
      <c r="D40" s="3">
        <v>-79.542503863987633</v>
      </c>
      <c r="E40" s="3">
        <v>4356.1620541307193</v>
      </c>
      <c r="F40" s="3">
        <v>3200222</v>
      </c>
      <c r="G40" s="3">
        <v>-60.631350599143133</v>
      </c>
      <c r="H40" s="3">
        <v>226.12336551139975</v>
      </c>
    </row>
    <row r="41" spans="1:8" x14ac:dyDescent="0.3">
      <c r="A41" s="2">
        <v>2021</v>
      </c>
      <c r="B41" s="3">
        <v>4</v>
      </c>
      <c r="C41" s="3">
        <v>6869</v>
      </c>
      <c r="D41" s="3">
        <v>38061.111111111109</v>
      </c>
      <c r="E41" s="3">
        <v>4407.5102875953935</v>
      </c>
      <c r="F41" s="3">
        <v>3671802</v>
      </c>
      <c r="G41" s="3">
        <v>2503.8563546881869</v>
      </c>
      <c r="H41" s="3">
        <v>233.37196067037391</v>
      </c>
    </row>
    <row r="42" spans="1:8" x14ac:dyDescent="0.3">
      <c r="A42" s="2">
        <v>2021</v>
      </c>
      <c r="B42" s="3">
        <v>5</v>
      </c>
      <c r="C42" s="3">
        <v>14505</v>
      </c>
      <c r="D42" s="3">
        <v>90556.25</v>
      </c>
      <c r="E42" s="3">
        <v>4426.5096242811205</v>
      </c>
      <c r="F42" s="3">
        <v>5889921</v>
      </c>
      <c r="G42" s="3">
        <v>2100.4329942354607</v>
      </c>
      <c r="H42" s="3">
        <v>239.27739161170143</v>
      </c>
    </row>
    <row r="43" spans="1:8" x14ac:dyDescent="0.3">
      <c r="A43" s="2">
        <v>2021</v>
      </c>
      <c r="B43" s="3">
        <v>6</v>
      </c>
      <c r="C43" s="3">
        <v>37436</v>
      </c>
      <c r="D43" s="3">
        <v>3991.3661202185795</v>
      </c>
      <c r="E43" s="3">
        <v>4411.1444162335001</v>
      </c>
      <c r="F43" s="3">
        <v>9266794</v>
      </c>
      <c r="G43" s="3">
        <v>779.38601985234118</v>
      </c>
      <c r="H43" s="3">
        <v>243.75038272333356</v>
      </c>
    </row>
    <row r="44" spans="1:8" x14ac:dyDescent="0.3">
      <c r="A44" s="2">
        <v>2021</v>
      </c>
      <c r="B44" s="3">
        <v>7</v>
      </c>
      <c r="C44" s="3">
        <v>66219</v>
      </c>
      <c r="D44" s="3">
        <v>97.656856307086144</v>
      </c>
      <c r="E44" s="3">
        <v>4365.380247468669</v>
      </c>
      <c r="F44" s="3">
        <v>15138997</v>
      </c>
      <c r="G44" s="3">
        <v>116.64810582057829</v>
      </c>
      <c r="H44" s="3">
        <v>246.83090531007031</v>
      </c>
    </row>
    <row r="45" spans="1:8" x14ac:dyDescent="0.3">
      <c r="A45" s="2">
        <v>2021</v>
      </c>
      <c r="B45" s="3">
        <v>8</v>
      </c>
      <c r="C45" s="3">
        <v>88183</v>
      </c>
      <c r="D45" s="3">
        <v>96.916171676119873</v>
      </c>
      <c r="E45" s="3">
        <v>4293.1535507322069</v>
      </c>
      <c r="F45" s="3">
        <v>18011330</v>
      </c>
      <c r="G45" s="3">
        <v>101.20450150936917</v>
      </c>
      <c r="H45" s="3">
        <v>248.59612759595677</v>
      </c>
    </row>
    <row r="46" spans="1:8" x14ac:dyDescent="0.3">
      <c r="A46" s="2">
        <v>2021</v>
      </c>
      <c r="B46" s="3">
        <v>9</v>
      </c>
      <c r="C46" s="3">
        <v>75515</v>
      </c>
      <c r="D46" s="3">
        <v>167.25297281993204</v>
      </c>
      <c r="E46" s="3">
        <v>4198.1043890897527</v>
      </c>
      <c r="F46" s="3">
        <v>16316040</v>
      </c>
      <c r="G46" s="3">
        <v>198.9883056570699</v>
      </c>
      <c r="H46" s="3">
        <v>249.11417733285131</v>
      </c>
    </row>
    <row r="47" spans="1:8" x14ac:dyDescent="0.3">
      <c r="A47" s="2">
        <v>2021</v>
      </c>
      <c r="B47" s="3">
        <v>10</v>
      </c>
      <c r="C47" s="3">
        <v>73848</v>
      </c>
      <c r="D47" s="3">
        <v>307.88732394366195</v>
      </c>
      <c r="E47" s="3">
        <v>4083.5814202333981</v>
      </c>
      <c r="F47" s="3">
        <v>17256364</v>
      </c>
      <c r="G47" s="3">
        <v>287.05727164921365</v>
      </c>
      <c r="H47" s="3">
        <v>248.4429467430229</v>
      </c>
    </row>
    <row r="48" spans="1:8" x14ac:dyDescent="0.3">
      <c r="A48" s="2">
        <v>2021</v>
      </c>
      <c r="B48" s="3">
        <v>11</v>
      </c>
      <c r="C48" s="3">
        <v>63794</v>
      </c>
      <c r="D48" s="3">
        <v>858.44350961538464</v>
      </c>
      <c r="E48" s="3">
        <v>3952.6533816179949</v>
      </c>
      <c r="F48" s="3">
        <v>13442676</v>
      </c>
      <c r="G48" s="3">
        <v>361.46047883471465</v>
      </c>
      <c r="H48" s="3">
        <v>246.63684708542971</v>
      </c>
    </row>
    <row r="49" spans="1:8" x14ac:dyDescent="0.3">
      <c r="A49" s="2">
        <v>2021</v>
      </c>
      <c r="B49" s="3">
        <v>12</v>
      </c>
      <c r="C49" s="3">
        <v>57221</v>
      </c>
      <c r="D49" s="3">
        <v>450.09613535858489</v>
      </c>
      <c r="E49" s="3">
        <v>3808.1268097194848</v>
      </c>
      <c r="F49" s="3">
        <v>12721263</v>
      </c>
      <c r="G49" s="3">
        <v>233.17766506502343</v>
      </c>
      <c r="H49" s="3">
        <v>243.75297116937062</v>
      </c>
    </row>
    <row r="50" spans="1:8" x14ac:dyDescent="0.3">
      <c r="A50" s="2">
        <v>2022</v>
      </c>
      <c r="B50" s="3">
        <v>1</v>
      </c>
      <c r="C50" s="3">
        <v>39784</v>
      </c>
      <c r="D50" s="3">
        <v>394.27258044477577</v>
      </c>
      <c r="E50" s="3">
        <v>3652.5933653282536</v>
      </c>
      <c r="F50" s="3">
        <v>10403137</v>
      </c>
      <c r="G50" s="3">
        <v>269.63645136624763</v>
      </c>
      <c r="H50" s="3">
        <v>239.85638566746039</v>
      </c>
    </row>
    <row r="51" spans="1:8" x14ac:dyDescent="0.3">
      <c r="A51" s="2">
        <v>2022</v>
      </c>
      <c r="B51" s="3">
        <v>2</v>
      </c>
      <c r="C51" s="3">
        <v>54270</v>
      </c>
      <c r="D51" s="3">
        <v>941.25095932463546</v>
      </c>
      <c r="E51" s="3">
        <v>3488.4115126600796</v>
      </c>
      <c r="F51" s="3">
        <v>11908046</v>
      </c>
      <c r="G51" s="3">
        <v>434.09656040990905</v>
      </c>
      <c r="H51" s="3">
        <v>235.01142285605656</v>
      </c>
    </row>
    <row r="52" spans="1:8" x14ac:dyDescent="0.3">
      <c r="A52" s="2">
        <v>2022</v>
      </c>
      <c r="B52" s="3">
        <v>3</v>
      </c>
      <c r="C52" s="3">
        <v>63533</v>
      </c>
      <c r="D52" s="3">
        <v>860.00302206104561</v>
      </c>
      <c r="E52" s="3">
        <v>3317.7134436540123</v>
      </c>
      <c r="F52" s="3">
        <v>15587273</v>
      </c>
      <c r="G52" s="3">
        <v>387.06849087344563</v>
      </c>
      <c r="H52" s="3">
        <v>229.28448307163464</v>
      </c>
    </row>
    <row r="53" spans="1:8" x14ac:dyDescent="0.3">
      <c r="A53" s="2">
        <v>2022</v>
      </c>
      <c r="B53" s="3">
        <v>4</v>
      </c>
      <c r="C53" s="3">
        <v>92538</v>
      </c>
      <c r="D53" s="3">
        <v>1247.1829960692969</v>
      </c>
      <c r="E53" s="3">
        <v>3142.4544640995646</v>
      </c>
      <c r="F53" s="3">
        <v>20458260</v>
      </c>
      <c r="G53" s="3">
        <v>457.17220046178954</v>
      </c>
      <c r="H53" s="3">
        <v>222.75579200744474</v>
      </c>
    </row>
    <row r="54" spans="1:8" x14ac:dyDescent="0.3">
      <c r="A54" s="2">
        <v>2022</v>
      </c>
      <c r="B54" s="3">
        <v>5</v>
      </c>
      <c r="C54" s="3">
        <v>100320</v>
      </c>
      <c r="D54" s="3">
        <v>591.6235780765254</v>
      </c>
      <c r="E54" s="3">
        <v>2964.4192054514169</v>
      </c>
      <c r="F54" s="3">
        <v>22262317</v>
      </c>
      <c r="G54" s="3">
        <v>277.9731001485419</v>
      </c>
      <c r="H54" s="3">
        <v>215.51653257950096</v>
      </c>
    </row>
    <row r="55" spans="1:8" x14ac:dyDescent="0.3">
      <c r="A55" s="2">
        <v>2022</v>
      </c>
      <c r="B55" s="3">
        <v>6</v>
      </c>
      <c r="C55" s="3">
        <v>110744</v>
      </c>
      <c r="D55" s="3">
        <v>195.82220322684046</v>
      </c>
      <c r="E55" s="3">
        <v>2785.2606830900813</v>
      </c>
      <c r="F55" s="3">
        <v>24320204</v>
      </c>
      <c r="G55" s="3">
        <v>162.44463835065287</v>
      </c>
      <c r="H55" s="3">
        <v>207.67416662107121</v>
      </c>
    </row>
    <row r="56" spans="1:8" x14ac:dyDescent="0.3">
      <c r="A56" s="2">
        <v>2022</v>
      </c>
      <c r="B56" s="3">
        <v>7</v>
      </c>
      <c r="C56" s="3">
        <v>127193</v>
      </c>
      <c r="D56" s="3">
        <v>92.07931258400157</v>
      </c>
      <c r="E56" s="3">
        <v>2606.4671349219457</v>
      </c>
      <c r="F56" s="3">
        <v>27067913</v>
      </c>
      <c r="G56" s="3">
        <v>78.795946653533264</v>
      </c>
      <c r="H56" s="3">
        <v>199.34049322706011</v>
      </c>
    </row>
    <row r="57" spans="1:8" x14ac:dyDescent="0.3">
      <c r="A57" s="2">
        <v>2022</v>
      </c>
      <c r="B57" s="3">
        <v>8</v>
      </c>
      <c r="C57" s="3">
        <v>135626</v>
      </c>
      <c r="D57" s="3">
        <v>53.800619166959621</v>
      </c>
      <c r="E57" s="3">
        <v>2429.3469767367405</v>
      </c>
      <c r="F57" s="3">
        <v>27301674</v>
      </c>
      <c r="G57" s="3">
        <v>51.580555128355307</v>
      </c>
      <c r="H57" s="3">
        <v>190.62417055290911</v>
      </c>
    </row>
    <row r="58" spans="1:8" x14ac:dyDescent="0.3">
      <c r="A58" s="2">
        <v>2022</v>
      </c>
      <c r="B58" s="3">
        <v>9</v>
      </c>
      <c r="C58" s="3">
        <v>115493</v>
      </c>
      <c r="D58" s="3">
        <v>52.940475402237965</v>
      </c>
      <c r="E58" s="3">
        <v>2255.0340140587564</v>
      </c>
      <c r="F58" s="3">
        <v>24881291</v>
      </c>
      <c r="G58" s="3">
        <v>52.495893611440025</v>
      </c>
      <c r="H58" s="3">
        <v>181.62548560499209</v>
      </c>
    </row>
    <row r="59" spans="1:8" x14ac:dyDescent="0.3">
      <c r="A59" s="2">
        <v>2022</v>
      </c>
      <c r="B59" s="3">
        <v>10</v>
      </c>
      <c r="C59" s="3">
        <v>106809</v>
      </c>
      <c r="D59" s="3">
        <v>44.63357166070849</v>
      </c>
      <c r="E59" s="3">
        <v>2084.4970839152302</v>
      </c>
      <c r="F59" s="3">
        <v>23981550</v>
      </c>
      <c r="G59" s="3">
        <v>38.97220758671989</v>
      </c>
      <c r="H59" s="3">
        <v>172.43506958305625</v>
      </c>
    </row>
    <row r="60" spans="1:8" x14ac:dyDescent="0.3">
      <c r="A60" s="2">
        <v>2022</v>
      </c>
      <c r="B60" s="3">
        <v>11</v>
      </c>
      <c r="C60" s="3">
        <v>78424</v>
      </c>
      <c r="D60" s="3">
        <v>22.93319120920463</v>
      </c>
      <c r="E60" s="3">
        <v>1918.5521001709924</v>
      </c>
      <c r="F60" s="3">
        <v>17612948</v>
      </c>
      <c r="G60" s="3">
        <v>31.022632696049502</v>
      </c>
      <c r="H60" s="3">
        <v>163.13458635407142</v>
      </c>
    </row>
    <row r="61" spans="1:8" x14ac:dyDescent="0.3">
      <c r="A61" s="2">
        <v>2022</v>
      </c>
      <c r="B61" s="3">
        <v>12</v>
      </c>
      <c r="C61" s="3">
        <v>77705</v>
      </c>
      <c r="D61" s="3">
        <v>35.79804617185998</v>
      </c>
      <c r="E61" s="3">
        <v>1757.8733195025222</v>
      </c>
      <c r="F61" s="3">
        <v>17897162</v>
      </c>
      <c r="G61" s="3">
        <v>40.686989963182121</v>
      </c>
      <c r="H61" s="3">
        <v>153.79643153070219</v>
      </c>
    </row>
    <row r="62" spans="1:8" x14ac:dyDescent="0.3">
      <c r="A62" s="2">
        <v>2023</v>
      </c>
      <c r="B62" s="3">
        <v>1</v>
      </c>
      <c r="C62" s="3">
        <v>76217</v>
      </c>
      <c r="D62" s="3">
        <v>91.577015885783226</v>
      </c>
      <c r="E62" s="3">
        <v>1603.0033583842876</v>
      </c>
      <c r="F62" s="3">
        <v>16930100</v>
      </c>
      <c r="G62" s="3">
        <v>62.740334958580291</v>
      </c>
      <c r="H62" s="3">
        <v>144.48382628438691</v>
      </c>
    </row>
    <row r="63" spans="1:8" x14ac:dyDescent="0.3">
      <c r="A63" s="2">
        <v>2023</v>
      </c>
      <c r="B63" s="3">
        <v>2</v>
      </c>
      <c r="C63" s="3">
        <v>75020</v>
      </c>
      <c r="D63" s="3">
        <v>38.234752165100417</v>
      </c>
      <c r="E63" s="3">
        <v>1454.3652447301081</v>
      </c>
      <c r="F63" s="3">
        <v>16622180</v>
      </c>
      <c r="G63" s="3">
        <v>39.587804749830504</v>
      </c>
      <c r="H63" s="3">
        <v>135.25213696423276</v>
      </c>
    </row>
    <row r="64" spans="1:8" x14ac:dyDescent="0.3">
      <c r="A64" s="2">
        <v>2023</v>
      </c>
      <c r="B64" s="3">
        <v>3</v>
      </c>
      <c r="C64" s="3">
        <v>88870</v>
      </c>
      <c r="D64" s="3">
        <v>39.880062329812851</v>
      </c>
      <c r="E64" s="3">
        <v>1312.2770462911301</v>
      </c>
      <c r="F64" s="3">
        <v>20093589</v>
      </c>
      <c r="G64" s="3">
        <v>28.910226952463081</v>
      </c>
      <c r="H64" s="3">
        <v>126.15105328800492</v>
      </c>
    </row>
    <row r="65" spans="1:8" x14ac:dyDescent="0.3">
      <c r="A65" s="2">
        <v>2023</v>
      </c>
      <c r="B65" s="3">
        <v>4</v>
      </c>
      <c r="C65" s="3">
        <v>117849</v>
      </c>
      <c r="D65" s="3">
        <v>27.352006743175771</v>
      </c>
      <c r="E65" s="3">
        <v>1176.9584884231826</v>
      </c>
      <c r="F65" s="3">
        <v>23820269</v>
      </c>
      <c r="G65" s="3">
        <v>16.433504120096231</v>
      </c>
      <c r="H65" s="3">
        <v>117.22362161706479</v>
      </c>
    </row>
    <row r="66" spans="1:8" x14ac:dyDescent="0.3">
      <c r="A66" s="2">
        <v>2023</v>
      </c>
      <c r="B66" s="3">
        <v>5</v>
      </c>
      <c r="C66" s="3">
        <v>115632</v>
      </c>
      <c r="D66" s="3">
        <v>15.263157894736846</v>
      </c>
      <c r="E66" s="3">
        <v>1048.5409355804309</v>
      </c>
      <c r="F66" s="3">
        <v>25476066</v>
      </c>
      <c r="G66" s="3">
        <v>14.435824447203771</v>
      </c>
      <c r="H66" s="3">
        <v>108.50613547761156</v>
      </c>
    </row>
    <row r="67" spans="1:8" x14ac:dyDescent="0.3">
      <c r="A67" s="2">
        <v>2023</v>
      </c>
      <c r="B67" s="3">
        <v>6</v>
      </c>
      <c r="C67" s="3">
        <v>111613</v>
      </c>
      <c r="D67" s="3">
        <v>0.78469262443112697</v>
      </c>
      <c r="E67" s="3">
        <v>927.07591843358978</v>
      </c>
      <c r="F67" s="3">
        <v>26504920</v>
      </c>
      <c r="G67" s="3">
        <v>8.9831318849134654</v>
      </c>
      <c r="H67" s="3">
        <v>100.02788908212936</v>
      </c>
    </row>
    <row r="68" spans="1:8" x14ac:dyDescent="0.3">
      <c r="A68" s="2">
        <v>2023</v>
      </c>
      <c r="B68" s="3">
        <v>7</v>
      </c>
      <c r="C68" s="3">
        <v>132150</v>
      </c>
      <c r="D68" s="3">
        <v>3.897227048658336</v>
      </c>
      <c r="E68" s="3">
        <v>812.5432122521463</v>
      </c>
      <c r="F68" s="3">
        <v>29762051</v>
      </c>
      <c r="G68" s="3">
        <v>9.9532535072061066</v>
      </c>
      <c r="H68" s="3">
        <v>91.811643982614115</v>
      </c>
    </row>
    <row r="69" spans="1:8" x14ac:dyDescent="0.3">
      <c r="A69" s="2">
        <v>2023</v>
      </c>
      <c r="B69" s="3">
        <v>8</v>
      </c>
      <c r="C69" s="3">
        <v>135972</v>
      </c>
      <c r="D69" s="3">
        <v>0.25511332635335116</v>
      </c>
      <c r="E69" s="3">
        <v>704.85826652601713</v>
      </c>
      <c r="F69" s="3">
        <v>29890357</v>
      </c>
      <c r="G69" s="3">
        <v>9.4817739014831037</v>
      </c>
      <c r="H69" s="3">
        <v>83.87383917847859</v>
      </c>
    </row>
    <row r="70" spans="1:8" x14ac:dyDescent="0.3">
      <c r="A70" s="2">
        <v>2023</v>
      </c>
      <c r="B70" s="3">
        <v>9</v>
      </c>
      <c r="C70" s="3">
        <v>123400</v>
      </c>
      <c r="D70" s="3">
        <v>6.846302373304014</v>
      </c>
      <c r="E70" s="3">
        <v>603.88037477392447</v>
      </c>
      <c r="F70" s="3">
        <v>27548232</v>
      </c>
      <c r="G70" s="3">
        <v>10.718660056666685</v>
      </c>
      <c r="H70" s="3">
        <v>76.225229058685883</v>
      </c>
    </row>
    <row r="71" spans="1:8" x14ac:dyDescent="0.3">
      <c r="A71" s="2">
        <v>2023</v>
      </c>
      <c r="B71" s="3">
        <v>10</v>
      </c>
      <c r="C71" s="3">
        <v>117928</v>
      </c>
      <c r="D71" s="3">
        <v>10.410171427501425</v>
      </c>
      <c r="E71" s="3">
        <v>509.41989974006259</v>
      </c>
      <c r="F71" s="3">
        <v>26616109</v>
      </c>
      <c r="G71" s="3">
        <v>10.985774480798781</v>
      </c>
      <c r="H71" s="3">
        <v>68.871401896554858</v>
      </c>
    </row>
    <row r="72" spans="1:8" x14ac:dyDescent="0.3">
      <c r="A72" s="2">
        <v>2023</v>
      </c>
      <c r="B72" s="3">
        <v>11</v>
      </c>
      <c r="C72" s="3">
        <v>70366</v>
      </c>
      <c r="D72" s="3">
        <v>-10.274915842089161</v>
      </c>
      <c r="E72" s="3">
        <v>421.24574346915347</v>
      </c>
      <c r="F72" s="3">
        <v>19743455</v>
      </c>
      <c r="G72" s="3">
        <v>12.096254414649943</v>
      </c>
      <c r="H72" s="3">
        <v>61.813396898112579</v>
      </c>
    </row>
    <row r="73" spans="1:8" x14ac:dyDescent="0.3">
      <c r="A73" s="2">
        <v>2023</v>
      </c>
      <c r="B73" s="3">
        <v>12</v>
      </c>
      <c r="C73" s="3">
        <v>77072</v>
      </c>
      <c r="D73" s="3">
        <v>-0.81461939386140436</v>
      </c>
      <c r="E73" s="3">
        <v>339.09215455256412</v>
      </c>
      <c r="F73" s="3">
        <v>20188071</v>
      </c>
      <c r="G73" s="3">
        <v>12.800403773514478</v>
      </c>
      <c r="H73" s="3">
        <v>55.048233434148891</v>
      </c>
    </row>
    <row r="74" spans="1:8" x14ac:dyDescent="0.3">
      <c r="A74" s="2">
        <v>2024</v>
      </c>
      <c r="B74" s="3">
        <v>1</v>
      </c>
      <c r="C74" s="3">
        <v>65820</v>
      </c>
      <c r="D74" s="3">
        <v>-13.641313617696838</v>
      </c>
      <c r="E74" s="3">
        <v>262.66341486920942</v>
      </c>
      <c r="F74" s="3">
        <v>18667612</v>
      </c>
      <c r="G74" s="3">
        <v>10.262857277866043</v>
      </c>
      <c r="H74" s="3">
        <v>48.569478296114511</v>
      </c>
    </row>
    <row r="75" spans="1:8" x14ac:dyDescent="0.3">
      <c r="A75" s="2">
        <v>2024</v>
      </c>
      <c r="B75" s="3">
        <v>2</v>
      </c>
      <c r="C75" s="3">
        <v>70266</v>
      </c>
      <c r="D75" s="3">
        <v>-6.3369768061850129</v>
      </c>
      <c r="E75" s="3">
        <v>191.64020166092462</v>
      </c>
      <c r="F75" s="3">
        <v>19226616</v>
      </c>
      <c r="G75" s="3">
        <v>15.668438195230717</v>
      </c>
      <c r="H75" s="3">
        <v>42.367764398400382</v>
      </c>
    </row>
    <row r="76" spans="1:8" x14ac:dyDescent="0.3">
      <c r="A76" s="2">
        <v>2024</v>
      </c>
      <c r="B76" s="3">
        <v>3</v>
      </c>
      <c r="C76" s="3">
        <v>82728</v>
      </c>
      <c r="D76" s="3">
        <v>-6.9112186339597148</v>
      </c>
      <c r="E76" s="3">
        <v>125.68400434117784</v>
      </c>
      <c r="F76" s="3">
        <v>22857159</v>
      </c>
      <c r="G76" s="3">
        <v>13.753491225484904</v>
      </c>
      <c r="H76" s="3">
        <v>36.431064473382293</v>
      </c>
    </row>
    <row r="77" spans="1:8" x14ac:dyDescent="0.3">
      <c r="A77" s="2">
        <v>2024</v>
      </c>
      <c r="B77" s="3">
        <v>4</v>
      </c>
      <c r="C77" s="3">
        <v>101338</v>
      </c>
      <c r="D77" s="3">
        <v>-14.01030131778802</v>
      </c>
      <c r="E77" s="3">
        <v>64.442563908265882</v>
      </c>
      <c r="F77" s="3">
        <v>25669281</v>
      </c>
      <c r="G77" s="3">
        <v>7.7623472682025518</v>
      </c>
      <c r="H77" s="3">
        <v>30.745497133560818</v>
      </c>
    </row>
    <row r="78" spans="1:8" x14ac:dyDescent="0.3">
      <c r="A78" s="2">
        <v>2024</v>
      </c>
      <c r="B78" s="3">
        <v>5</v>
      </c>
      <c r="C78" s="3">
        <v>102611</v>
      </c>
      <c r="D78" s="3">
        <v>-11.260723675107231</v>
      </c>
      <c r="E78" s="3">
        <v>7.5544133588900992</v>
      </c>
      <c r="F78" s="3">
        <v>28287870</v>
      </c>
      <c r="G78" s="3">
        <v>11.037041590330322</v>
      </c>
      <c r="H78" s="3">
        <v>25.295606159960982</v>
      </c>
    </row>
    <row r="79" spans="1:8" x14ac:dyDescent="0.3">
      <c r="A79" s="2">
        <v>2024</v>
      </c>
      <c r="B79" s="3">
        <v>6</v>
      </c>
      <c r="C79" s="3">
        <v>105586</v>
      </c>
      <c r="D79" s="3">
        <v>-5.3999086127960005</v>
      </c>
      <c r="E79" s="3">
        <v>-45.347362425888868</v>
      </c>
      <c r="F79" s="3">
        <v>29443093</v>
      </c>
      <c r="G79" s="3">
        <v>11.085387165854499</v>
      </c>
      <c r="H79" s="3">
        <v>20.064339281533819</v>
      </c>
    </row>
    <row r="80" spans="1:8" x14ac:dyDescent="0.3">
      <c r="A80" s="2">
        <v>2024</v>
      </c>
      <c r="B80" s="3">
        <v>7</v>
      </c>
      <c r="C80" s="3">
        <v>112449</v>
      </c>
      <c r="D80" s="3">
        <v>-14.90805902383655</v>
      </c>
      <c r="E80" s="3">
        <v>-94.630985171748833</v>
      </c>
      <c r="F80" s="3">
        <v>31900662</v>
      </c>
      <c r="G80" s="3">
        <v>7.1856976523560157</v>
      </c>
      <c r="H80" s="3">
        <v>15.033654049135246</v>
      </c>
    </row>
    <row r="81" spans="1:8" x14ac:dyDescent="0.3">
      <c r="A81" s="2">
        <v>2024</v>
      </c>
      <c r="B81" s="3">
        <v>8</v>
      </c>
      <c r="C81" s="3">
        <v>117228</v>
      </c>
      <c r="D81" s="3">
        <v>-13.785191068749448</v>
      </c>
      <c r="E81" s="3">
        <v>-140.6619024756306</v>
      </c>
      <c r="F81" s="3">
        <v>32116068</v>
      </c>
      <c r="G81" s="3">
        <v>7.4462509765273133</v>
      </c>
      <c r="H81" s="3">
        <v>10.184884475279819</v>
      </c>
    </row>
    <row r="82" spans="1:8" x14ac:dyDescent="0.3">
      <c r="A82" s="2">
        <v>2024</v>
      </c>
      <c r="B82" s="3">
        <v>9</v>
      </c>
      <c r="C82" s="3">
        <v>111872</v>
      </c>
      <c r="D82" s="3">
        <v>-9.3419773095623988</v>
      </c>
      <c r="E82" s="3">
        <v>-183.80002562015915</v>
      </c>
      <c r="F82" s="3">
        <v>29647989</v>
      </c>
      <c r="G82" s="3">
        <v>7.6221116476730799</v>
      </c>
      <c r="H82" s="3">
        <v>5.4988195755100948</v>
      </c>
    </row>
    <row r="83" spans="1:8" x14ac:dyDescent="0.3">
      <c r="A83" s="2">
        <v>2024</v>
      </c>
      <c r="B83" s="3">
        <v>10</v>
      </c>
      <c r="C83" s="3">
        <v>97771</v>
      </c>
      <c r="D83" s="3">
        <v>-17.092632792890573</v>
      </c>
      <c r="E83" s="3">
        <v>-224.39645500522292</v>
      </c>
      <c r="F83" s="3">
        <v>28251591</v>
      </c>
      <c r="G83" s="3">
        <v>6.1447073274309094</v>
      </c>
      <c r="H83" s="3">
        <v>0.95605818248676877</v>
      </c>
    </row>
    <row r="84" spans="1:8" x14ac:dyDescent="0.3">
      <c r="A84" s="2">
        <v>2024</v>
      </c>
      <c r="B84" s="3">
        <v>11</v>
      </c>
      <c r="C84" s="3">
        <v>64440</v>
      </c>
      <c r="D84" s="3">
        <v>-8.4216809254469496</v>
      </c>
      <c r="E84" s="3">
        <v>-262.79017588846654</v>
      </c>
      <c r="F84" s="3">
        <v>21560768</v>
      </c>
      <c r="G84" s="3">
        <v>9.2046351563087612</v>
      </c>
      <c r="H84" s="3">
        <v>-3.4626534202911192</v>
      </c>
    </row>
    <row r="85" spans="1:8" x14ac:dyDescent="0.3">
      <c r="A85" s="2">
        <v>2024</v>
      </c>
      <c r="B85" s="3">
        <v>12</v>
      </c>
      <c r="C85" s="3">
        <v>67699</v>
      </c>
      <c r="D85" s="3">
        <v>-12.161355615528336</v>
      </c>
      <c r="E85" s="3">
        <v>-299.30577742876983</v>
      </c>
      <c r="F85" s="3">
        <v>21703760</v>
      </c>
      <c r="G85" s="3">
        <v>7.5078446078379546</v>
      </c>
      <c r="H85" s="3">
        <v>-7.7762086264672412</v>
      </c>
    </row>
    <row r="86" spans="1:8" x14ac:dyDescent="0.3">
      <c r="A86" s="2">
        <v>2025</v>
      </c>
      <c r="B86" s="3">
        <v>1</v>
      </c>
      <c r="C86" s="3">
        <v>58766</v>
      </c>
      <c r="D86" s="3">
        <v>-10.71710726223033</v>
      </c>
      <c r="E86" s="3">
        <v>-334.25018430619576</v>
      </c>
      <c r="F86" s="3">
        <v>19801425</v>
      </c>
      <c r="G86" s="3">
        <v>6.0736906252390588</v>
      </c>
      <c r="H86" s="3">
        <v>-12.00262115686745</v>
      </c>
    </row>
    <row r="87" spans="1:8" x14ac:dyDescent="0.3">
      <c r="A87" s="2">
        <v>2025</v>
      </c>
      <c r="B87" s="3">
        <v>2</v>
      </c>
      <c r="C87" s="3">
        <v>65091</v>
      </c>
      <c r="D87" s="3">
        <v>-7.3648706344462518</v>
      </c>
      <c r="E87" s="3">
        <v>-367.91038061595918</v>
      </c>
      <c r="F87" s="3">
        <v>19993427</v>
      </c>
      <c r="G87" s="3">
        <v>3.9882785405398469</v>
      </c>
      <c r="H87" s="3">
        <v>-16.158843339731884</v>
      </c>
    </row>
    <row r="88" spans="1:8" x14ac:dyDescent="0.3">
      <c r="A88" s="2">
        <v>2025</v>
      </c>
      <c r="B88" s="3">
        <v>3</v>
      </c>
      <c r="C88" s="3">
        <v>75551</v>
      </c>
      <c r="D88" s="3">
        <v>-8.6754182380814235</v>
      </c>
      <c r="E88" s="3">
        <v>-400.55088287848014</v>
      </c>
      <c r="F88" s="3">
        <v>23820386</v>
      </c>
      <c r="G88" s="3">
        <v>4.2141151487811834</v>
      </c>
      <c r="H88" s="3">
        <v>-20.260572203871369</v>
      </c>
    </row>
    <row r="89" spans="1:8" x14ac:dyDescent="0.3">
      <c r="A89" s="2">
        <v>2025</v>
      </c>
      <c r="B89" s="3">
        <v>4</v>
      </c>
      <c r="C89" s="3">
        <v>101058</v>
      </c>
      <c r="D89" s="3">
        <v>-0.27630306499042412</v>
      </c>
      <c r="E89" s="3">
        <v>-432.41116973154107</v>
      </c>
      <c r="F89" s="3">
        <v>27276507</v>
      </c>
      <c r="G89" s="3">
        <v>6.261281724252421</v>
      </c>
      <c r="H89" s="3">
        <v>-24.322105672410601</v>
      </c>
    </row>
    <row r="90" spans="1:8" x14ac:dyDescent="0.3">
      <c r="A90" s="2">
        <v>2025</v>
      </c>
      <c r="B90" s="3">
        <v>5</v>
      </c>
      <c r="C90" s="3">
        <v>105768</v>
      </c>
      <c r="D90" s="3">
        <v>3.0766681934685458</v>
      </c>
      <c r="E90" s="3">
        <v>-463.70350623899105</v>
      </c>
      <c r="F90" s="3">
        <v>29226368</v>
      </c>
      <c r="G90" s="3">
        <v>3.3176693756016284</v>
      </c>
      <c r="H90" s="3">
        <v>-28.35604203740812</v>
      </c>
    </row>
    <row r="91" spans="1:8" x14ac:dyDescent="0.3">
      <c r="A91" s="2">
        <v>2025</v>
      </c>
      <c r="B91" s="3">
        <v>6</v>
      </c>
      <c r="C91" s="3">
        <v>101114</v>
      </c>
      <c r="D91" s="3">
        <v>-4.2354099975375537</v>
      </c>
      <c r="E91" s="3">
        <v>-494.61014809893845</v>
      </c>
      <c r="F91" s="3">
        <v>30484165</v>
      </c>
      <c r="G91" s="3">
        <v>3.5358785165675366</v>
      </c>
      <c r="H91" s="3">
        <v>-32.372855744575475</v>
      </c>
    </row>
    <row r="92" spans="1:8" x14ac:dyDescent="0.3">
      <c r="A92" s="2">
        <v>2025</v>
      </c>
      <c r="B92" s="3">
        <v>7</v>
      </c>
      <c r="C92" s="3">
        <v>111790</v>
      </c>
      <c r="D92" s="3">
        <v>-0.58604345080881526</v>
      </c>
      <c r="E92" s="3">
        <v>-525.28093571960039</v>
      </c>
      <c r="F92" s="3">
        <v>32765284</v>
      </c>
      <c r="G92" s="3">
        <v>2.7103575468120367</v>
      </c>
      <c r="H92" s="3">
        <v>-36.380821676331642</v>
      </c>
    </row>
    <row r="93" spans="1:8" x14ac:dyDescent="0.3">
      <c r="A93" s="2">
        <v>2025</v>
      </c>
      <c r="B93" s="3">
        <v>8</v>
      </c>
      <c r="C93" s="3">
        <v>117766</v>
      </c>
      <c r="D93" s="3">
        <v>0.45893472549221048</v>
      </c>
      <c r="E93" s="3">
        <v>-555.8316557079371</v>
      </c>
      <c r="F93" s="3">
        <v>33327702</v>
      </c>
      <c r="G93" s="3">
        <v>3.7726722959983805</v>
      </c>
      <c r="H93" s="3">
        <v>-40.385721052994128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topLeftCell="A76" workbookViewId="0">
      <selection activeCell="C94" sqref="C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3.71093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116</v>
      </c>
      <c r="D1" s="2" t="s">
        <v>117</v>
      </c>
      <c r="E1" s="2" t="s">
        <v>118</v>
      </c>
      <c r="F1" s="2" t="s">
        <v>119</v>
      </c>
      <c r="G1" s="2" t="s">
        <v>120</v>
      </c>
      <c r="H1" s="2" t="s">
        <v>121</v>
      </c>
    </row>
    <row r="2" spans="1:8" x14ac:dyDescent="0.3">
      <c r="A2" s="2">
        <v>2018</v>
      </c>
      <c r="B2" s="3">
        <v>1</v>
      </c>
      <c r="C2" s="3">
        <v>36054</v>
      </c>
      <c r="D2" s="3">
        <v>25.135360266555608</v>
      </c>
      <c r="E2" s="3">
        <v>4.3342522890694681</v>
      </c>
      <c r="F2" s="3">
        <v>5629842</v>
      </c>
      <c r="G2" s="3">
        <v>-2.3431197062370845</v>
      </c>
      <c r="H2" s="3">
        <v>-3.3894960709175606</v>
      </c>
    </row>
    <row r="3" spans="1:8" x14ac:dyDescent="0.3">
      <c r="A3" s="2">
        <v>2018</v>
      </c>
      <c r="B3" s="3">
        <v>2</v>
      </c>
      <c r="C3" s="3">
        <v>40953</v>
      </c>
      <c r="D3" s="3">
        <v>18.714670840942695</v>
      </c>
      <c r="E3" s="3">
        <v>3.6888339686343863</v>
      </c>
      <c r="F3" s="3">
        <v>5772274</v>
      </c>
      <c r="G3" s="3">
        <v>-1.8658543385746129</v>
      </c>
      <c r="H3" s="3">
        <v>-3.8493222770793496</v>
      </c>
    </row>
    <row r="4" spans="1:8" x14ac:dyDescent="0.3">
      <c r="A4" s="2">
        <v>2018</v>
      </c>
      <c r="B4" s="3">
        <v>3</v>
      </c>
      <c r="C4" s="3">
        <v>94917</v>
      </c>
      <c r="D4" s="3">
        <v>87.880047505938251</v>
      </c>
      <c r="E4" s="3">
        <v>3.0811853633150248</v>
      </c>
      <c r="F4" s="3">
        <v>7777331</v>
      </c>
      <c r="G4" s="3">
        <v>17.356387140387852</v>
      </c>
      <c r="H4" s="3">
        <v>-4.2707835682984019</v>
      </c>
    </row>
    <row r="5" spans="1:8" x14ac:dyDescent="0.3">
      <c r="A5" s="2">
        <v>2018</v>
      </c>
      <c r="B5" s="3">
        <v>4</v>
      </c>
      <c r="C5" s="3">
        <v>159778</v>
      </c>
      <c r="D5" s="3">
        <v>-21.171635642431085</v>
      </c>
      <c r="E5" s="3">
        <v>2.5237981845087765</v>
      </c>
      <c r="F5" s="3">
        <v>7930535</v>
      </c>
      <c r="G5" s="3">
        <v>-18.789650096094135</v>
      </c>
      <c r="H5" s="3">
        <v>-4.6466396510975736</v>
      </c>
    </row>
    <row r="6" spans="1:8" x14ac:dyDescent="0.3">
      <c r="A6" s="2">
        <v>2018</v>
      </c>
      <c r="B6" s="3">
        <v>5</v>
      </c>
      <c r="C6" s="3">
        <v>160726</v>
      </c>
      <c r="D6" s="3">
        <v>9.2059221209835673</v>
      </c>
      <c r="E6" s="3">
        <v>2.0350529534840494</v>
      </c>
      <c r="F6" s="3">
        <v>9234898</v>
      </c>
      <c r="G6" s="3">
        <v>1.5952910214789284E-2</v>
      </c>
      <c r="H6" s="3">
        <v>-4.9681483451449511</v>
      </c>
    </row>
    <row r="7" spans="1:8" x14ac:dyDescent="0.3">
      <c r="A7" s="2">
        <v>2018</v>
      </c>
      <c r="B7" s="3">
        <v>6</v>
      </c>
      <c r="C7" s="3">
        <v>238738</v>
      </c>
      <c r="D7" s="3">
        <v>-3.2862061980960089</v>
      </c>
      <c r="E7" s="3">
        <v>1.6316846752712699</v>
      </c>
      <c r="F7" s="3">
        <v>12294110</v>
      </c>
      <c r="G7" s="3">
        <v>-3.6140110450110896</v>
      </c>
      <c r="H7" s="3">
        <v>-5.2275496236117469</v>
      </c>
    </row>
    <row r="8" spans="1:8" x14ac:dyDescent="0.3">
      <c r="A8" s="2">
        <v>2018</v>
      </c>
      <c r="B8" s="3">
        <v>7</v>
      </c>
      <c r="C8" s="3">
        <v>571842</v>
      </c>
      <c r="D8" s="3">
        <v>-0.92604303284723466</v>
      </c>
      <c r="E8" s="3">
        <v>1.3309263319263855</v>
      </c>
      <c r="F8" s="3">
        <v>19842425</v>
      </c>
      <c r="G8" s="3">
        <v>-4.6735113674234778</v>
      </c>
      <c r="H8" s="3">
        <v>-5.4167373415264404</v>
      </c>
    </row>
    <row r="9" spans="1:8" x14ac:dyDescent="0.3">
      <c r="A9" s="2">
        <v>2018</v>
      </c>
      <c r="B9" s="3">
        <v>8</v>
      </c>
      <c r="C9" s="3">
        <v>820191</v>
      </c>
      <c r="D9" s="3">
        <v>3.3461225878395062</v>
      </c>
      <c r="E9" s="3">
        <v>1.1496693853058044</v>
      </c>
      <c r="F9" s="3">
        <v>24822407</v>
      </c>
      <c r="G9" s="3">
        <v>-2.9694072115118875</v>
      </c>
      <c r="H9" s="3">
        <v>-5.527493302627331</v>
      </c>
    </row>
    <row r="10" spans="1:8" x14ac:dyDescent="0.3">
      <c r="A10" s="2">
        <v>2018</v>
      </c>
      <c r="B10" s="3">
        <v>9</v>
      </c>
      <c r="C10" s="3">
        <v>282286</v>
      </c>
      <c r="D10" s="3">
        <v>18.526387390148756</v>
      </c>
      <c r="E10" s="3">
        <v>1.1046485632822696</v>
      </c>
      <c r="F10" s="3">
        <v>12522268</v>
      </c>
      <c r="G10" s="3">
        <v>-2.4228871329228685</v>
      </c>
      <c r="H10" s="3">
        <v>-5.5515476977378482</v>
      </c>
    </row>
    <row r="11" spans="1:8" x14ac:dyDescent="0.3">
      <c r="A11" s="2">
        <v>2018</v>
      </c>
      <c r="B11" s="3">
        <v>10</v>
      </c>
      <c r="C11" s="3">
        <v>95919</v>
      </c>
      <c r="D11" s="3">
        <v>18.661701759160753</v>
      </c>
      <c r="E11" s="3">
        <v>1.2127511252009222</v>
      </c>
      <c r="F11" s="3">
        <v>8860094</v>
      </c>
      <c r="G11" s="3">
        <v>-2.417089824336105</v>
      </c>
      <c r="H11" s="3">
        <v>-5.480453072813984</v>
      </c>
    </row>
    <row r="12" spans="1:8" x14ac:dyDescent="0.3">
      <c r="A12" s="2">
        <v>2018</v>
      </c>
      <c r="B12" s="3">
        <v>11</v>
      </c>
      <c r="C12" s="3">
        <v>55462</v>
      </c>
      <c r="D12" s="3">
        <v>16.043854877181229</v>
      </c>
      <c r="E12" s="3">
        <v>1.4920741733809917</v>
      </c>
      <c r="F12" s="3">
        <v>5964527</v>
      </c>
      <c r="G12" s="3">
        <v>1.4185611535256992</v>
      </c>
      <c r="H12" s="3">
        <v>-5.3055447057169509</v>
      </c>
    </row>
    <row r="13" spans="1:8" x14ac:dyDescent="0.3">
      <c r="A13" s="2">
        <v>2018</v>
      </c>
      <c r="B13" s="3">
        <v>12</v>
      </c>
      <c r="C13" s="3">
        <v>62802</v>
      </c>
      <c r="D13" s="3">
        <v>-2.2886748712523164</v>
      </c>
      <c r="E13" s="3">
        <v>1.9619265428246211</v>
      </c>
      <c r="F13" s="3">
        <v>6308732</v>
      </c>
      <c r="G13" s="3">
        <v>-1.4692620704110038</v>
      </c>
      <c r="H13" s="3">
        <v>-5.0179451407490401</v>
      </c>
    </row>
    <row r="14" spans="1:8" x14ac:dyDescent="0.3">
      <c r="A14" s="2">
        <v>2019</v>
      </c>
      <c r="B14" s="3">
        <v>1</v>
      </c>
      <c r="C14" s="3">
        <v>19097</v>
      </c>
      <c r="D14" s="3">
        <v>-47.032229433627336</v>
      </c>
      <c r="E14" s="3">
        <v>2.642627608860606</v>
      </c>
      <c r="F14" s="3">
        <v>5447142</v>
      </c>
      <c r="G14" s="3">
        <v>-3.2452065262222329</v>
      </c>
      <c r="H14" s="3">
        <v>-4.6083099704167605</v>
      </c>
    </row>
    <row r="15" spans="1:8" x14ac:dyDescent="0.3">
      <c r="A15" s="2">
        <v>2019</v>
      </c>
      <c r="B15" s="3">
        <v>2</v>
      </c>
      <c r="C15" s="3">
        <v>24828</v>
      </c>
      <c r="D15" s="3">
        <v>-39.374404805508753</v>
      </c>
      <c r="E15" s="3">
        <v>3.5542015661639863</v>
      </c>
      <c r="F15" s="3">
        <v>5615458</v>
      </c>
      <c r="G15" s="3">
        <v>-2.7167109530836564</v>
      </c>
      <c r="H15" s="3">
        <v>-4.0670483509022919</v>
      </c>
    </row>
    <row r="16" spans="1:8" x14ac:dyDescent="0.3">
      <c r="A16" s="2">
        <v>2019</v>
      </c>
      <c r="B16" s="3">
        <v>3</v>
      </c>
      <c r="C16" s="3">
        <v>52933</v>
      </c>
      <c r="D16" s="3">
        <v>-44.232329298228976</v>
      </c>
      <c r="E16" s="3">
        <v>4.7132229665596288</v>
      </c>
      <c r="F16" s="3">
        <v>6772367</v>
      </c>
      <c r="G16" s="3">
        <v>-12.921707974110907</v>
      </c>
      <c r="H16" s="3">
        <v>-3.3844747784264109</v>
      </c>
    </row>
    <row r="17" spans="1:8" x14ac:dyDescent="0.3">
      <c r="A17" s="2">
        <v>2019</v>
      </c>
      <c r="B17" s="3">
        <v>4</v>
      </c>
      <c r="C17" s="3">
        <v>187324</v>
      </c>
      <c r="D17" s="3">
        <v>17.240170736897454</v>
      </c>
      <c r="E17" s="3">
        <v>6.1332852086521452</v>
      </c>
      <c r="F17" s="3">
        <v>8855238</v>
      </c>
      <c r="G17" s="3">
        <v>11.660033024253714</v>
      </c>
      <c r="H17" s="3">
        <v>-2.5508099757794902</v>
      </c>
    </row>
    <row r="18" spans="1:8" x14ac:dyDescent="0.3">
      <c r="A18" s="2">
        <v>2019</v>
      </c>
      <c r="B18" s="3">
        <v>5</v>
      </c>
      <c r="C18" s="3">
        <v>158034</v>
      </c>
      <c r="D18" s="3">
        <v>-1.6749001406119679</v>
      </c>
      <c r="E18" s="3">
        <v>7.8245826943610917</v>
      </c>
      <c r="F18" s="3">
        <v>9107210</v>
      </c>
      <c r="G18" s="3">
        <v>-1.3826682222153441</v>
      </c>
      <c r="H18" s="3">
        <v>-1.556936973612713</v>
      </c>
    </row>
    <row r="19" spans="1:8" x14ac:dyDescent="0.3">
      <c r="A19" s="2">
        <v>2019</v>
      </c>
      <c r="B19" s="3">
        <v>6</v>
      </c>
      <c r="C19" s="3">
        <v>251043</v>
      </c>
      <c r="D19" s="3">
        <v>5.1541857601219654</v>
      </c>
      <c r="E19" s="3">
        <v>9.7980811371010414</v>
      </c>
      <c r="F19" s="3">
        <v>12863732</v>
      </c>
      <c r="G19" s="3">
        <v>4.6332918771671894</v>
      </c>
      <c r="H19" s="3">
        <v>-0.39275193848003837</v>
      </c>
    </row>
    <row r="20" spans="1:8" x14ac:dyDescent="0.3">
      <c r="A20" s="2">
        <v>2019</v>
      </c>
      <c r="B20" s="3">
        <v>7</v>
      </c>
      <c r="C20" s="3">
        <v>620166</v>
      </c>
      <c r="D20" s="3">
        <v>8.4505860010282596</v>
      </c>
      <c r="E20" s="3">
        <v>12.064086563978581</v>
      </c>
      <c r="F20" s="3">
        <v>19844986</v>
      </c>
      <c r="G20" s="3">
        <v>1.2906688572589253E-2</v>
      </c>
      <c r="H20" s="3">
        <v>0.95186106506120038</v>
      </c>
    </row>
    <row r="21" spans="1:8" x14ac:dyDescent="0.3">
      <c r="A21" s="2">
        <v>2019</v>
      </c>
      <c r="B21" s="3">
        <v>8</v>
      </c>
      <c r="C21" s="3">
        <v>834088</v>
      </c>
      <c r="D21" s="3">
        <v>1.6943614353242209</v>
      </c>
      <c r="E21" s="3">
        <v>14.632582509365783</v>
      </c>
      <c r="F21" s="3">
        <v>25359179</v>
      </c>
      <c r="G21" s="3">
        <v>2.1624494353025492</v>
      </c>
      <c r="H21" s="3">
        <v>2.4873670032742008</v>
      </c>
    </row>
    <row r="22" spans="1:8" x14ac:dyDescent="0.3">
      <c r="A22" s="2">
        <v>2019</v>
      </c>
      <c r="B22" s="3">
        <v>9</v>
      </c>
      <c r="C22" s="3">
        <v>292453</v>
      </c>
      <c r="D22" s="3">
        <v>3.6016663950745098</v>
      </c>
      <c r="E22" s="3">
        <v>17.513301570095624</v>
      </c>
      <c r="F22" s="3">
        <v>12454046</v>
      </c>
      <c r="G22" s="3">
        <v>-0.5448054617582021</v>
      </c>
      <c r="H22" s="3">
        <v>4.2241656372571263</v>
      </c>
    </row>
    <row r="23" spans="1:8" x14ac:dyDescent="0.3">
      <c r="A23" s="2">
        <v>2019</v>
      </c>
      <c r="B23" s="3">
        <v>10</v>
      </c>
      <c r="C23" s="3">
        <v>95385</v>
      </c>
      <c r="D23" s="3">
        <v>-0.55671973227410243</v>
      </c>
      <c r="E23" s="3">
        <v>20.7150778554265</v>
      </c>
      <c r="F23" s="3">
        <v>8336057</v>
      </c>
      <c r="G23" s="3">
        <v>-5.9145760756037173</v>
      </c>
      <c r="H23" s="3">
        <v>6.1726341643881426</v>
      </c>
    </row>
    <row r="24" spans="1:8" x14ac:dyDescent="0.3">
      <c r="A24" s="2">
        <v>2019</v>
      </c>
      <c r="B24" s="3">
        <v>11</v>
      </c>
      <c r="C24" s="3">
        <v>50910</v>
      </c>
      <c r="D24" s="3">
        <v>-8.2074212974649345</v>
      </c>
      <c r="E24" s="3">
        <v>24.245779388840763</v>
      </c>
      <c r="F24" s="3">
        <v>5877207</v>
      </c>
      <c r="G24" s="3">
        <v>-1.4639886783981315</v>
      </c>
      <c r="H24" s="3">
        <v>8.3428186034968732</v>
      </c>
    </row>
    <row r="25" spans="1:8" x14ac:dyDescent="0.3">
      <c r="A25" s="2">
        <v>2019</v>
      </c>
      <c r="B25" s="3">
        <v>12</v>
      </c>
      <c r="C25" s="3">
        <v>58976</v>
      </c>
      <c r="D25" s="3">
        <v>-6.0921626699786628</v>
      </c>
      <c r="E25" s="3">
        <v>28.111796985654951</v>
      </c>
      <c r="F25" s="3">
        <v>6285220</v>
      </c>
      <c r="G25" s="3">
        <v>-0.37268978932691876</v>
      </c>
      <c r="H25" s="3">
        <v>10.743925583812942</v>
      </c>
    </row>
    <row r="26" spans="1:8" x14ac:dyDescent="0.3">
      <c r="A26" s="2">
        <v>2020</v>
      </c>
      <c r="B26" s="3">
        <v>1</v>
      </c>
      <c r="C26" s="3">
        <v>27233</v>
      </c>
      <c r="D26" s="3">
        <v>42.603550295857985</v>
      </c>
      <c r="E26" s="3">
        <v>32.317267766693497</v>
      </c>
      <c r="F26" s="3">
        <v>5570868</v>
      </c>
      <c r="G26" s="3">
        <v>2.2713929616668738</v>
      </c>
      <c r="H26" s="3">
        <v>13.384480706282506</v>
      </c>
    </row>
    <row r="27" spans="1:8" x14ac:dyDescent="0.3">
      <c r="A27" s="2">
        <v>2020</v>
      </c>
      <c r="B27" s="3">
        <v>2</v>
      </c>
      <c r="C27" s="3">
        <v>36232</v>
      </c>
      <c r="D27" s="3">
        <v>45.932012244240369</v>
      </c>
      <c r="E27" s="3">
        <v>36.863953577804743</v>
      </c>
      <c r="F27" s="3">
        <v>5965639</v>
      </c>
      <c r="G27" s="3">
        <v>6.2360185046348882</v>
      </c>
      <c r="H27" s="3">
        <v>16.272237584673032</v>
      </c>
    </row>
    <row r="28" spans="1:8" x14ac:dyDescent="0.3">
      <c r="A28" s="2">
        <v>2020</v>
      </c>
      <c r="B28" s="3">
        <v>3</v>
      </c>
      <c r="C28" s="3">
        <v>9729</v>
      </c>
      <c r="D28" s="3">
        <v>-81.620161336028559</v>
      </c>
      <c r="E28" s="3">
        <v>41.754330590012664</v>
      </c>
      <c r="F28" s="3">
        <v>2602705</v>
      </c>
      <c r="G28" s="3">
        <v>-61.568754321790294</v>
      </c>
      <c r="H28" s="3">
        <v>19.414178090547498</v>
      </c>
    </row>
    <row r="29" spans="1:8" x14ac:dyDescent="0.3">
      <c r="A29" s="2">
        <v>2020</v>
      </c>
      <c r="B29" s="3">
        <v>4</v>
      </c>
      <c r="C29" s="3">
        <v>0</v>
      </c>
      <c r="D29" s="3">
        <v>-100</v>
      </c>
      <c r="E29" s="3">
        <v>46.99150470063752</v>
      </c>
      <c r="F29" s="3">
        <v>0</v>
      </c>
      <c r="G29" s="3">
        <v>-100</v>
      </c>
      <c r="H29" s="3">
        <v>22.816587135810543</v>
      </c>
    </row>
    <row r="30" spans="1:8" x14ac:dyDescent="0.3">
      <c r="A30" s="2">
        <v>2020</v>
      </c>
      <c r="B30" s="3">
        <v>5</v>
      </c>
      <c r="C30" s="3">
        <v>3195</v>
      </c>
      <c r="D30" s="3">
        <v>-97.978283154257937</v>
      </c>
      <c r="E30" s="3">
        <v>52.570014133949151</v>
      </c>
      <c r="F30" s="3">
        <v>301013</v>
      </c>
      <c r="G30" s="3">
        <v>-96.694783583556315</v>
      </c>
      <c r="H30" s="3">
        <v>26.480125817615956</v>
      </c>
    </row>
    <row r="31" spans="1:8" x14ac:dyDescent="0.3">
      <c r="A31" s="2">
        <v>2020</v>
      </c>
      <c r="B31" s="3">
        <v>6</v>
      </c>
      <c r="C31" s="3">
        <v>53717</v>
      </c>
      <c r="D31" s="3">
        <v>-78.602470493102771</v>
      </c>
      <c r="E31" s="3">
        <v>58.474189370835411</v>
      </c>
      <c r="F31" s="3">
        <v>2046495</v>
      </c>
      <c r="G31" s="3">
        <v>-84.090969867842389</v>
      </c>
      <c r="H31" s="3">
        <v>30.396926303455313</v>
      </c>
    </row>
    <row r="32" spans="1:8" x14ac:dyDescent="0.3">
      <c r="A32" s="2">
        <v>2020</v>
      </c>
      <c r="B32" s="3">
        <v>7</v>
      </c>
      <c r="C32" s="3">
        <v>536031</v>
      </c>
      <c r="D32" s="3">
        <v>-13.5665289616006</v>
      </c>
      <c r="E32" s="3">
        <v>64.677906149316925</v>
      </c>
      <c r="F32" s="3">
        <v>10024494</v>
      </c>
      <c r="G32" s="3">
        <v>-49.48601122721881</v>
      </c>
      <c r="H32" s="3">
        <v>34.550566947667335</v>
      </c>
    </row>
    <row r="33" spans="1:8" x14ac:dyDescent="0.3">
      <c r="A33" s="2">
        <v>2020</v>
      </c>
      <c r="B33" s="3">
        <v>8</v>
      </c>
      <c r="C33" s="3">
        <v>783326</v>
      </c>
      <c r="D33" s="3">
        <v>-6.0859285830751624</v>
      </c>
      <c r="E33" s="3">
        <v>71.145520994923771</v>
      </c>
      <c r="F33" s="3">
        <v>14733803</v>
      </c>
      <c r="G33" s="3">
        <v>-41.899526794617451</v>
      </c>
      <c r="H33" s="3">
        <v>38.916675556245522</v>
      </c>
    </row>
    <row r="34" spans="1:8" x14ac:dyDescent="0.3">
      <c r="A34" s="2">
        <v>2020</v>
      </c>
      <c r="B34" s="3">
        <v>9</v>
      </c>
      <c r="C34" s="3">
        <v>202918</v>
      </c>
      <c r="D34" s="3">
        <v>-30.615175771833425</v>
      </c>
      <c r="E34" s="3">
        <v>77.835956791858891</v>
      </c>
      <c r="F34" s="3">
        <v>5176102</v>
      </c>
      <c r="G34" s="3">
        <v>-58.438390222743678</v>
      </c>
      <c r="H34" s="3">
        <v>43.465044061699011</v>
      </c>
    </row>
    <row r="35" spans="1:8" x14ac:dyDescent="0.3">
      <c r="A35" s="2">
        <v>2020</v>
      </c>
      <c r="B35" s="3">
        <v>10</v>
      </c>
      <c r="C35" s="3">
        <v>48191</v>
      </c>
      <c r="D35" s="3">
        <v>-49.477381139592183</v>
      </c>
      <c r="E35" s="3">
        <v>84.702773129215643</v>
      </c>
      <c r="F35" s="3">
        <v>2720636</v>
      </c>
      <c r="G35" s="3">
        <v>-67.363035065619158</v>
      </c>
      <c r="H35" s="3">
        <v>48.159852160262567</v>
      </c>
    </row>
    <row r="36" spans="1:8" x14ac:dyDescent="0.3">
      <c r="A36" s="2">
        <v>2020</v>
      </c>
      <c r="B36" s="3">
        <v>11</v>
      </c>
      <c r="C36" s="3">
        <v>5575</v>
      </c>
      <c r="D36" s="3">
        <v>-89.049302691023385</v>
      </c>
      <c r="E36" s="3">
        <v>91.691998267437128</v>
      </c>
      <c r="F36" s="3">
        <v>1483043</v>
      </c>
      <c r="G36" s="3">
        <v>-74.766194214360667</v>
      </c>
      <c r="H36" s="3">
        <v>52.958202920790093</v>
      </c>
    </row>
    <row r="37" spans="1:8" x14ac:dyDescent="0.3">
      <c r="A37" s="2">
        <v>2020</v>
      </c>
      <c r="B37" s="3">
        <v>12</v>
      </c>
      <c r="C37" s="3">
        <v>6200</v>
      </c>
      <c r="D37" s="3">
        <v>-89.487249050461202</v>
      </c>
      <c r="E37" s="3">
        <v>98.740342400697784</v>
      </c>
      <c r="F37" s="3">
        <v>1829002</v>
      </c>
      <c r="G37" s="3">
        <v>-70.899952587180721</v>
      </c>
      <c r="H37" s="3">
        <v>57.809176989411476</v>
      </c>
    </row>
    <row r="38" spans="1:8" x14ac:dyDescent="0.3">
      <c r="A38" s="2">
        <v>2021</v>
      </c>
      <c r="B38" s="3">
        <v>1</v>
      </c>
      <c r="C38" s="3">
        <v>5603</v>
      </c>
      <c r="D38" s="3">
        <v>-79.425696764954282</v>
      </c>
      <c r="E38" s="3">
        <v>105.77196424393881</v>
      </c>
      <c r="F38" s="3">
        <v>1446300</v>
      </c>
      <c r="G38" s="3">
        <v>-74.038157069957506</v>
      </c>
      <c r="H38" s="3">
        <v>62.652985262455545</v>
      </c>
    </row>
    <row r="39" spans="1:8" x14ac:dyDescent="0.3">
      <c r="A39" s="2">
        <v>2021</v>
      </c>
      <c r="B39" s="3">
        <v>2</v>
      </c>
      <c r="C39" s="3">
        <v>6367</v>
      </c>
      <c r="D39" s="3">
        <v>-82.427136233164049</v>
      </c>
      <c r="E39" s="3">
        <v>112.69795115158396</v>
      </c>
      <c r="F39" s="3">
        <v>1320933</v>
      </c>
      <c r="G39" s="3">
        <v>-77.85764441998586</v>
      </c>
      <c r="H39" s="3">
        <v>67.420900502252749</v>
      </c>
    </row>
    <row r="40" spans="1:8" x14ac:dyDescent="0.3">
      <c r="A40" s="2">
        <v>2021</v>
      </c>
      <c r="B40" s="3">
        <v>3</v>
      </c>
      <c r="C40" s="3">
        <v>9815</v>
      </c>
      <c r="D40" s="3">
        <v>0.88395518552779606</v>
      </c>
      <c r="E40" s="3">
        <v>119.41652952937579</v>
      </c>
      <c r="F40" s="3">
        <v>2084591</v>
      </c>
      <c r="G40" s="3">
        <v>-19.906750861123335</v>
      </c>
      <c r="H40" s="3">
        <v>72.034703030693777</v>
      </c>
    </row>
    <row r="41" spans="1:8" x14ac:dyDescent="0.3">
      <c r="A41" s="2">
        <v>2021</v>
      </c>
      <c r="B41" s="3">
        <v>4</v>
      </c>
      <c r="C41" s="3">
        <v>19115</v>
      </c>
      <c r="D41" s="3">
        <v>0</v>
      </c>
      <c r="E41" s="3">
        <v>125.81237542976625</v>
      </c>
      <c r="F41" s="3">
        <v>2768017</v>
      </c>
      <c r="G41" s="3">
        <v>0</v>
      </c>
      <c r="H41" s="3">
        <v>76.406084381827498</v>
      </c>
    </row>
    <row r="42" spans="1:8" x14ac:dyDescent="0.3">
      <c r="A42" s="2">
        <v>2021</v>
      </c>
      <c r="B42" s="3">
        <v>5</v>
      </c>
      <c r="C42" s="3">
        <v>50677</v>
      </c>
      <c r="D42" s="3">
        <v>1486.1345852895149</v>
      </c>
      <c r="E42" s="3">
        <v>131.76193347643343</v>
      </c>
      <c r="F42" s="3">
        <v>3750154</v>
      </c>
      <c r="G42" s="3">
        <v>1145.8445316315242</v>
      </c>
      <c r="H42" s="3">
        <v>80.440351266515862</v>
      </c>
    </row>
    <row r="43" spans="1:8" x14ac:dyDescent="0.3">
      <c r="A43" s="2">
        <v>2021</v>
      </c>
      <c r="B43" s="3">
        <v>6</v>
      </c>
      <c r="C43" s="3">
        <v>228836</v>
      </c>
      <c r="D43" s="3">
        <v>326.00294134073016</v>
      </c>
      <c r="E43" s="3">
        <v>137.13291132253948</v>
      </c>
      <c r="F43" s="3">
        <v>7374876</v>
      </c>
      <c r="G43" s="3">
        <v>260.36618706617901</v>
      </c>
      <c r="H43" s="3">
        <v>84.037504417538742</v>
      </c>
    </row>
    <row r="44" spans="1:8" x14ac:dyDescent="0.3">
      <c r="A44" s="2">
        <v>2021</v>
      </c>
      <c r="B44" s="3">
        <v>7</v>
      </c>
      <c r="C44" s="3">
        <v>557073</v>
      </c>
      <c r="D44" s="3">
        <v>3.9255192330294397</v>
      </c>
      <c r="E44" s="3">
        <v>141.88707027762248</v>
      </c>
      <c r="F44" s="3">
        <v>15998378</v>
      </c>
      <c r="G44" s="3">
        <v>59.592873216343875</v>
      </c>
      <c r="H44" s="3">
        <v>87.171530969090256</v>
      </c>
    </row>
    <row r="45" spans="1:8" x14ac:dyDescent="0.3">
      <c r="A45" s="2">
        <v>2021</v>
      </c>
      <c r="B45" s="3">
        <v>8</v>
      </c>
      <c r="C45" s="3">
        <v>703238</v>
      </c>
      <c r="D45" s="3">
        <v>-10.224095714938608</v>
      </c>
      <c r="E45" s="3">
        <v>145.99928762552733</v>
      </c>
      <c r="F45" s="3">
        <v>22293807</v>
      </c>
      <c r="G45" s="3">
        <v>51.310608673130751</v>
      </c>
      <c r="H45" s="3">
        <v>89.828663102770705</v>
      </c>
    </row>
    <row r="46" spans="1:8" x14ac:dyDescent="0.3">
      <c r="A46" s="2">
        <v>2021</v>
      </c>
      <c r="B46" s="3">
        <v>9</v>
      </c>
      <c r="C46" s="3">
        <v>280355</v>
      </c>
      <c r="D46" s="3">
        <v>38.161720497935136</v>
      </c>
      <c r="E46" s="3">
        <v>149.43485998683192</v>
      </c>
      <c r="F46" s="3">
        <v>10575794</v>
      </c>
      <c r="G46" s="3">
        <v>104.31965985214356</v>
      </c>
      <c r="H46" s="3">
        <v>91.993217815614202</v>
      </c>
    </row>
    <row r="47" spans="1:8" x14ac:dyDescent="0.3">
      <c r="A47" s="2">
        <v>2021</v>
      </c>
      <c r="B47" s="3">
        <v>10</v>
      </c>
      <c r="C47" s="3">
        <v>98084</v>
      </c>
      <c r="D47" s="3">
        <v>103.5317797929074</v>
      </c>
      <c r="E47" s="3">
        <v>152.14823513604884</v>
      </c>
      <c r="F47" s="3">
        <v>8282460</v>
      </c>
      <c r="G47" s="3">
        <v>204.43102274615202</v>
      </c>
      <c r="H47" s="3">
        <v>93.646837239763911</v>
      </c>
    </row>
    <row r="48" spans="1:8" x14ac:dyDescent="0.3">
      <c r="A48" s="2">
        <v>2021</v>
      </c>
      <c r="B48" s="3">
        <v>11</v>
      </c>
      <c r="C48" s="3">
        <v>33198</v>
      </c>
      <c r="D48" s="3">
        <v>495.47982062780267</v>
      </c>
      <c r="E48" s="3">
        <v>154.08613354633727</v>
      </c>
      <c r="F48" s="3">
        <v>5307168</v>
      </c>
      <c r="G48" s="3">
        <v>257.85665014433164</v>
      </c>
      <c r="H48" s="3">
        <v>94.772019510282192</v>
      </c>
    </row>
    <row r="49" spans="1:8" x14ac:dyDescent="0.3">
      <c r="A49" s="2">
        <v>2021</v>
      </c>
      <c r="B49" s="3">
        <v>12</v>
      </c>
      <c r="C49" s="3">
        <v>45827</v>
      </c>
      <c r="D49" s="3">
        <v>639.14516129032256</v>
      </c>
      <c r="E49" s="3">
        <v>155.19189954812421</v>
      </c>
      <c r="F49" s="3">
        <v>5570585</v>
      </c>
      <c r="G49" s="3">
        <v>204.56965055259647</v>
      </c>
      <c r="H49" s="3">
        <v>95.358956108447131</v>
      </c>
    </row>
    <row r="50" spans="1:8" x14ac:dyDescent="0.3">
      <c r="A50" s="2">
        <v>2022</v>
      </c>
      <c r="B50" s="3">
        <v>1</v>
      </c>
      <c r="C50" s="3">
        <v>25810</v>
      </c>
      <c r="D50" s="3">
        <v>360.64608245582724</v>
      </c>
      <c r="E50" s="3">
        <v>155.43258536677288</v>
      </c>
      <c r="F50" s="3">
        <v>4796289</v>
      </c>
      <c r="G50" s="3">
        <v>231.6247666459241</v>
      </c>
      <c r="H50" s="3">
        <v>95.409163837108608</v>
      </c>
    </row>
    <row r="51" spans="1:8" x14ac:dyDescent="0.3">
      <c r="A51" s="2">
        <v>2022</v>
      </c>
      <c r="B51" s="3">
        <v>2</v>
      </c>
      <c r="C51" s="3">
        <v>35499</v>
      </c>
      <c r="D51" s="3">
        <v>457.54672530234018</v>
      </c>
      <c r="E51" s="3">
        <v>154.80885109304526</v>
      </c>
      <c r="F51" s="3">
        <v>5366735</v>
      </c>
      <c r="G51" s="3">
        <v>306.28366465218147</v>
      </c>
      <c r="H51" s="3">
        <v>94.931743575119583</v>
      </c>
    </row>
    <row r="52" spans="1:8" x14ac:dyDescent="0.3">
      <c r="A52" s="2">
        <v>2022</v>
      </c>
      <c r="B52" s="3">
        <v>3</v>
      </c>
      <c r="C52" s="3">
        <v>42942</v>
      </c>
      <c r="D52" s="3">
        <v>337.51400916963831</v>
      </c>
      <c r="E52" s="3">
        <v>153.33560775500121</v>
      </c>
      <c r="F52" s="3">
        <v>5968240</v>
      </c>
      <c r="G52" s="3">
        <v>186.30268479524278</v>
      </c>
      <c r="H52" s="3">
        <v>93.945255618194736</v>
      </c>
    </row>
    <row r="53" spans="1:8" x14ac:dyDescent="0.3">
      <c r="A53" s="2">
        <v>2022</v>
      </c>
      <c r="B53" s="3">
        <v>4</v>
      </c>
      <c r="C53" s="3">
        <v>192053</v>
      </c>
      <c r="D53" s="3">
        <v>904.72403871305255</v>
      </c>
      <c r="E53" s="3">
        <v>151.0487898441873</v>
      </c>
      <c r="F53" s="3">
        <v>9360709</v>
      </c>
      <c r="G53" s="3">
        <v>238.17382624456425</v>
      </c>
      <c r="H53" s="3">
        <v>92.482937478790205</v>
      </c>
    </row>
    <row r="54" spans="1:8" x14ac:dyDescent="0.3">
      <c r="A54" s="2">
        <v>2022</v>
      </c>
      <c r="B54" s="3">
        <v>5</v>
      </c>
      <c r="C54" s="3">
        <v>174693</v>
      </c>
      <c r="D54" s="3">
        <v>244.71851135623655</v>
      </c>
      <c r="E54" s="3">
        <v>147.99712201891506</v>
      </c>
      <c r="F54" s="3">
        <v>9701069</v>
      </c>
      <c r="G54" s="3">
        <v>158.68455002114578</v>
      </c>
      <c r="H54" s="3">
        <v>90.58444037972167</v>
      </c>
    </row>
    <row r="55" spans="1:8" x14ac:dyDescent="0.3">
      <c r="A55" s="2">
        <v>2022</v>
      </c>
      <c r="B55" s="3">
        <v>6</v>
      </c>
      <c r="C55" s="3">
        <v>287266</v>
      </c>
      <c r="D55" s="3">
        <v>25.53356989284903</v>
      </c>
      <c r="E55" s="3">
        <v>144.28166749644527</v>
      </c>
      <c r="F55" s="3">
        <v>13538061</v>
      </c>
      <c r="G55" s="3">
        <v>83.570015278900954</v>
      </c>
      <c r="H55" s="3">
        <v>88.29953296663578</v>
      </c>
    </row>
    <row r="56" spans="1:8" x14ac:dyDescent="0.3">
      <c r="A56" s="2">
        <v>2022</v>
      </c>
      <c r="B56" s="3">
        <v>7</v>
      </c>
      <c r="C56" s="3">
        <v>620392</v>
      </c>
      <c r="D56" s="3">
        <v>11.366373886366787</v>
      </c>
      <c r="E56" s="3">
        <v>140.01020625718706</v>
      </c>
      <c r="F56" s="3">
        <v>21843647</v>
      </c>
      <c r="G56" s="3">
        <v>36.536635151388474</v>
      </c>
      <c r="H56" s="3">
        <v>85.682713059459815</v>
      </c>
    </row>
    <row r="57" spans="1:8" x14ac:dyDescent="0.3">
      <c r="A57" s="2">
        <v>2022</v>
      </c>
      <c r="B57" s="3">
        <v>8</v>
      </c>
      <c r="C57" s="3">
        <v>768422</v>
      </c>
      <c r="D57" s="3">
        <v>9.2691236821673471</v>
      </c>
      <c r="E57" s="3">
        <v>135.28227188588269</v>
      </c>
      <c r="F57" s="3">
        <v>25892741</v>
      </c>
      <c r="G57" s="3">
        <v>16.143200665548065</v>
      </c>
      <c r="H57" s="3">
        <v>82.788150039392718</v>
      </c>
    </row>
    <row r="58" spans="1:8" x14ac:dyDescent="0.3">
      <c r="A58" s="2">
        <v>2022</v>
      </c>
      <c r="B58" s="3">
        <v>9</v>
      </c>
      <c r="C58" s="3">
        <v>323762</v>
      </c>
      <c r="D58" s="3">
        <v>15.482869932763821</v>
      </c>
      <c r="E58" s="3">
        <v>130.18846436780419</v>
      </c>
      <c r="F58" s="3">
        <v>13012546</v>
      </c>
      <c r="G58" s="3">
        <v>23.04084213440618</v>
      </c>
      <c r="H58" s="3">
        <v>79.666600365556491</v>
      </c>
    </row>
    <row r="59" spans="1:8" x14ac:dyDescent="0.3">
      <c r="A59" s="2">
        <v>2022</v>
      </c>
      <c r="B59" s="3">
        <v>10</v>
      </c>
      <c r="C59" s="3">
        <v>103454</v>
      </c>
      <c r="D59" s="3">
        <v>5.4748990661066088</v>
      </c>
      <c r="E59" s="3">
        <v>124.81063277515388</v>
      </c>
      <c r="F59" s="3">
        <v>9399950</v>
      </c>
      <c r="G59" s="3">
        <v>13.492247472369323</v>
      </c>
      <c r="H59" s="3">
        <v>76.364192375588843</v>
      </c>
    </row>
    <row r="60" spans="1:8" x14ac:dyDescent="0.3">
      <c r="A60" s="2">
        <v>2022</v>
      </c>
      <c r="B60" s="3">
        <v>11</v>
      </c>
      <c r="C60" s="3">
        <v>34221</v>
      </c>
      <c r="D60" s="3">
        <v>3.0815109343936387</v>
      </c>
      <c r="E60" s="3">
        <v>119.22266051385388</v>
      </c>
      <c r="F60" s="3">
        <v>5949840</v>
      </c>
      <c r="G60" s="3">
        <v>12.109509252392225</v>
      </c>
      <c r="H60" s="3">
        <v>72.923122062805874</v>
      </c>
    </row>
    <row r="61" spans="1:8" x14ac:dyDescent="0.3">
      <c r="A61" s="2">
        <v>2022</v>
      </c>
      <c r="B61" s="3">
        <v>12</v>
      </c>
      <c r="C61" s="3">
        <v>39078</v>
      </c>
      <c r="D61" s="3">
        <v>-14.727125930128526</v>
      </c>
      <c r="E61" s="3">
        <v>113.49014378609652</v>
      </c>
      <c r="F61" s="3">
        <v>6429001</v>
      </c>
      <c r="G61" s="3">
        <v>15.409799868415973</v>
      </c>
      <c r="H61" s="3">
        <v>69.381219313238731</v>
      </c>
    </row>
    <row r="62" spans="1:8" x14ac:dyDescent="0.3">
      <c r="A62" s="2">
        <v>2023</v>
      </c>
      <c r="B62" s="3">
        <v>1</v>
      </c>
      <c r="C62" s="3">
        <v>24180</v>
      </c>
      <c r="D62" s="3">
        <v>-6.3153816350251857</v>
      </c>
      <c r="E62" s="3">
        <v>107.67061343646442</v>
      </c>
      <c r="F62" s="3">
        <v>5976599</v>
      </c>
      <c r="G62" s="3">
        <v>24.608817358587022</v>
      </c>
      <c r="H62" s="3">
        <v>65.772090845362285</v>
      </c>
    </row>
    <row r="63" spans="1:8" x14ac:dyDescent="0.3">
      <c r="A63" s="2">
        <v>2023</v>
      </c>
      <c r="B63" s="3">
        <v>2</v>
      </c>
      <c r="C63" s="3">
        <v>30794</v>
      </c>
      <c r="D63" s="3">
        <v>-13.253894475900729</v>
      </c>
      <c r="E63" s="3">
        <v>101.81269633247658</v>
      </c>
      <c r="F63" s="3">
        <v>6183860</v>
      </c>
      <c r="G63" s="3">
        <v>15.22573780892853</v>
      </c>
      <c r="H63" s="3">
        <v>62.12559536241217</v>
      </c>
    </row>
    <row r="64" spans="1:8" x14ac:dyDescent="0.3">
      <c r="A64" s="2">
        <v>2023</v>
      </c>
      <c r="B64" s="3">
        <v>3</v>
      </c>
      <c r="C64" s="3">
        <v>64617</v>
      </c>
      <c r="D64" s="3">
        <v>50.475059382422806</v>
      </c>
      <c r="E64" s="3">
        <v>95.9571036475498</v>
      </c>
      <c r="F64" s="3">
        <v>7036154</v>
      </c>
      <c r="G64" s="3">
        <v>17.893281771510527</v>
      </c>
      <c r="H64" s="3">
        <v>58.46873300696523</v>
      </c>
    </row>
    <row r="65" spans="1:8" x14ac:dyDescent="0.3">
      <c r="A65" s="2">
        <v>2023</v>
      </c>
      <c r="B65" s="3">
        <v>4</v>
      </c>
      <c r="C65" s="3">
        <v>247593</v>
      </c>
      <c r="D65" s="3">
        <v>28.919100456644784</v>
      </c>
      <c r="E65" s="3">
        <v>90.136555819628086</v>
      </c>
      <c r="F65" s="3">
        <v>10883238</v>
      </c>
      <c r="G65" s="3">
        <v>16.265103423255646</v>
      </c>
      <c r="H65" s="3">
        <v>54.825246987045965</v>
      </c>
    </row>
    <row r="66" spans="1:8" x14ac:dyDescent="0.3">
      <c r="A66" s="2">
        <v>2023</v>
      </c>
      <c r="B66" s="3">
        <v>5</v>
      </c>
      <c r="C66" s="3">
        <v>174498</v>
      </c>
      <c r="D66" s="3">
        <v>-0.11162439250570477</v>
      </c>
      <c r="E66" s="3">
        <v>84.380614811359237</v>
      </c>
      <c r="F66" s="3">
        <v>10509122</v>
      </c>
      <c r="G66" s="3">
        <v>8.3295253337544608</v>
      </c>
      <c r="H66" s="3">
        <v>51.216062771009753</v>
      </c>
    </row>
    <row r="67" spans="1:8" x14ac:dyDescent="0.3">
      <c r="A67" s="2">
        <v>2023</v>
      </c>
      <c r="B67" s="3">
        <v>6</v>
      </c>
      <c r="C67" s="3">
        <v>308528</v>
      </c>
      <c r="D67" s="3">
        <v>7.4015024402470209</v>
      </c>
      <c r="E67" s="3">
        <v>78.714591373213054</v>
      </c>
      <c r="F67" s="3">
        <v>13465503</v>
      </c>
      <c r="G67" s="3">
        <v>-0.53595562909636296</v>
      </c>
      <c r="H67" s="3">
        <v>47.659428039464473</v>
      </c>
    </row>
    <row r="68" spans="1:8" x14ac:dyDescent="0.3">
      <c r="A68" s="2">
        <v>2023</v>
      </c>
      <c r="B68" s="3">
        <v>7</v>
      </c>
      <c r="C68" s="3">
        <v>648517</v>
      </c>
      <c r="D68" s="3">
        <v>4.5334240286786454</v>
      </c>
      <c r="E68" s="3">
        <v>73.157928739047961</v>
      </c>
      <c r="F68" s="3">
        <v>21341706</v>
      </c>
      <c r="G68" s="3">
        <v>-2.2978809353584539</v>
      </c>
      <c r="H68" s="3">
        <v>44.170612241251533</v>
      </c>
    </row>
    <row r="69" spans="1:8" x14ac:dyDescent="0.3">
      <c r="A69" s="2">
        <v>2023</v>
      </c>
      <c r="B69" s="3">
        <v>8</v>
      </c>
      <c r="C69" s="3">
        <v>796449</v>
      </c>
      <c r="D69" s="3">
        <v>3.6473448183420132</v>
      </c>
      <c r="E69" s="3">
        <v>67.725117844879833</v>
      </c>
      <c r="F69" s="3">
        <v>25799948</v>
      </c>
      <c r="G69" s="3">
        <v>-0.35837457301256537</v>
      </c>
      <c r="H69" s="3">
        <v>40.761537923568689</v>
      </c>
    </row>
    <row r="70" spans="1:8" x14ac:dyDescent="0.3">
      <c r="A70" s="2">
        <v>2023</v>
      </c>
      <c r="B70" s="3">
        <v>9</v>
      </c>
      <c r="C70" s="3">
        <v>347454</v>
      </c>
      <c r="D70" s="3">
        <v>7.3177210419999916</v>
      </c>
      <c r="E70" s="3">
        <v>62.425884036119648</v>
      </c>
      <c r="F70" s="3">
        <v>13505310</v>
      </c>
      <c r="G70" s="3">
        <v>3.7868377179992363</v>
      </c>
      <c r="H70" s="3">
        <v>37.440900654920881</v>
      </c>
    </row>
    <row r="71" spans="1:8" x14ac:dyDescent="0.3">
      <c r="A71" s="2">
        <v>2023</v>
      </c>
      <c r="B71" s="3">
        <v>10</v>
      </c>
      <c r="C71" s="3">
        <v>125254</v>
      </c>
      <c r="D71" s="3">
        <v>21.072167340073843</v>
      </c>
      <c r="E71" s="3">
        <v>57.265502812829318</v>
      </c>
      <c r="F71" s="3">
        <v>10141833</v>
      </c>
      <c r="G71" s="3">
        <v>7.8924143213527698</v>
      </c>
      <c r="H71" s="3">
        <v>34.21454045433412</v>
      </c>
    </row>
    <row r="72" spans="1:8" x14ac:dyDescent="0.3">
      <c r="A72" s="2">
        <v>2023</v>
      </c>
      <c r="B72" s="3">
        <v>11</v>
      </c>
      <c r="C72" s="3">
        <v>36056</v>
      </c>
      <c r="D72" s="3">
        <v>5.3622044943163472</v>
      </c>
      <c r="E72" s="3">
        <v>52.245422719307264</v>
      </c>
      <c r="F72" s="3">
        <v>6518874</v>
      </c>
      <c r="G72" s="3">
        <v>9.5638538179177992</v>
      </c>
      <c r="H72" s="3">
        <v>31.085960253130455</v>
      </c>
    </row>
    <row r="73" spans="1:8" x14ac:dyDescent="0.3">
      <c r="A73" s="2">
        <v>2023</v>
      </c>
      <c r="B73" s="3">
        <v>12</v>
      </c>
      <c r="C73" s="3">
        <v>53497</v>
      </c>
      <c r="D73" s="3">
        <v>36.897998874046792</v>
      </c>
      <c r="E73" s="3">
        <v>47.364578873777418</v>
      </c>
      <c r="F73" s="3">
        <v>7112598</v>
      </c>
      <c r="G73" s="3">
        <v>10.633020589046428</v>
      </c>
      <c r="H73" s="3">
        <v>28.056835057206047</v>
      </c>
    </row>
    <row r="74" spans="1:8" x14ac:dyDescent="0.3">
      <c r="A74" s="2">
        <v>2024</v>
      </c>
      <c r="B74" s="3">
        <v>1</v>
      </c>
      <c r="C74" s="3">
        <v>31484</v>
      </c>
      <c r="D74" s="3">
        <v>30.206782464846981</v>
      </c>
      <c r="E74" s="3">
        <v>42.618650615420314</v>
      </c>
      <c r="F74" s="3">
        <v>6321019</v>
      </c>
      <c r="G74" s="3">
        <v>5.7628092498760664</v>
      </c>
      <c r="H74" s="3">
        <v>25.127345281732381</v>
      </c>
    </row>
    <row r="75" spans="1:8" x14ac:dyDescent="0.3">
      <c r="A75" s="2">
        <v>2024</v>
      </c>
      <c r="B75" s="3">
        <v>2</v>
      </c>
      <c r="C75" s="3">
        <v>33330</v>
      </c>
      <c r="D75" s="3">
        <v>8.2353705267259834</v>
      </c>
      <c r="E75" s="3">
        <v>38.002590437583166</v>
      </c>
      <c r="F75" s="3">
        <v>6670836</v>
      </c>
      <c r="G75" s="3">
        <v>7.8749518908901583</v>
      </c>
      <c r="H75" s="3">
        <v>22.2964613547651</v>
      </c>
    </row>
    <row r="76" spans="1:8" x14ac:dyDescent="0.3">
      <c r="A76" s="2">
        <v>2024</v>
      </c>
      <c r="B76" s="3">
        <v>3</v>
      </c>
      <c r="C76" s="3">
        <v>143753</v>
      </c>
      <c r="D76" s="3">
        <v>122.46931921940045</v>
      </c>
      <c r="E76" s="3">
        <v>33.510488898324958</v>
      </c>
      <c r="F76" s="3">
        <v>9176624</v>
      </c>
      <c r="G76" s="3">
        <v>30.421022621164905</v>
      </c>
      <c r="H76" s="3">
        <v>19.561808944913189</v>
      </c>
    </row>
    <row r="77" spans="1:8" x14ac:dyDescent="0.3">
      <c r="A77" s="2">
        <v>2024</v>
      </c>
      <c r="B77" s="3">
        <v>4</v>
      </c>
      <c r="C77" s="3">
        <v>156576</v>
      </c>
      <c r="D77" s="3">
        <v>-36.76073233088173</v>
      </c>
      <c r="E77" s="3">
        <v>29.134369387655315</v>
      </c>
      <c r="F77" s="3">
        <v>8994715</v>
      </c>
      <c r="G77" s="3">
        <v>-17.35258385418016</v>
      </c>
      <c r="H77" s="3">
        <v>16.920012227072871</v>
      </c>
    </row>
    <row r="78" spans="1:8" x14ac:dyDescent="0.3">
      <c r="A78" s="2">
        <v>2024</v>
      </c>
      <c r="B78" s="3">
        <v>5</v>
      </c>
      <c r="C78" s="3">
        <v>225168</v>
      </c>
      <c r="D78" s="3">
        <v>29.037582092631432</v>
      </c>
      <c r="E78" s="3">
        <v>24.872432992133945</v>
      </c>
      <c r="F78" s="3">
        <v>11534958</v>
      </c>
      <c r="G78" s="3">
        <v>9.7613863460715322</v>
      </c>
      <c r="H78" s="3">
        <v>14.368449488201218</v>
      </c>
    </row>
    <row r="79" spans="1:8" x14ac:dyDescent="0.3">
      <c r="A79" s="2">
        <v>2024</v>
      </c>
      <c r="B79" s="3">
        <v>6</v>
      </c>
      <c r="C79" s="3">
        <v>309751</v>
      </c>
      <c r="D79" s="3">
        <v>0.3963983819945005</v>
      </c>
      <c r="E79" s="3">
        <v>20.718304749590096</v>
      </c>
      <c r="F79" s="3">
        <v>14068474</v>
      </c>
      <c r="G79" s="3">
        <v>4.4778943645848113</v>
      </c>
      <c r="H79" s="3">
        <v>11.902118973860778</v>
      </c>
    </row>
    <row r="80" spans="1:8" x14ac:dyDescent="0.3">
      <c r="A80" s="2">
        <v>2024</v>
      </c>
      <c r="B80" s="3">
        <v>7</v>
      </c>
      <c r="C80" s="3">
        <v>776454</v>
      </c>
      <c r="D80" s="3">
        <v>19.727624719166958</v>
      </c>
      <c r="E80" s="3">
        <v>16.665898944318339</v>
      </c>
      <c r="F80" s="3">
        <v>21586057</v>
      </c>
      <c r="G80" s="3">
        <v>1.1449459569914389</v>
      </c>
      <c r="H80" s="3">
        <v>9.5156989946736719</v>
      </c>
    </row>
    <row r="81" spans="1:8" x14ac:dyDescent="0.3">
      <c r="A81" s="2">
        <v>2024</v>
      </c>
      <c r="B81" s="3">
        <v>8</v>
      </c>
      <c r="C81" s="3">
        <v>906576</v>
      </c>
      <c r="D81" s="3">
        <v>13.827250709084948</v>
      </c>
      <c r="E81" s="3">
        <v>12.707718617115495</v>
      </c>
      <c r="F81" s="3">
        <v>26030579</v>
      </c>
      <c r="G81" s="3">
        <v>0.89392040635121184</v>
      </c>
      <c r="H81" s="3">
        <v>7.2033522901085991</v>
      </c>
    </row>
    <row r="82" spans="1:8" x14ac:dyDescent="0.3">
      <c r="A82" s="2">
        <v>2024</v>
      </c>
      <c r="B82" s="3">
        <v>9</v>
      </c>
      <c r="C82" s="3">
        <v>337677</v>
      </c>
      <c r="D82" s="3">
        <v>-2.8138976670293081</v>
      </c>
      <c r="E82" s="3">
        <v>8.8364794286238642</v>
      </c>
      <c r="F82" s="3">
        <v>13902946</v>
      </c>
      <c r="G82" s="3">
        <v>2.9442937629717392</v>
      </c>
      <c r="H82" s="3">
        <v>4.9586602973399785</v>
      </c>
    </row>
    <row r="83" spans="1:8" x14ac:dyDescent="0.3">
      <c r="A83" s="2">
        <v>2024</v>
      </c>
      <c r="B83" s="3">
        <v>10</v>
      </c>
      <c r="C83" s="3">
        <v>93682</v>
      </c>
      <c r="D83" s="3">
        <v>-25.206380634550595</v>
      </c>
      <c r="E83" s="3">
        <v>5.0449747847699147</v>
      </c>
      <c r="F83" s="3">
        <v>10034600</v>
      </c>
      <c r="G83" s="3">
        <v>-1.0573335214650093</v>
      </c>
      <c r="H83" s="3">
        <v>2.7747662985503019</v>
      </c>
    </row>
    <row r="84" spans="1:8" x14ac:dyDescent="0.3">
      <c r="A84" s="2">
        <v>2024</v>
      </c>
      <c r="B84" s="3">
        <v>11</v>
      </c>
      <c r="C84" s="3">
        <v>56428</v>
      </c>
      <c r="D84" s="3">
        <v>56.500998446860429</v>
      </c>
      <c r="E84" s="3">
        <v>1.3251890375151376</v>
      </c>
      <c r="F84" s="3">
        <v>6828761</v>
      </c>
      <c r="G84" s="3">
        <v>4.7536890573433466</v>
      </c>
      <c r="H84" s="3">
        <v>0.64467368935717628</v>
      </c>
    </row>
    <row r="85" spans="1:8" x14ac:dyDescent="0.3">
      <c r="A85" s="2">
        <v>2024</v>
      </c>
      <c r="B85" s="3">
        <v>12</v>
      </c>
      <c r="C85" s="3">
        <v>58012</v>
      </c>
      <c r="D85" s="3">
        <v>8.4397255920892746</v>
      </c>
      <c r="E85" s="3">
        <v>-2.3329942497497629</v>
      </c>
      <c r="F85" s="3">
        <v>6954412</v>
      </c>
      <c r="G85" s="3">
        <v>-2.2240255951482157</v>
      </c>
      <c r="H85" s="3">
        <v>-1.4388802526648499</v>
      </c>
    </row>
    <row r="86" spans="1:8" x14ac:dyDescent="0.3">
      <c r="A86" s="2">
        <v>2025</v>
      </c>
      <c r="B86" s="3">
        <v>1</v>
      </c>
      <c r="C86" s="3">
        <v>23300</v>
      </c>
      <c r="D86" s="3">
        <v>-25.994155761656714</v>
      </c>
      <c r="E86" s="3">
        <v>-5.9358598602028785</v>
      </c>
      <c r="F86" s="3">
        <v>6441724</v>
      </c>
      <c r="G86" s="3">
        <v>1.9095813507284287</v>
      </c>
      <c r="H86" s="3">
        <v>-3.4828729016517843</v>
      </c>
    </row>
    <row r="87" spans="1:8" x14ac:dyDescent="0.3">
      <c r="A87" s="2">
        <v>2025</v>
      </c>
      <c r="B87" s="3">
        <v>2</v>
      </c>
      <c r="C87" s="3">
        <v>22670</v>
      </c>
      <c r="D87" s="3">
        <v>-31.983198319831985</v>
      </c>
      <c r="E87" s="3">
        <v>-9.488944471477728</v>
      </c>
      <c r="F87" s="3">
        <v>6670569</v>
      </c>
      <c r="G87" s="3">
        <v>-4.0024968384733128E-3</v>
      </c>
      <c r="H87" s="3">
        <v>-5.4943361557217516</v>
      </c>
    </row>
    <row r="88" spans="1:8" x14ac:dyDescent="0.3">
      <c r="A88" s="2">
        <v>2025</v>
      </c>
      <c r="B88" s="3">
        <v>3</v>
      </c>
      <c r="C88" s="3">
        <v>42381</v>
      </c>
      <c r="D88" s="3">
        <v>-70.518180490146293</v>
      </c>
      <c r="E88" s="3">
        <v>-12.999177698423209</v>
      </c>
      <c r="F88" s="3">
        <v>7693938</v>
      </c>
      <c r="G88" s="3">
        <v>-16.157205525692241</v>
      </c>
      <c r="H88" s="3">
        <v>-7.479927437003127</v>
      </c>
    </row>
    <row r="89" spans="1:8" x14ac:dyDescent="0.3">
      <c r="A89" s="2">
        <v>2025</v>
      </c>
      <c r="B89" s="3">
        <v>4</v>
      </c>
      <c r="C89" s="3">
        <v>233370</v>
      </c>
      <c r="D89" s="3">
        <v>49.045830778663401</v>
      </c>
      <c r="E89" s="3">
        <v>-16.475051256849909</v>
      </c>
      <c r="F89" s="3">
        <v>10739032</v>
      </c>
      <c r="G89" s="3">
        <v>19.392687817234886</v>
      </c>
      <c r="H89" s="3">
        <v>-9.4459228944535312</v>
      </c>
    </row>
    <row r="90" spans="1:8" x14ac:dyDescent="0.3">
      <c r="A90" s="2">
        <v>2025</v>
      </c>
      <c r="B90" s="3">
        <v>5</v>
      </c>
      <c r="C90" s="3">
        <v>210028</v>
      </c>
      <c r="D90" s="3">
        <v>-6.723868400483191</v>
      </c>
      <c r="E90" s="3">
        <v>-19.929051237762287</v>
      </c>
      <c r="F90" s="3">
        <v>11604497</v>
      </c>
      <c r="G90" s="3">
        <v>0.60285438403850922</v>
      </c>
      <c r="H90" s="3">
        <v>-11.399201265786743</v>
      </c>
    </row>
    <row r="91" spans="1:8" x14ac:dyDescent="0.3">
      <c r="A91" s="2">
        <v>2025</v>
      </c>
      <c r="B91" s="3">
        <v>6</v>
      </c>
      <c r="C91" s="3">
        <v>349694</v>
      </c>
      <c r="D91" s="3">
        <v>12.895196464256763</v>
      </c>
      <c r="E91" s="3">
        <v>-23.369113670912334</v>
      </c>
      <c r="F91" s="3">
        <v>15192881</v>
      </c>
      <c r="G91" s="3">
        <v>7.9923878026856299</v>
      </c>
      <c r="H91" s="3">
        <v>-13.344638607417119</v>
      </c>
    </row>
    <row r="92" spans="1:8" x14ac:dyDescent="0.3">
      <c r="A92" s="2">
        <v>2025</v>
      </c>
      <c r="B92" s="3">
        <v>7</v>
      </c>
      <c r="C92" s="3">
        <v>801218</v>
      </c>
      <c r="D92" s="3">
        <v>3.1893711668688596</v>
      </c>
      <c r="E92" s="3">
        <v>-26.802257559466117</v>
      </c>
      <c r="F92" s="3">
        <v>22399487</v>
      </c>
      <c r="G92" s="3">
        <v>3.7683121099884032</v>
      </c>
      <c r="H92" s="3">
        <v>-15.286277499672218</v>
      </c>
    </row>
    <row r="93" spans="1:8" x14ac:dyDescent="0.3">
      <c r="A93" s="2">
        <v>2025</v>
      </c>
      <c r="B93" s="3">
        <v>8</v>
      </c>
      <c r="C93" s="3">
        <v>948140</v>
      </c>
      <c r="D93" s="3">
        <v>4.5847231782001785</v>
      </c>
      <c r="E93" s="3">
        <v>-30.232983551719212</v>
      </c>
      <c r="F93" s="3">
        <v>26185425</v>
      </c>
      <c r="G93" s="3">
        <v>0.59486191221485019</v>
      </c>
      <c r="H93" s="3">
        <v>-17.22667878493446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3"/>
  <sheetViews>
    <sheetView topLeftCell="A76" workbookViewId="0">
      <selection activeCell="A94" sqref="A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3.71093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122</v>
      </c>
      <c r="D1" s="2" t="s">
        <v>123</v>
      </c>
      <c r="E1" s="2" t="s">
        <v>124</v>
      </c>
      <c r="F1" s="2" t="s">
        <v>125</v>
      </c>
      <c r="G1" s="2" t="s">
        <v>126</v>
      </c>
      <c r="H1" s="2" t="s">
        <v>127</v>
      </c>
    </row>
    <row r="2" spans="1:8" x14ac:dyDescent="0.3">
      <c r="A2" s="2">
        <v>2018</v>
      </c>
      <c r="B2" s="9">
        <v>1</v>
      </c>
      <c r="C2" s="3">
        <v>76543</v>
      </c>
      <c r="D2" s="3">
        <v>7.744823411832602</v>
      </c>
      <c r="E2" s="3">
        <v>-2.3157396358985149</v>
      </c>
      <c r="F2" s="3">
        <v>15395882</v>
      </c>
      <c r="G2" s="3">
        <v>1.2840996033732788</v>
      </c>
      <c r="H2" s="3">
        <v>-7.554518550501367</v>
      </c>
    </row>
    <row r="3" spans="1:8" x14ac:dyDescent="0.3">
      <c r="A3" s="2">
        <v>2018</v>
      </c>
      <c r="B3" s="9">
        <v>2</v>
      </c>
      <c r="C3" s="3">
        <v>85751</v>
      </c>
      <c r="D3" s="3">
        <v>-3.2548851482467667</v>
      </c>
      <c r="E3" s="3">
        <v>-2.3595057760721327</v>
      </c>
      <c r="F3" s="3">
        <v>16527859</v>
      </c>
      <c r="G3" s="3">
        <v>1.109256555548721</v>
      </c>
      <c r="H3" s="3">
        <v>-7.6183723327868575</v>
      </c>
    </row>
    <row r="4" spans="1:8" x14ac:dyDescent="0.3">
      <c r="A4" s="2">
        <v>2018</v>
      </c>
      <c r="B4" s="9">
        <v>3</v>
      </c>
      <c r="C4" s="3">
        <v>162350</v>
      </c>
      <c r="D4" s="3">
        <v>25.820526531972444</v>
      </c>
      <c r="E4" s="3">
        <v>-2.3146953235381575</v>
      </c>
      <c r="F4" s="3">
        <v>21918931</v>
      </c>
      <c r="G4" s="3">
        <v>6.8765648586856631</v>
      </c>
      <c r="H4" s="3">
        <v>-7.574379934805278</v>
      </c>
    </row>
    <row r="5" spans="1:8" x14ac:dyDescent="0.3">
      <c r="A5" s="2">
        <v>2018</v>
      </c>
      <c r="B5" s="9">
        <v>4</v>
      </c>
      <c r="C5" s="3">
        <v>211930</v>
      </c>
      <c r="D5" s="3">
        <v>-13.795978799822651</v>
      </c>
      <c r="E5" s="3">
        <v>-2.1708865945154132</v>
      </c>
      <c r="F5" s="3">
        <v>25207350</v>
      </c>
      <c r="G5" s="3">
        <v>-8.5013604276183425</v>
      </c>
      <c r="H5" s="3">
        <v>-7.4095883509053921</v>
      </c>
    </row>
    <row r="6" spans="1:8" x14ac:dyDescent="0.3">
      <c r="A6" s="2">
        <v>2018</v>
      </c>
      <c r="B6" s="9">
        <v>5</v>
      </c>
      <c r="C6" s="3">
        <v>223145</v>
      </c>
      <c r="D6" s="3">
        <v>1.6397549477328077</v>
      </c>
      <c r="E6" s="3">
        <v>-1.9157040703716472</v>
      </c>
      <c r="F6" s="3">
        <v>31921157</v>
      </c>
      <c r="G6" s="3">
        <v>1.5306559304222089</v>
      </c>
      <c r="H6" s="3">
        <v>-7.110041037603084</v>
      </c>
    </row>
    <row r="7" spans="1:8" x14ac:dyDescent="0.3">
      <c r="A7" s="2">
        <v>2018</v>
      </c>
      <c r="B7" s="9">
        <v>6</v>
      </c>
      <c r="C7" s="3">
        <v>282793</v>
      </c>
      <c r="D7" s="3">
        <v>5.448646506673871E-2</v>
      </c>
      <c r="E7" s="3">
        <v>-1.5375795305444202</v>
      </c>
      <c r="F7" s="3">
        <v>36168465</v>
      </c>
      <c r="G7" s="3">
        <v>-1.3041853331194675</v>
      </c>
      <c r="H7" s="3">
        <v>-6.6618572689195661</v>
      </c>
    </row>
    <row r="8" spans="1:8" x14ac:dyDescent="0.3">
      <c r="A8" s="2">
        <v>2018</v>
      </c>
      <c r="B8" s="9">
        <v>7</v>
      </c>
      <c r="C8" s="3">
        <v>448127</v>
      </c>
      <c r="D8" s="3">
        <v>0.11908113156118283</v>
      </c>
      <c r="E8" s="3">
        <v>-1.0246978475950359</v>
      </c>
      <c r="F8" s="3">
        <v>42717096</v>
      </c>
      <c r="G8" s="3">
        <v>-2.0799454691256769</v>
      </c>
      <c r="H8" s="3">
        <v>-6.0505562704754947</v>
      </c>
    </row>
    <row r="9" spans="1:8" x14ac:dyDescent="0.3">
      <c r="A9" s="2">
        <v>2018</v>
      </c>
      <c r="B9" s="9">
        <v>8</v>
      </c>
      <c r="C9" s="3">
        <v>579992</v>
      </c>
      <c r="D9" s="3">
        <v>7.4186570260178941</v>
      </c>
      <c r="E9" s="3">
        <v>-0.36513333394621367</v>
      </c>
      <c r="F9" s="3">
        <v>46306240</v>
      </c>
      <c r="G9" s="3">
        <v>-0.75218208075853443</v>
      </c>
      <c r="H9" s="3">
        <v>-5.2612852073404284</v>
      </c>
    </row>
    <row r="10" spans="1:8" x14ac:dyDescent="0.3">
      <c r="A10" s="2">
        <v>2018</v>
      </c>
      <c r="B10" s="9">
        <v>9</v>
      </c>
      <c r="C10" s="3">
        <v>350624</v>
      </c>
      <c r="D10" s="3">
        <v>8.4254340122086333</v>
      </c>
      <c r="E10" s="3">
        <v>0.45311912707510194</v>
      </c>
      <c r="F10" s="3">
        <v>37768667</v>
      </c>
      <c r="G10" s="3">
        <v>-0.50822938201312562</v>
      </c>
      <c r="H10" s="3">
        <v>-4.2789155077227194</v>
      </c>
    </row>
    <row r="11" spans="1:8" x14ac:dyDescent="0.3">
      <c r="A11" s="2">
        <v>2018</v>
      </c>
      <c r="B11" s="9">
        <v>10</v>
      </c>
      <c r="C11" s="3">
        <v>241267</v>
      </c>
      <c r="D11" s="3">
        <v>0.96289848765096497</v>
      </c>
      <c r="E11" s="3">
        <v>1.4426051931391861</v>
      </c>
      <c r="F11" s="3">
        <v>31132356</v>
      </c>
      <c r="G11" s="3">
        <v>0.75647075077827086</v>
      </c>
      <c r="H11" s="3">
        <v>-3.0880054676691531</v>
      </c>
    </row>
    <row r="12" spans="1:8" x14ac:dyDescent="0.3">
      <c r="A12" s="2">
        <v>2018</v>
      </c>
      <c r="B12" s="9">
        <v>11</v>
      </c>
      <c r="C12" s="3">
        <v>139073</v>
      </c>
      <c r="D12" s="3">
        <v>14.534074531603869</v>
      </c>
      <c r="E12" s="3">
        <v>2.6164241548944487</v>
      </c>
      <c r="F12" s="3">
        <v>18261076</v>
      </c>
      <c r="G12" s="3">
        <v>4.126258821414952</v>
      </c>
      <c r="H12" s="3">
        <v>-1.6728515300233398</v>
      </c>
    </row>
    <row r="13" spans="1:8" x14ac:dyDescent="0.3">
      <c r="A13" s="2">
        <v>2018</v>
      </c>
      <c r="B13" s="9">
        <v>12</v>
      </c>
      <c r="C13" s="3">
        <v>108884</v>
      </c>
      <c r="D13" s="3">
        <v>6.0482692794670445</v>
      </c>
      <c r="E13" s="3">
        <v>3.9876419900236404</v>
      </c>
      <c r="F13" s="3">
        <v>16655848</v>
      </c>
      <c r="G13" s="3">
        <v>2.7390482697200902</v>
      </c>
      <c r="H13" s="3">
        <v>-1.7483160113719712E-2</v>
      </c>
    </row>
    <row r="14" spans="1:8" x14ac:dyDescent="0.3">
      <c r="A14" s="2">
        <v>2019</v>
      </c>
      <c r="B14" s="9">
        <v>1</v>
      </c>
      <c r="C14" s="3">
        <v>76086</v>
      </c>
      <c r="D14" s="3">
        <v>-0.59705002416942099</v>
      </c>
      <c r="E14" s="3">
        <v>5.5701522908190055</v>
      </c>
      <c r="F14" s="3">
        <v>15506154</v>
      </c>
      <c r="G14" s="3">
        <v>0.71624347341712191</v>
      </c>
      <c r="H14" s="3">
        <v>1.8944728927278947</v>
      </c>
    </row>
    <row r="15" spans="1:8" x14ac:dyDescent="0.3">
      <c r="A15" s="2">
        <v>2019</v>
      </c>
      <c r="B15" s="9">
        <v>2</v>
      </c>
      <c r="C15" s="3">
        <v>96301</v>
      </c>
      <c r="D15" s="3">
        <v>12.303063521125113</v>
      </c>
      <c r="E15" s="3">
        <v>7.3779917486901097</v>
      </c>
      <c r="F15" s="3">
        <v>16589486</v>
      </c>
      <c r="G15" s="3">
        <v>0.37286741132047663</v>
      </c>
      <c r="H15" s="3">
        <v>4.0795813049634289</v>
      </c>
    </row>
    <row r="16" spans="1:8" x14ac:dyDescent="0.3">
      <c r="A16" s="2">
        <v>2019</v>
      </c>
      <c r="B16" s="9">
        <v>3</v>
      </c>
      <c r="C16" s="3">
        <v>148784</v>
      </c>
      <c r="D16" s="3">
        <v>-8.3560209424083816</v>
      </c>
      <c r="E16" s="3">
        <v>9.4247687771079764</v>
      </c>
      <c r="F16" s="3">
        <v>21520914</v>
      </c>
      <c r="G16" s="3">
        <v>-1.8158595416902457</v>
      </c>
      <c r="H16" s="3">
        <v>6.554324931567356</v>
      </c>
    </row>
    <row r="17" spans="1:8" x14ac:dyDescent="0.3">
      <c r="A17" s="2">
        <v>2019</v>
      </c>
      <c r="B17" s="9">
        <v>4</v>
      </c>
      <c r="C17" s="3">
        <v>244848</v>
      </c>
      <c r="D17" s="3">
        <v>15.532487141980834</v>
      </c>
      <c r="E17" s="3">
        <v>11.724433808416716</v>
      </c>
      <c r="F17" s="3">
        <v>26808982</v>
      </c>
      <c r="G17" s="3">
        <v>6.3538293394585388</v>
      </c>
      <c r="H17" s="3">
        <v>9.3349292168270903</v>
      </c>
    </row>
    <row r="18" spans="1:8" x14ac:dyDescent="0.3">
      <c r="A18" s="2">
        <v>2019</v>
      </c>
      <c r="B18" s="9">
        <v>5</v>
      </c>
      <c r="C18" s="3">
        <v>233175</v>
      </c>
      <c r="D18" s="3">
        <v>4.4948351968451039</v>
      </c>
      <c r="E18" s="3">
        <v>14.289702497896581</v>
      </c>
      <c r="F18" s="3">
        <v>31905788</v>
      </c>
      <c r="G18" s="3">
        <v>-4.8146751071709293E-2</v>
      </c>
      <c r="H18" s="3">
        <v>12.437038342219402</v>
      </c>
    </row>
    <row r="19" spans="1:8" x14ac:dyDescent="0.3">
      <c r="A19" s="2">
        <v>2019</v>
      </c>
      <c r="B19" s="9">
        <v>6</v>
      </c>
      <c r="C19" s="3">
        <v>293090</v>
      </c>
      <c r="D19" s="3">
        <v>3.6411792371098262</v>
      </c>
      <c r="E19" s="3">
        <v>17.133554948975988</v>
      </c>
      <c r="F19" s="3">
        <v>37163185</v>
      </c>
      <c r="G19" s="3">
        <v>2.7502411285632355</v>
      </c>
      <c r="H19" s="3">
        <v>15.876089468396245</v>
      </c>
    </row>
    <row r="20" spans="1:8" x14ac:dyDescent="0.3">
      <c r="A20" s="2">
        <v>2019</v>
      </c>
      <c r="B20" s="9">
        <v>7</v>
      </c>
      <c r="C20" s="3">
        <v>458883</v>
      </c>
      <c r="D20" s="3">
        <v>2.4002124397771274</v>
      </c>
      <c r="E20" s="3">
        <v>20.268291065965222</v>
      </c>
      <c r="F20" s="3">
        <v>43199530</v>
      </c>
      <c r="G20" s="3">
        <v>1.1293698429312604</v>
      </c>
      <c r="H20" s="3">
        <v>19.666652729266978</v>
      </c>
    </row>
    <row r="21" spans="1:8" x14ac:dyDescent="0.3">
      <c r="A21" s="2">
        <v>2019</v>
      </c>
      <c r="B21" s="9">
        <v>8</v>
      </c>
      <c r="C21" s="3">
        <v>561389</v>
      </c>
      <c r="D21" s="3">
        <v>-3.2074580339039205</v>
      </c>
      <c r="E21" s="3">
        <v>23.705273782639019</v>
      </c>
      <c r="F21" s="3">
        <v>47059511</v>
      </c>
      <c r="G21" s="3">
        <v>1.6267159674376419</v>
      </c>
      <c r="H21" s="3">
        <v>23.822386741495141</v>
      </c>
    </row>
    <row r="22" spans="1:8" x14ac:dyDescent="0.3">
      <c r="A22" s="2">
        <v>2019</v>
      </c>
      <c r="B22" s="9">
        <v>9</v>
      </c>
      <c r="C22" s="3">
        <v>351448</v>
      </c>
      <c r="D22" s="3">
        <v>0.2350095829150245</v>
      </c>
      <c r="E22" s="3">
        <v>27.454625193978625</v>
      </c>
      <c r="F22" s="3">
        <v>37572668</v>
      </c>
      <c r="G22" s="3">
        <v>-0.51894603534723416</v>
      </c>
      <c r="H22" s="3">
        <v>28.355662810432715</v>
      </c>
    </row>
    <row r="23" spans="1:8" x14ac:dyDescent="0.3">
      <c r="A23" s="2">
        <v>2019</v>
      </c>
      <c r="B23" s="9">
        <v>10</v>
      </c>
      <c r="C23" s="3">
        <v>224094</v>
      </c>
      <c r="D23" s="3">
        <v>-7.1178404008836687</v>
      </c>
      <c r="E23" s="3">
        <v>31.524598455255813</v>
      </c>
      <c r="F23" s="3">
        <v>30363238</v>
      </c>
      <c r="G23" s="3">
        <v>-2.4704779811717481</v>
      </c>
      <c r="H23" s="3">
        <v>33.277310875405711</v>
      </c>
    </row>
    <row r="24" spans="1:8" x14ac:dyDescent="0.3">
      <c r="A24" s="2">
        <v>2019</v>
      </c>
      <c r="B24" s="9">
        <v>11</v>
      </c>
      <c r="C24" s="3">
        <v>136330</v>
      </c>
      <c r="D24" s="3">
        <v>-1.9723454588597367</v>
      </c>
      <c r="E24" s="3">
        <v>35.921556470658253</v>
      </c>
      <c r="F24" s="3">
        <v>18339394</v>
      </c>
      <c r="G24" s="3">
        <v>0.42887943733436185</v>
      </c>
      <c r="H24" s="3">
        <v>38.596155694570292</v>
      </c>
    </row>
    <row r="25" spans="1:8" x14ac:dyDescent="0.3">
      <c r="A25" s="2">
        <v>2019</v>
      </c>
      <c r="B25" s="9">
        <v>12</v>
      </c>
      <c r="C25" s="3">
        <v>112917</v>
      </c>
      <c r="D25" s="3">
        <v>3.7039418096322718</v>
      </c>
      <c r="E25" s="3">
        <v>40.64917864167527</v>
      </c>
      <c r="F25" s="3">
        <v>16966744</v>
      </c>
      <c r="G25" s="3">
        <v>1.8665876393684666</v>
      </c>
      <c r="H25" s="3">
        <v>44.31853954074537</v>
      </c>
    </row>
    <row r="26" spans="1:8" x14ac:dyDescent="0.3">
      <c r="A26" s="2">
        <v>2020</v>
      </c>
      <c r="B26" s="9">
        <v>1</v>
      </c>
      <c r="C26" s="3">
        <v>91995</v>
      </c>
      <c r="D26" s="3">
        <v>20.909234287516764</v>
      </c>
      <c r="E26" s="3">
        <v>45.70851284882886</v>
      </c>
      <c r="F26" s="3">
        <v>15968171</v>
      </c>
      <c r="G26" s="3">
        <v>2.9795718525689852</v>
      </c>
      <c r="H26" s="3">
        <v>50.4481541814542</v>
      </c>
    </row>
    <row r="27" spans="1:8" x14ac:dyDescent="0.3">
      <c r="A27" s="2">
        <v>2020</v>
      </c>
      <c r="B27" s="9">
        <v>2</v>
      </c>
      <c r="C27" s="3">
        <v>102078</v>
      </c>
      <c r="D27" s="3">
        <v>5.998899284534942</v>
      </c>
      <c r="E27" s="3">
        <v>51.098041331194345</v>
      </c>
      <c r="F27" s="3">
        <v>17614206</v>
      </c>
      <c r="G27" s="3">
        <v>6.1769243483493108</v>
      </c>
      <c r="H27" s="3">
        <v>56.98574333200466</v>
      </c>
    </row>
    <row r="28" spans="1:8" x14ac:dyDescent="0.3">
      <c r="A28" s="2">
        <v>2020</v>
      </c>
      <c r="B28" s="9">
        <v>3</v>
      </c>
      <c r="C28" s="3">
        <v>47658</v>
      </c>
      <c r="D28" s="3">
        <v>-67.968329927949227</v>
      </c>
      <c r="E28" s="3">
        <v>56.814524155724733</v>
      </c>
      <c r="F28" s="3">
        <v>8372820</v>
      </c>
      <c r="G28" s="3">
        <v>-61.09449626535379</v>
      </c>
      <c r="H28" s="3">
        <v>63.928754278376232</v>
      </c>
    </row>
    <row r="29" spans="1:8" x14ac:dyDescent="0.3">
      <c r="A29" s="2">
        <v>2020</v>
      </c>
      <c r="B29" s="9">
        <v>4</v>
      </c>
      <c r="C29" s="3">
        <v>0</v>
      </c>
      <c r="D29" s="3">
        <v>-100</v>
      </c>
      <c r="E29" s="3">
        <v>62.851589504508674</v>
      </c>
      <c r="F29" s="3">
        <v>0</v>
      </c>
      <c r="G29" s="3">
        <v>-100</v>
      </c>
      <c r="H29" s="3">
        <v>71.271105916341199</v>
      </c>
    </row>
    <row r="30" spans="1:8" x14ac:dyDescent="0.3">
      <c r="A30" s="2">
        <v>2020</v>
      </c>
      <c r="B30" s="9">
        <v>5</v>
      </c>
      <c r="C30" s="3">
        <v>2636</v>
      </c>
      <c r="D30" s="3">
        <v>-98.869518601908439</v>
      </c>
      <c r="E30" s="3">
        <v>69.194200083656796</v>
      </c>
      <c r="F30" s="3">
        <v>271149</v>
      </c>
      <c r="G30" s="3">
        <v>-99.150157331954944</v>
      </c>
      <c r="H30" s="3">
        <v>78.998034971495201</v>
      </c>
    </row>
    <row r="31" spans="1:8" x14ac:dyDescent="0.3">
      <c r="A31" s="2">
        <v>2020</v>
      </c>
      <c r="B31" s="9">
        <v>6</v>
      </c>
      <c r="C31" s="3">
        <v>33991</v>
      </c>
      <c r="D31" s="3">
        <v>-88.402538469412121</v>
      </c>
      <c r="E31" s="3">
        <v>75.816009461119691</v>
      </c>
      <c r="F31" s="3">
        <v>1870057</v>
      </c>
      <c r="G31" s="3">
        <v>-94.967985117529622</v>
      </c>
      <c r="H31" s="3">
        <v>87.082884342634131</v>
      </c>
    </row>
    <row r="32" spans="1:8" x14ac:dyDescent="0.3">
      <c r="A32" s="2">
        <v>2020</v>
      </c>
      <c r="B32" s="9">
        <v>7</v>
      </c>
      <c r="C32" s="3">
        <v>316522</v>
      </c>
      <c r="D32" s="3">
        <v>-31.023376329042485</v>
      </c>
      <c r="E32" s="3">
        <v>82.679000113272565</v>
      </c>
      <c r="F32" s="3">
        <v>11731245</v>
      </c>
      <c r="G32" s="3">
        <v>-72.844044831043291</v>
      </c>
      <c r="H32" s="3">
        <v>95.486625526310604</v>
      </c>
    </row>
    <row r="33" spans="1:8" x14ac:dyDescent="0.3">
      <c r="A33" s="2">
        <v>2020</v>
      </c>
      <c r="B33" s="9">
        <v>8</v>
      </c>
      <c r="C33" s="3">
        <v>467296</v>
      </c>
      <c r="D33" s="3">
        <v>-16.760748785601432</v>
      </c>
      <c r="E33" s="3">
        <v>89.733750450662143</v>
      </c>
      <c r="F33" s="3">
        <v>16927211</v>
      </c>
      <c r="G33" s="3">
        <v>-64.030202098785097</v>
      </c>
      <c r="H33" s="3">
        <v>104.15758759758695</v>
      </c>
    </row>
    <row r="34" spans="1:8" x14ac:dyDescent="0.3">
      <c r="A34" s="2">
        <v>2020</v>
      </c>
      <c r="B34" s="9">
        <v>9</v>
      </c>
      <c r="C34" s="3">
        <v>180523</v>
      </c>
      <c r="D34" s="3">
        <v>-48.634506385012862</v>
      </c>
      <c r="E34" s="3">
        <v>96.922942885471102</v>
      </c>
      <c r="F34" s="3">
        <v>8219094</v>
      </c>
      <c r="G34" s="3">
        <v>-78.124806042520049</v>
      </c>
      <c r="H34" s="3">
        <v>113.0324100016396</v>
      </c>
    </row>
    <row r="35" spans="1:8" x14ac:dyDescent="0.3">
      <c r="A35" s="2">
        <v>2020</v>
      </c>
      <c r="B35" s="9">
        <v>10</v>
      </c>
      <c r="C35" s="3">
        <v>86971</v>
      </c>
      <c r="D35" s="3">
        <v>-61.189947075780694</v>
      </c>
      <c r="E35" s="3">
        <v>104.18186437854627</v>
      </c>
      <c r="F35" s="3">
        <v>5128825</v>
      </c>
      <c r="G35" s="3">
        <v>-83.108438566400594</v>
      </c>
      <c r="H35" s="3">
        <v>122.03605247602717</v>
      </c>
    </row>
    <row r="36" spans="1:8" x14ac:dyDescent="0.3">
      <c r="A36" s="2">
        <v>2020</v>
      </c>
      <c r="B36" s="9">
        <v>11</v>
      </c>
      <c r="C36" s="3">
        <v>19384</v>
      </c>
      <c r="D36" s="3">
        <v>-85.781559451331319</v>
      </c>
      <c r="E36" s="3">
        <v>111.43569373453512</v>
      </c>
      <c r="F36" s="3">
        <v>2874269</v>
      </c>
      <c r="G36" s="3">
        <v>-84.327350183980997</v>
      </c>
      <c r="H36" s="3">
        <v>131.08019995163852</v>
      </c>
    </row>
    <row r="37" spans="1:8" x14ac:dyDescent="0.3">
      <c r="A37" s="2">
        <v>2020</v>
      </c>
      <c r="B37" s="9">
        <v>12</v>
      </c>
      <c r="C37" s="3">
        <v>22112</v>
      </c>
      <c r="D37" s="3">
        <v>-80.417474782362262</v>
      </c>
      <c r="E37" s="3">
        <v>118.59812560451194</v>
      </c>
      <c r="F37" s="3">
        <v>3245991</v>
      </c>
      <c r="G37" s="3">
        <v>-80.86850959736293</v>
      </c>
      <c r="H37" s="3">
        <v>140.06229121415126</v>
      </c>
    </row>
    <row r="38" spans="1:8" x14ac:dyDescent="0.3">
      <c r="A38" s="2">
        <v>2021</v>
      </c>
      <c r="B38" s="9">
        <v>1</v>
      </c>
      <c r="C38" s="3">
        <v>23164</v>
      </c>
      <c r="D38" s="3">
        <v>-74.820370672319143</v>
      </c>
      <c r="E38" s="3">
        <v>125.56915899696861</v>
      </c>
      <c r="F38" s="3">
        <v>2459473</v>
      </c>
      <c r="G38" s="3">
        <v>-84.597653669916227</v>
      </c>
      <c r="H38" s="3">
        <v>148.86480619159468</v>
      </c>
    </row>
    <row r="39" spans="1:8" x14ac:dyDescent="0.3">
      <c r="A39" s="2">
        <v>2021</v>
      </c>
      <c r="B39" s="9">
        <v>2</v>
      </c>
      <c r="C39" s="3">
        <v>28829</v>
      </c>
      <c r="D39" s="3">
        <v>-71.757871431650315</v>
      </c>
      <c r="E39" s="3">
        <v>132.2349723925924</v>
      </c>
      <c r="F39" s="3">
        <v>2436961</v>
      </c>
      <c r="G39" s="3">
        <v>-86.164797890975038</v>
      </c>
      <c r="H39" s="3">
        <v>157.35488239527504</v>
      </c>
    </row>
    <row r="40" spans="1:8" x14ac:dyDescent="0.3">
      <c r="A40" s="2">
        <v>2021</v>
      </c>
      <c r="B40" s="9">
        <v>3</v>
      </c>
      <c r="C40" s="3">
        <v>31810</v>
      </c>
      <c r="D40" s="3">
        <v>-33.253598556380879</v>
      </c>
      <c r="E40" s="3">
        <v>138.46782833251015</v>
      </c>
      <c r="F40" s="3">
        <v>3588559</v>
      </c>
      <c r="G40" s="3">
        <v>-57.140378032729714</v>
      </c>
      <c r="H40" s="3">
        <v>165.38344466567483</v>
      </c>
    </row>
    <row r="41" spans="1:8" x14ac:dyDescent="0.3">
      <c r="A41" s="2">
        <v>2021</v>
      </c>
      <c r="B41" s="9">
        <v>4</v>
      </c>
      <c r="C41" s="3">
        <v>31963</v>
      </c>
      <c r="D41" s="3">
        <v>0</v>
      </c>
      <c r="E41" s="3">
        <v>144.12582318813872</v>
      </c>
      <c r="F41" s="3">
        <v>4142415</v>
      </c>
      <c r="G41" s="3">
        <v>0</v>
      </c>
      <c r="H41" s="3">
        <v>172.78450675436778</v>
      </c>
    </row>
    <row r="42" spans="1:8" x14ac:dyDescent="0.3">
      <c r="A42" s="2">
        <v>2021</v>
      </c>
      <c r="B42" s="9">
        <v>5</v>
      </c>
      <c r="C42" s="3">
        <v>72284</v>
      </c>
      <c r="D42" s="3">
        <v>2642.185128983308</v>
      </c>
      <c r="E42" s="3">
        <v>149.0551282318055</v>
      </c>
      <c r="F42" s="3">
        <v>7342738</v>
      </c>
      <c r="G42" s="3">
        <v>2608.0085119251776</v>
      </c>
      <c r="H42" s="3">
        <v>179.37662936968474</v>
      </c>
    </row>
    <row r="43" spans="1:8" x14ac:dyDescent="0.3">
      <c r="A43" s="2">
        <v>2021</v>
      </c>
      <c r="B43" s="9">
        <v>6</v>
      </c>
      <c r="C43" s="3">
        <v>185583</v>
      </c>
      <c r="D43" s="3">
        <v>445.97687623194372</v>
      </c>
      <c r="E43" s="3">
        <v>153.09190599811643</v>
      </c>
      <c r="F43" s="3">
        <v>14259621</v>
      </c>
      <c r="G43" s="3">
        <v>662.5233348502212</v>
      </c>
      <c r="H43" s="3">
        <v>184.96637429587636</v>
      </c>
    </row>
    <row r="44" spans="1:8" x14ac:dyDescent="0.3">
      <c r="A44" s="2">
        <v>2021</v>
      </c>
      <c r="B44" s="9">
        <v>7</v>
      </c>
      <c r="C44" s="3">
        <v>416907</v>
      </c>
      <c r="D44" s="3">
        <v>31.715015070042529</v>
      </c>
      <c r="E44" s="3">
        <v>156.24545304950749</v>
      </c>
      <c r="F44" s="3">
        <v>26351353</v>
      </c>
      <c r="G44" s="3">
        <v>124.62537437416063</v>
      </c>
      <c r="H44" s="3">
        <v>189.52895830903748</v>
      </c>
    </row>
    <row r="45" spans="1:8" x14ac:dyDescent="0.3">
      <c r="A45" s="2">
        <v>2021</v>
      </c>
      <c r="B45" s="9">
        <v>8</v>
      </c>
      <c r="C45" s="3">
        <v>553446</v>
      </c>
      <c r="D45" s="3">
        <v>18.435852222146142</v>
      </c>
      <c r="E45" s="3">
        <v>158.54540518245864</v>
      </c>
      <c r="F45" s="3">
        <v>34460041</v>
      </c>
      <c r="G45" s="3">
        <v>103.57778372349702</v>
      </c>
      <c r="H45" s="3">
        <v>193.07276186307919</v>
      </c>
    </row>
    <row r="46" spans="1:8" x14ac:dyDescent="0.3">
      <c r="A46" s="2">
        <v>2021</v>
      </c>
      <c r="B46" s="9">
        <v>9</v>
      </c>
      <c r="C46" s="3">
        <v>325114</v>
      </c>
      <c r="D46" s="3">
        <v>80.095611085568038</v>
      </c>
      <c r="E46" s="3">
        <v>160.01275024636794</v>
      </c>
      <c r="F46" s="3">
        <v>25679512</v>
      </c>
      <c r="G46" s="3">
        <v>212.43725889982522</v>
      </c>
      <c r="H46" s="3">
        <v>195.60165821858379</v>
      </c>
    </row>
    <row r="47" spans="1:8" x14ac:dyDescent="0.3">
      <c r="A47" s="2">
        <v>2021</v>
      </c>
      <c r="B47" s="9">
        <v>10</v>
      </c>
      <c r="C47" s="3">
        <v>226126</v>
      </c>
      <c r="D47" s="3">
        <v>160.00160973197964</v>
      </c>
      <c r="E47" s="3">
        <v>160.65874626056677</v>
      </c>
      <c r="F47" s="3">
        <v>23935219</v>
      </c>
      <c r="G47" s="3">
        <v>366.68036051142315</v>
      </c>
      <c r="H47" s="3">
        <v>197.11330570709606</v>
      </c>
    </row>
    <row r="48" spans="1:8" x14ac:dyDescent="0.3">
      <c r="A48" s="2">
        <v>2021</v>
      </c>
      <c r="B48" s="9">
        <v>11</v>
      </c>
      <c r="C48" s="3">
        <v>110838</v>
      </c>
      <c r="D48" s="3">
        <v>471.80148576145268</v>
      </c>
      <c r="E48" s="3">
        <v>160.48910144305589</v>
      </c>
      <c r="F48" s="3">
        <v>14930647</v>
      </c>
      <c r="G48" s="3">
        <v>419.45893025322266</v>
      </c>
      <c r="H48" s="3">
        <v>197.60653179909698</v>
      </c>
    </row>
    <row r="49" spans="1:8" x14ac:dyDescent="0.3">
      <c r="A49" s="2">
        <v>2021</v>
      </c>
      <c r="B49" s="9">
        <v>12</v>
      </c>
      <c r="C49" s="3">
        <v>85447</v>
      </c>
      <c r="D49" s="3">
        <v>286.42818379160639</v>
      </c>
      <c r="E49" s="3">
        <v>159.50947837735487</v>
      </c>
      <c r="F49" s="3">
        <v>13220155</v>
      </c>
      <c r="G49" s="3">
        <v>307.2763910928897</v>
      </c>
      <c r="H49" s="3">
        <v>197.09193945498453</v>
      </c>
    </row>
    <row r="50" spans="1:8" x14ac:dyDescent="0.3">
      <c r="A50" s="2">
        <v>2022</v>
      </c>
      <c r="B50" s="9">
        <v>1</v>
      </c>
      <c r="C50" s="3">
        <v>69293</v>
      </c>
      <c r="D50" s="3">
        <v>199.14090830599207</v>
      </c>
      <c r="E50" s="3">
        <v>157.74715856256097</v>
      </c>
      <c r="F50" s="3">
        <v>10598385</v>
      </c>
      <c r="G50" s="3">
        <v>330.92097372079303</v>
      </c>
      <c r="H50" s="3">
        <v>195.59553805171595</v>
      </c>
    </row>
    <row r="51" spans="1:8" x14ac:dyDescent="0.3">
      <c r="A51" s="2">
        <v>2022</v>
      </c>
      <c r="B51" s="9">
        <v>2</v>
      </c>
      <c r="C51" s="3">
        <v>97536</v>
      </c>
      <c r="D51" s="3">
        <v>238.32599118942733</v>
      </c>
      <c r="E51" s="3">
        <v>155.23823729675854</v>
      </c>
      <c r="F51" s="3">
        <v>13623546</v>
      </c>
      <c r="G51" s="3">
        <v>459.03832683411838</v>
      </c>
      <c r="H51" s="3">
        <v>193.15098866427891</v>
      </c>
    </row>
    <row r="52" spans="1:8" x14ac:dyDescent="0.3">
      <c r="A52" s="2">
        <v>2022</v>
      </c>
      <c r="B52" s="9">
        <v>3</v>
      </c>
      <c r="C52" s="3">
        <v>132397</v>
      </c>
      <c r="D52" s="3">
        <v>316.21188305564283</v>
      </c>
      <c r="E52" s="3">
        <v>152.02168444398635</v>
      </c>
      <c r="F52" s="3">
        <v>17632648</v>
      </c>
      <c r="G52" s="3">
        <v>391.35733869778926</v>
      </c>
      <c r="H52" s="3">
        <v>189.80134996736035</v>
      </c>
    </row>
    <row r="53" spans="1:8" x14ac:dyDescent="0.3">
      <c r="A53" s="2">
        <v>2022</v>
      </c>
      <c r="B53" s="9">
        <v>4</v>
      </c>
      <c r="C53" s="3">
        <v>228141</v>
      </c>
      <c r="D53" s="3">
        <v>613.7659168413478</v>
      </c>
      <c r="E53" s="3">
        <v>148.14223985119236</v>
      </c>
      <c r="F53" s="3">
        <v>25197638</v>
      </c>
      <c r="G53" s="3">
        <v>508.28376683649515</v>
      </c>
      <c r="H53" s="3">
        <v>185.60814503413121</v>
      </c>
    </row>
    <row r="54" spans="1:8" x14ac:dyDescent="0.3">
      <c r="A54" s="2">
        <v>2022</v>
      </c>
      <c r="B54" s="9">
        <v>5</v>
      </c>
      <c r="C54" s="3">
        <v>250851</v>
      </c>
      <c r="D54" s="3">
        <v>247.03530518510323</v>
      </c>
      <c r="E54" s="3">
        <v>143.65604546245041</v>
      </c>
      <c r="F54" s="3">
        <v>29785395</v>
      </c>
      <c r="G54" s="3">
        <v>305.64425695156217</v>
      </c>
      <c r="H54" s="3">
        <v>180.64689388142426</v>
      </c>
    </row>
    <row r="55" spans="1:8" x14ac:dyDescent="0.3">
      <c r="A55" s="2">
        <v>2022</v>
      </c>
      <c r="B55" s="9">
        <v>6</v>
      </c>
      <c r="C55" s="3">
        <v>296183</v>
      </c>
      <c r="D55" s="3">
        <v>59.595975924518953</v>
      </c>
      <c r="E55" s="3">
        <v>138.65157819940308</v>
      </c>
      <c r="F55" s="3">
        <v>35111326</v>
      </c>
      <c r="G55" s="3">
        <v>146.22902670414589</v>
      </c>
      <c r="H55" s="3">
        <v>175.01552455536418</v>
      </c>
    </row>
    <row r="56" spans="1:8" x14ac:dyDescent="0.3">
      <c r="A56" s="2">
        <v>2022</v>
      </c>
      <c r="B56" s="9">
        <v>7</v>
      </c>
      <c r="C56" s="3">
        <v>480513</v>
      </c>
      <c r="D56" s="3">
        <v>15.256639970065255</v>
      </c>
      <c r="E56" s="3">
        <v>133.22449409895142</v>
      </c>
      <c r="F56" s="3">
        <v>42121775</v>
      </c>
      <c r="G56" s="3">
        <v>59.846725896768938</v>
      </c>
      <c r="H56" s="3">
        <v>168.820645474511</v>
      </c>
    </row>
    <row r="57" spans="1:8" x14ac:dyDescent="0.3">
      <c r="A57" s="2">
        <v>2022</v>
      </c>
      <c r="B57" s="9">
        <v>8</v>
      </c>
      <c r="C57" s="3">
        <v>560568</v>
      </c>
      <c r="D57" s="3">
        <v>1.2868464132002044</v>
      </c>
      <c r="E57" s="3">
        <v>127.4649592256163</v>
      </c>
      <c r="F57" s="3">
        <v>46140100</v>
      </c>
      <c r="G57" s="3">
        <v>33.894501170210447</v>
      </c>
      <c r="H57" s="3">
        <v>162.16686599507395</v>
      </c>
    </row>
    <row r="58" spans="1:8" x14ac:dyDescent="0.3">
      <c r="A58" s="2">
        <v>2022</v>
      </c>
      <c r="B58" s="9">
        <v>9</v>
      </c>
      <c r="C58" s="3">
        <v>351254</v>
      </c>
      <c r="D58" s="3">
        <v>8.0402566484371718</v>
      </c>
      <c r="E58" s="3">
        <v>121.45494743182627</v>
      </c>
      <c r="F58" s="3">
        <v>35999861</v>
      </c>
      <c r="G58" s="3">
        <v>40.189038639052008</v>
      </c>
      <c r="H58" s="3">
        <v>155.15122783995827</v>
      </c>
    </row>
    <row r="59" spans="1:8" x14ac:dyDescent="0.3">
      <c r="A59" s="2">
        <v>2022</v>
      </c>
      <c r="B59" s="9">
        <v>10</v>
      </c>
      <c r="C59" s="3">
        <v>249597</v>
      </c>
      <c r="D59" s="3">
        <v>10.379611367113917</v>
      </c>
      <c r="E59" s="3">
        <v>115.26767020106462</v>
      </c>
      <c r="F59" s="3">
        <v>29865924</v>
      </c>
      <c r="G59" s="3">
        <v>24.778152228312589</v>
      </c>
      <c r="H59" s="3">
        <v>147.86186492895635</v>
      </c>
    </row>
    <row r="60" spans="1:8" x14ac:dyDescent="0.3">
      <c r="A60" s="2">
        <v>2022</v>
      </c>
      <c r="B60" s="9">
        <v>11</v>
      </c>
      <c r="C60" s="3">
        <v>118839</v>
      </c>
      <c r="D60" s="3">
        <v>7.2186434255399723</v>
      </c>
      <c r="E60" s="3">
        <v>108.96846299662131</v>
      </c>
      <c r="F60" s="3">
        <v>17661676</v>
      </c>
      <c r="G60" s="3">
        <v>18.291431041133045</v>
      </c>
      <c r="H60" s="3">
        <v>140.3789276964994</v>
      </c>
    </row>
    <row r="61" spans="1:8" x14ac:dyDescent="0.3">
      <c r="A61" s="2">
        <v>2022</v>
      </c>
      <c r="B61" s="9">
        <v>12</v>
      </c>
      <c r="C61" s="3">
        <v>102798</v>
      </c>
      <c r="D61" s="3">
        <v>20.306154692382417</v>
      </c>
      <c r="E61" s="3">
        <v>102.61537738881175</v>
      </c>
      <c r="F61" s="3">
        <v>16627833</v>
      </c>
      <c r="G61" s="3">
        <v>25.776384618788505</v>
      </c>
      <c r="H61" s="3">
        <v>132.77401909696997</v>
      </c>
    </row>
    <row r="62" spans="1:8" x14ac:dyDescent="0.3">
      <c r="A62" s="2">
        <v>2023</v>
      </c>
      <c r="B62" s="9">
        <v>1</v>
      </c>
      <c r="C62" s="3">
        <v>68106</v>
      </c>
      <c r="D62" s="3">
        <v>-1.7130157447361238</v>
      </c>
      <c r="E62" s="3">
        <v>96.25939898825888</v>
      </c>
      <c r="F62" s="3">
        <v>15472477</v>
      </c>
      <c r="G62" s="3">
        <v>45.989006815661071</v>
      </c>
      <c r="H62" s="3">
        <v>125.11026378637173</v>
      </c>
    </row>
    <row r="63" spans="1:8" x14ac:dyDescent="0.3">
      <c r="A63" s="2">
        <v>2023</v>
      </c>
      <c r="B63" s="9">
        <v>2</v>
      </c>
      <c r="C63" s="3">
        <v>86254</v>
      </c>
      <c r="D63" s="3">
        <v>-11.567011154855644</v>
      </c>
      <c r="E63" s="3">
        <v>89.94579748734283</v>
      </c>
      <c r="F63" s="3">
        <v>16816547</v>
      </c>
      <c r="G63" s="3">
        <v>23.437370857778149</v>
      </c>
      <c r="H63" s="3">
        <v>117.44335602942519</v>
      </c>
    </row>
    <row r="64" spans="1:8" x14ac:dyDescent="0.3">
      <c r="A64" s="2">
        <v>2023</v>
      </c>
      <c r="B64" s="9">
        <v>3</v>
      </c>
      <c r="C64" s="3">
        <v>137625</v>
      </c>
      <c r="D64" s="3">
        <v>3.9487299561168365</v>
      </c>
      <c r="E64" s="3">
        <v>83.713038938531724</v>
      </c>
      <c r="F64" s="3">
        <v>20597741</v>
      </c>
      <c r="G64" s="3">
        <v>16.815925775867591</v>
      </c>
      <c r="H64" s="3">
        <v>109.82349555911675</v>
      </c>
    </row>
    <row r="65" spans="1:8" x14ac:dyDescent="0.3">
      <c r="A65" s="2">
        <v>2023</v>
      </c>
      <c r="B65" s="9">
        <v>4</v>
      </c>
      <c r="C65" s="3">
        <v>257542</v>
      </c>
      <c r="D65" s="3">
        <v>12.887205719270089</v>
      </c>
      <c r="E65" s="3">
        <v>77.592539893693527</v>
      </c>
      <c r="F65" s="3">
        <v>28046754</v>
      </c>
      <c r="G65" s="3">
        <v>11.307075687014789</v>
      </c>
      <c r="H65" s="3">
        <v>102.29435391501812</v>
      </c>
    </row>
    <row r="66" spans="1:8" x14ac:dyDescent="0.3">
      <c r="A66" s="2">
        <v>2023</v>
      </c>
      <c r="B66" s="9">
        <v>5</v>
      </c>
      <c r="C66" s="3">
        <v>228503</v>
      </c>
      <c r="D66" s="3">
        <v>-8.9088741922495824</v>
      </c>
      <c r="E66" s="3">
        <v>71.610177716572409</v>
      </c>
      <c r="F66" s="3">
        <v>32187667</v>
      </c>
      <c r="G66" s="3">
        <v>8.0652682296138867</v>
      </c>
      <c r="H66" s="3">
        <v>94.893143777688266</v>
      </c>
    </row>
    <row r="67" spans="1:8" x14ac:dyDescent="0.3">
      <c r="A67" s="2">
        <v>2023</v>
      </c>
      <c r="B67" s="9">
        <v>6</v>
      </c>
      <c r="C67" s="3">
        <v>304963</v>
      </c>
      <c r="D67" s="3">
        <v>2.9643835061431645</v>
      </c>
      <c r="E67" s="3">
        <v>65.787336344928207</v>
      </c>
      <c r="F67" s="3">
        <v>36255025</v>
      </c>
      <c r="G67" s="3">
        <v>3.2573506338097191</v>
      </c>
      <c r="H67" s="3">
        <v>87.650759266698103</v>
      </c>
    </row>
    <row r="68" spans="1:8" x14ac:dyDescent="0.3">
      <c r="A68" s="2">
        <v>2023</v>
      </c>
      <c r="B68" s="9">
        <v>7</v>
      </c>
      <c r="C68" s="3">
        <v>472633</v>
      </c>
      <c r="D68" s="3">
        <v>-1.6399140085700092</v>
      </c>
      <c r="E68" s="3">
        <v>60.139808115693761</v>
      </c>
      <c r="F68" s="3">
        <v>43109417</v>
      </c>
      <c r="G68" s="3">
        <v>2.3447302493781352</v>
      </c>
      <c r="H68" s="3">
        <v>80.592064788038812</v>
      </c>
    </row>
    <row r="69" spans="1:8" x14ac:dyDescent="0.3">
      <c r="A69" s="2">
        <v>2023</v>
      </c>
      <c r="B69" s="9">
        <v>8</v>
      </c>
      <c r="C69" s="3">
        <v>555123</v>
      </c>
      <c r="D69" s="3">
        <v>-0.97133621612364163</v>
      </c>
      <c r="E69" s="3">
        <v>54.679022660743648</v>
      </c>
      <c r="F69" s="3">
        <v>46695607</v>
      </c>
      <c r="G69" s="3">
        <v>1.2039570785498999</v>
      </c>
      <c r="H69" s="3">
        <v>73.736064094324277</v>
      </c>
    </row>
    <row r="70" spans="1:8" x14ac:dyDescent="0.3">
      <c r="A70" s="2">
        <v>2023</v>
      </c>
      <c r="B70" s="9">
        <v>9</v>
      </c>
      <c r="C70" s="3">
        <v>340843</v>
      </c>
      <c r="D70" s="3">
        <v>-2.9639520119343787</v>
      </c>
      <c r="E70" s="3">
        <v>49.41211935347161</v>
      </c>
      <c r="F70" s="3">
        <v>37980229</v>
      </c>
      <c r="G70" s="3">
        <v>5.501043462362265</v>
      </c>
      <c r="H70" s="3">
        <v>67.096327095492114</v>
      </c>
    </row>
    <row r="71" spans="1:8" x14ac:dyDescent="0.3">
      <c r="A71" s="2">
        <v>2023</v>
      </c>
      <c r="B71" s="9">
        <v>10</v>
      </c>
      <c r="C71" s="3">
        <v>246412</v>
      </c>
      <c r="D71" s="3">
        <v>-1.2760570038902741</v>
      </c>
      <c r="E71" s="3">
        <v>44.342372959016046</v>
      </c>
      <c r="F71" s="3">
        <v>32415687</v>
      </c>
      <c r="G71" s="3">
        <v>8.5373651925183971</v>
      </c>
      <c r="H71" s="3">
        <v>60.681386749603831</v>
      </c>
    </row>
    <row r="72" spans="1:8" x14ac:dyDescent="0.3">
      <c r="A72" s="2">
        <v>2023</v>
      </c>
      <c r="B72" s="9">
        <v>11</v>
      </c>
      <c r="C72" s="3">
        <v>130017</v>
      </c>
      <c r="D72" s="3">
        <v>9.406003079797042</v>
      </c>
      <c r="E72" s="3">
        <v>39.469421015337197</v>
      </c>
      <c r="F72" s="3">
        <v>19023828</v>
      </c>
      <c r="G72" s="3">
        <v>7.7124730404974029</v>
      </c>
      <c r="H72" s="3">
        <v>54.495498564468612</v>
      </c>
    </row>
    <row r="73" spans="1:8" x14ac:dyDescent="0.3">
      <c r="A73" s="2">
        <v>2023</v>
      </c>
      <c r="B73" s="9">
        <v>12</v>
      </c>
      <c r="C73" s="3">
        <v>107719</v>
      </c>
      <c r="D73" s="3">
        <v>4.7870581139710877</v>
      </c>
      <c r="E73" s="3">
        <v>34.789733113870106</v>
      </c>
      <c r="F73" s="3">
        <v>17913857</v>
      </c>
      <c r="G73" s="3">
        <v>7.7341647585707607</v>
      </c>
      <c r="H73" s="3">
        <v>48.539296935287538</v>
      </c>
    </row>
    <row r="74" spans="1:8" x14ac:dyDescent="0.3">
      <c r="A74" s="2">
        <v>2024</v>
      </c>
      <c r="B74" s="9">
        <v>1</v>
      </c>
      <c r="C74" s="3">
        <v>82073</v>
      </c>
      <c r="D74" s="3">
        <v>20.507737937920311</v>
      </c>
      <c r="E74" s="3">
        <v>30.297691108693183</v>
      </c>
      <c r="F74" s="3">
        <v>16491597</v>
      </c>
      <c r="G74" s="3">
        <v>6.5866635316375044</v>
      </c>
      <c r="H74" s="3">
        <v>42.810167436044743</v>
      </c>
    </row>
    <row r="75" spans="1:8" x14ac:dyDescent="0.3">
      <c r="A75" s="2">
        <v>2024</v>
      </c>
      <c r="B75" s="9">
        <v>2</v>
      </c>
      <c r="C75" s="3">
        <v>92815</v>
      </c>
      <c r="D75" s="3">
        <v>7.6066037517100726</v>
      </c>
      <c r="E75" s="3">
        <v>25.985593334787616</v>
      </c>
      <c r="F75" s="3">
        <v>18581766</v>
      </c>
      <c r="G75" s="3">
        <v>10.496917113840309</v>
      </c>
      <c r="H75" s="3">
        <v>37.302661950989858</v>
      </c>
    </row>
    <row r="76" spans="1:8" x14ac:dyDescent="0.3">
      <c r="A76" s="2">
        <v>2024</v>
      </c>
      <c r="B76" s="9">
        <v>3</v>
      </c>
      <c r="C76" s="3">
        <v>199998</v>
      </c>
      <c r="D76" s="3">
        <v>45.320980926430508</v>
      </c>
      <c r="E76" s="3">
        <v>21.845058269275516</v>
      </c>
      <c r="F76" s="3">
        <v>24520234</v>
      </c>
      <c r="G76" s="3">
        <v>19.043316449119342</v>
      </c>
      <c r="H76" s="3">
        <v>32.00881684326805</v>
      </c>
    </row>
    <row r="77" spans="1:8" x14ac:dyDescent="0.3">
      <c r="A77" s="2">
        <v>2024</v>
      </c>
      <c r="B77" s="9">
        <v>4</v>
      </c>
      <c r="C77" s="3">
        <v>217231</v>
      </c>
      <c r="D77" s="3">
        <v>-15.652204300657758</v>
      </c>
      <c r="E77" s="3">
        <v>17.866428070557951</v>
      </c>
      <c r="F77" s="3">
        <v>27099375</v>
      </c>
      <c r="G77" s="3">
        <v>-3.3778561326562095</v>
      </c>
      <c r="H77" s="3">
        <v>26.91880696596635</v>
      </c>
    </row>
    <row r="78" spans="1:8" x14ac:dyDescent="0.3">
      <c r="A78" s="2">
        <v>2024</v>
      </c>
      <c r="B78" s="9">
        <v>5</v>
      </c>
      <c r="C78" s="3">
        <v>264242</v>
      </c>
      <c r="D78" s="3">
        <v>15.640494873152644</v>
      </c>
      <c r="E78" s="3">
        <v>14.04167516944274</v>
      </c>
      <c r="F78" s="3">
        <v>35701080</v>
      </c>
      <c r="G78" s="3">
        <v>10.915401231160992</v>
      </c>
      <c r="H78" s="3">
        <v>22.021906790199985</v>
      </c>
    </row>
    <row r="79" spans="1:8" x14ac:dyDescent="0.3">
      <c r="A79" s="2">
        <v>2024</v>
      </c>
      <c r="B79" s="9">
        <v>6</v>
      </c>
      <c r="C79" s="3">
        <v>298294</v>
      </c>
      <c r="D79" s="3">
        <v>-2.1868226637329791</v>
      </c>
      <c r="E79" s="3">
        <v>10.360444313934147</v>
      </c>
      <c r="F79" s="3">
        <v>38185201</v>
      </c>
      <c r="G79" s="3">
        <v>5.3238854476034714</v>
      </c>
      <c r="H79" s="3">
        <v>17.305286852146779</v>
      </c>
    </row>
    <row r="80" spans="1:8" x14ac:dyDescent="0.3">
      <c r="A80" s="2">
        <v>2024</v>
      </c>
      <c r="B80" s="9">
        <v>7</v>
      </c>
      <c r="C80" s="3">
        <v>467453</v>
      </c>
      <c r="D80" s="3">
        <v>-1.0959877960277864</v>
      </c>
      <c r="E80" s="3">
        <v>6.8124912811825302</v>
      </c>
      <c r="F80" s="3">
        <v>43918939</v>
      </c>
      <c r="G80" s="3">
        <v>1.8778310084778038</v>
      </c>
      <c r="H80" s="3">
        <v>12.755346402876292</v>
      </c>
    </row>
    <row r="81" spans="1:8" x14ac:dyDescent="0.3">
      <c r="A81" s="2">
        <v>2024</v>
      </c>
      <c r="B81" s="9">
        <v>8</v>
      </c>
      <c r="C81" s="3">
        <v>569558</v>
      </c>
      <c r="D81" s="3">
        <v>2.6003246127434876</v>
      </c>
      <c r="E81" s="3">
        <v>3.3867005103536862</v>
      </c>
      <c r="F81" s="3">
        <v>47760600</v>
      </c>
      <c r="G81" s="3">
        <v>2.2807134726827716</v>
      </c>
      <c r="H81" s="3">
        <v>8.3576526516938792</v>
      </c>
    </row>
    <row r="82" spans="1:8" x14ac:dyDescent="0.3">
      <c r="A82" s="2">
        <v>2024</v>
      </c>
      <c r="B82" s="9">
        <v>9</v>
      </c>
      <c r="C82" s="3">
        <v>324605</v>
      </c>
      <c r="D82" s="3">
        <v>-4.7640702610879497</v>
      </c>
      <c r="E82" s="3">
        <v>7.1407240677497374E-2</v>
      </c>
      <c r="F82" s="3">
        <v>38965938</v>
      </c>
      <c r="G82" s="3">
        <v>2.5953213710217415</v>
      </c>
      <c r="H82" s="3">
        <v>4.0970174248914013</v>
      </c>
    </row>
    <row r="83" spans="1:8" x14ac:dyDescent="0.3">
      <c r="A83" s="2">
        <v>2024</v>
      </c>
      <c r="B83" s="9">
        <v>10</v>
      </c>
      <c r="C83" s="3">
        <v>218582</v>
      </c>
      <c r="D83" s="3">
        <v>-11.294092820154866</v>
      </c>
      <c r="E83" s="3">
        <v>-3.1451078980534883</v>
      </c>
      <c r="F83" s="3">
        <v>33836772</v>
      </c>
      <c r="G83" s="3">
        <v>4.3839422561058106</v>
      </c>
      <c r="H83" s="3">
        <v>-4.2169460904490808E-2</v>
      </c>
    </row>
    <row r="84" spans="1:8" x14ac:dyDescent="0.3">
      <c r="A84" s="2">
        <v>2024</v>
      </c>
      <c r="B84" s="9">
        <v>11</v>
      </c>
      <c r="C84" s="3">
        <v>143214</v>
      </c>
      <c r="D84" s="3">
        <v>10.15021112623733</v>
      </c>
      <c r="E84" s="3">
        <v>-6.2749000730954556</v>
      </c>
      <c r="F84" s="3">
        <v>19978052</v>
      </c>
      <c r="G84" s="3">
        <v>5.0159410608632493</v>
      </c>
      <c r="H84" s="3">
        <v>-4.0756224735153292</v>
      </c>
    </row>
    <row r="85" spans="1:8" x14ac:dyDescent="0.3">
      <c r="A85" s="2">
        <v>2024</v>
      </c>
      <c r="B85" s="9">
        <v>12</v>
      </c>
      <c r="C85" s="3">
        <v>100233</v>
      </c>
      <c r="D85" s="3">
        <v>-6.9495632154030424</v>
      </c>
      <c r="E85" s="3">
        <v>-9.3305903534352908</v>
      </c>
      <c r="F85" s="3">
        <v>18025526</v>
      </c>
      <c r="G85" s="3">
        <v>0.62336659268855676</v>
      </c>
      <c r="H85" s="3">
        <v>-8.0187487118934104</v>
      </c>
    </row>
    <row r="86" spans="1:8" x14ac:dyDescent="0.3">
      <c r="A86" s="2">
        <v>2025</v>
      </c>
      <c r="B86" s="9">
        <v>1</v>
      </c>
      <c r="C86" s="3">
        <v>83681</v>
      </c>
      <c r="D86" s="3">
        <v>1.9592314159345925</v>
      </c>
      <c r="E86" s="3">
        <v>-12.323659175337704</v>
      </c>
      <c r="F86" s="3">
        <v>16910798</v>
      </c>
      <c r="G86" s="3">
        <v>2.5419066449416716</v>
      </c>
      <c r="H86" s="3">
        <v>-11.886323916412255</v>
      </c>
    </row>
    <row r="87" spans="1:8" x14ac:dyDescent="0.3">
      <c r="A87" s="2">
        <v>2025</v>
      </c>
      <c r="B87" s="9">
        <v>2</v>
      </c>
      <c r="C87" s="3">
        <v>91873</v>
      </c>
      <c r="D87" s="3">
        <v>-1.0149221569789368</v>
      </c>
      <c r="E87" s="3">
        <v>-15.265421625960599</v>
      </c>
      <c r="F87" s="3">
        <v>18412444</v>
      </c>
      <c r="G87" s="3">
        <v>-0.91122662937419552</v>
      </c>
      <c r="H87" s="3">
        <v>-15.692523680549233</v>
      </c>
    </row>
    <row r="88" spans="1:8" x14ac:dyDescent="0.3">
      <c r="A88" s="2">
        <v>2025</v>
      </c>
      <c r="B88" s="9">
        <v>3</v>
      </c>
      <c r="C88" s="3">
        <v>137686</v>
      </c>
      <c r="D88" s="3">
        <v>-31.156311563115636</v>
      </c>
      <c r="E88" s="3">
        <v>-18.166200925059702</v>
      </c>
      <c r="F88" s="3">
        <v>22344694</v>
      </c>
      <c r="G88" s="3">
        <v>-8.8724275632932397</v>
      </c>
      <c r="H88" s="3">
        <v>-19.450521637326059</v>
      </c>
    </row>
    <row r="89" spans="1:8" x14ac:dyDescent="0.3">
      <c r="A89" s="2">
        <v>2025</v>
      </c>
      <c r="B89" s="9">
        <v>4</v>
      </c>
      <c r="C89" s="3">
        <v>228221</v>
      </c>
      <c r="D89" s="3">
        <v>5.0591306029065919</v>
      </c>
      <c r="E89" s="3">
        <v>-21.035330674372066</v>
      </c>
      <c r="F89" s="3">
        <v>29070077</v>
      </c>
      <c r="G89" s="3">
        <v>7.272130814825073</v>
      </c>
      <c r="H89" s="3">
        <v>-23.172464940802566</v>
      </c>
    </row>
    <row r="90" spans="1:8" x14ac:dyDescent="0.3">
      <c r="A90" s="2">
        <v>2025</v>
      </c>
      <c r="B90" s="9">
        <v>5</v>
      </c>
      <c r="C90" s="3">
        <v>266242</v>
      </c>
      <c r="D90" s="3">
        <v>0.75688194912240103</v>
      </c>
      <c r="E90" s="3">
        <v>-23.883046566651274</v>
      </c>
      <c r="F90" s="3">
        <v>35565862</v>
      </c>
      <c r="G90" s="3">
        <v>-0.37875044676519698</v>
      </c>
      <c r="H90" s="3">
        <v>-26.869766155172332</v>
      </c>
    </row>
    <row r="91" spans="1:8" x14ac:dyDescent="0.3">
      <c r="A91" s="2">
        <v>2025</v>
      </c>
      <c r="B91" s="9">
        <v>6</v>
      </c>
      <c r="C91" s="3">
        <v>324170</v>
      </c>
      <c r="D91" s="3">
        <v>8.6746632516912836</v>
      </c>
      <c r="E91" s="3">
        <v>-26.717772179284424</v>
      </c>
      <c r="F91" s="3">
        <v>38982683</v>
      </c>
      <c r="G91" s="3">
        <v>2.0884583009003865</v>
      </c>
      <c r="H91" s="3">
        <v>-30.551723636590346</v>
      </c>
    </row>
    <row r="92" spans="1:8" x14ac:dyDescent="0.3">
      <c r="A92" s="2">
        <v>2025</v>
      </c>
      <c r="B92" s="9">
        <v>7</v>
      </c>
      <c r="C92" s="3">
        <v>479549</v>
      </c>
      <c r="D92" s="3">
        <v>2.5876398268916967</v>
      </c>
      <c r="E92" s="3">
        <v>-29.546219983511691</v>
      </c>
      <c r="F92" s="3">
        <v>44691923</v>
      </c>
      <c r="G92" s="3">
        <v>1.7600243029550322</v>
      </c>
      <c r="H92" s="3">
        <v>-34.225796087342957</v>
      </c>
    </row>
    <row r="93" spans="1:8" x14ac:dyDescent="0.3">
      <c r="A93" s="2">
        <v>2025</v>
      </c>
      <c r="B93" s="2">
        <v>8</v>
      </c>
      <c r="C93" s="3">
        <v>551108</v>
      </c>
      <c r="D93" s="3">
        <v>-3.2393540254021524</v>
      </c>
      <c r="E93" s="3">
        <v>-32.372644642557212</v>
      </c>
      <c r="F93" s="3">
        <v>48181913</v>
      </c>
      <c r="G93" s="3">
        <v>0.88213506530487873</v>
      </c>
      <c r="H93" s="3">
        <v>-37.897175530415311</v>
      </c>
    </row>
  </sheetData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topLeftCell="A82" workbookViewId="0">
      <selection activeCell="A2" sqref="A2:H92"/>
    </sheetView>
  </sheetViews>
  <sheetFormatPr baseColWidth="10" defaultColWidth="11.42578125" defaultRowHeight="13.5" x14ac:dyDescent="0.3"/>
  <cols>
    <col min="1" max="1" width="4.42578125" style="2" bestFit="1" customWidth="1"/>
    <col min="2" max="2" width="8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27.85546875" style="2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128</v>
      </c>
      <c r="D1" s="2" t="s">
        <v>129</v>
      </c>
      <c r="E1" s="2" t="s">
        <v>130</v>
      </c>
      <c r="F1" s="2" t="s">
        <v>131</v>
      </c>
      <c r="G1" s="2" t="s">
        <v>132</v>
      </c>
      <c r="H1" s="2" t="s">
        <v>133</v>
      </c>
    </row>
    <row r="2" spans="1:8" x14ac:dyDescent="0.3">
      <c r="A2" s="2">
        <v>2018</v>
      </c>
      <c r="B2" s="3">
        <v>1</v>
      </c>
      <c r="C2" s="3">
        <v>7736</v>
      </c>
      <c r="D2" s="3">
        <v>6.7328918322295817</v>
      </c>
      <c r="E2" s="3">
        <v>-4.4125561058244722</v>
      </c>
      <c r="F2" s="3">
        <v>1882602</v>
      </c>
      <c r="G2" s="3">
        <v>14.407169005936083</v>
      </c>
      <c r="H2" s="3">
        <v>0.83324580967140371</v>
      </c>
    </row>
    <row r="3" spans="1:8" x14ac:dyDescent="0.3">
      <c r="A3" s="2">
        <v>2018</v>
      </c>
      <c r="B3" s="3">
        <v>2</v>
      </c>
      <c r="C3" s="3">
        <v>7459</v>
      </c>
      <c r="D3" s="3">
        <v>2.6279581728123169</v>
      </c>
      <c r="E3" s="3">
        <v>-4.7491053228295241</v>
      </c>
      <c r="F3" s="3">
        <v>1697026</v>
      </c>
      <c r="G3" s="3">
        <v>14.86431057425861</v>
      </c>
      <c r="H3" s="3">
        <v>0.53649595355874102</v>
      </c>
    </row>
    <row r="4" spans="1:8" x14ac:dyDescent="0.3">
      <c r="A4" s="2">
        <v>2018</v>
      </c>
      <c r="B4" s="3">
        <v>3</v>
      </c>
      <c r="C4" s="3">
        <v>10361</v>
      </c>
      <c r="D4" s="3">
        <v>-22.960814930478101</v>
      </c>
      <c r="E4" s="3">
        <v>-5.0270953596650489</v>
      </c>
      <c r="F4" s="3">
        <v>2207060</v>
      </c>
      <c r="G4" s="3">
        <v>22.67032759368157</v>
      </c>
      <c r="H4" s="3">
        <v>0.23261464012845046</v>
      </c>
    </row>
    <row r="5" spans="1:8" x14ac:dyDescent="0.3">
      <c r="A5" s="2">
        <v>2018</v>
      </c>
      <c r="B5" s="3">
        <v>4</v>
      </c>
      <c r="C5" s="3">
        <v>18760</v>
      </c>
      <c r="D5" s="3">
        <v>-9.2843326885880035</v>
      </c>
      <c r="E5" s="3">
        <v>-5.2389413633986344</v>
      </c>
      <c r="F5" s="3">
        <v>2858074</v>
      </c>
      <c r="G5" s="3">
        <v>4.9011961289598061</v>
      </c>
      <c r="H5" s="3">
        <v>-7.4270546366342505E-2</v>
      </c>
    </row>
    <row r="6" spans="1:8" x14ac:dyDescent="0.3">
      <c r="A6" s="2">
        <v>2018</v>
      </c>
      <c r="B6" s="3">
        <v>5</v>
      </c>
      <c r="C6" s="3">
        <v>28310</v>
      </c>
      <c r="D6" s="3">
        <v>10.98914023601365</v>
      </c>
      <c r="E6" s="3">
        <v>-5.3783038782902874</v>
      </c>
      <c r="F6" s="3">
        <v>2745942</v>
      </c>
      <c r="G6" s="3">
        <v>2.4048493039418473</v>
      </c>
      <c r="H6" s="3">
        <v>-0.37847384716184912</v>
      </c>
    </row>
    <row r="7" spans="1:8" x14ac:dyDescent="0.3">
      <c r="A7" s="2">
        <v>2018</v>
      </c>
      <c r="B7" s="3">
        <v>6</v>
      </c>
      <c r="C7" s="3">
        <v>26924</v>
      </c>
      <c r="D7" s="3">
        <v>11.214837457144045</v>
      </c>
      <c r="E7" s="3">
        <v>-5.4391243785531538</v>
      </c>
      <c r="F7" s="3">
        <v>3048740</v>
      </c>
      <c r="G7" s="3">
        <v>7.0080640207786704</v>
      </c>
      <c r="H7" s="3">
        <v>-0.67396398497516075</v>
      </c>
    </row>
    <row r="8" spans="1:8" x14ac:dyDescent="0.3">
      <c r="A8" s="2">
        <v>2018</v>
      </c>
      <c r="B8" s="3">
        <v>7</v>
      </c>
      <c r="C8" s="3">
        <v>37742</v>
      </c>
      <c r="D8" s="3">
        <v>18.943619803977185</v>
      </c>
      <c r="E8" s="3">
        <v>-5.4142077103368864</v>
      </c>
      <c r="F8" s="3">
        <v>4455974</v>
      </c>
      <c r="G8" s="3">
        <v>1.2431900152183761</v>
      </c>
      <c r="H8" s="3">
        <v>-0.95451639619343109</v>
      </c>
    </row>
    <row r="9" spans="1:8" x14ac:dyDescent="0.3">
      <c r="A9" s="2">
        <v>2018</v>
      </c>
      <c r="B9" s="3">
        <v>8</v>
      </c>
      <c r="C9" s="3">
        <v>40868</v>
      </c>
      <c r="D9" s="3">
        <v>15.766812078635773</v>
      </c>
      <c r="E9" s="3">
        <v>-5.2952021946636592</v>
      </c>
      <c r="F9" s="3">
        <v>5532789</v>
      </c>
      <c r="G9" s="3">
        <v>4.2952113797521507</v>
      </c>
      <c r="H9" s="3">
        <v>-1.2133730430367475</v>
      </c>
    </row>
    <row r="10" spans="1:8" x14ac:dyDescent="0.3">
      <c r="A10" s="2">
        <v>2018</v>
      </c>
      <c r="B10" s="3">
        <v>9</v>
      </c>
      <c r="C10" s="3">
        <v>32024</v>
      </c>
      <c r="D10" s="3">
        <v>5.3386401763099833</v>
      </c>
      <c r="E10" s="3">
        <v>-5.0720646367560391</v>
      </c>
      <c r="F10" s="3">
        <v>4008001</v>
      </c>
      <c r="G10" s="3">
        <v>6.3955156743544128</v>
      </c>
      <c r="H10" s="3">
        <v>-1.4436232692244049</v>
      </c>
    </row>
    <row r="11" spans="1:8" x14ac:dyDescent="0.3">
      <c r="A11" s="2">
        <v>2018</v>
      </c>
      <c r="B11" s="3">
        <v>10</v>
      </c>
      <c r="C11" s="3">
        <v>26705</v>
      </c>
      <c r="D11" s="3">
        <v>26.27671647437111</v>
      </c>
      <c r="E11" s="3">
        <v>-4.7332892019565049</v>
      </c>
      <c r="F11" s="3">
        <v>3190846</v>
      </c>
      <c r="G11" s="3">
        <v>5.3930763547099136</v>
      </c>
      <c r="H11" s="3">
        <v>-1.6379738778907822</v>
      </c>
    </row>
    <row r="12" spans="1:8" x14ac:dyDescent="0.3">
      <c r="A12" s="2">
        <v>2018</v>
      </c>
      <c r="B12" s="3">
        <v>11</v>
      </c>
      <c r="C12" s="3">
        <v>7065</v>
      </c>
      <c r="D12" s="3">
        <v>-38.237608182533435</v>
      </c>
      <c r="E12" s="3">
        <v>-4.2666470899955158</v>
      </c>
      <c r="F12" s="3">
        <v>2241578</v>
      </c>
      <c r="G12" s="3">
        <v>4.492240852876872</v>
      </c>
      <c r="H12" s="3">
        <v>-1.7885872875213991</v>
      </c>
    </row>
    <row r="13" spans="1:8" x14ac:dyDescent="0.3">
      <c r="A13" s="2">
        <v>2018</v>
      </c>
      <c r="B13" s="3">
        <v>12</v>
      </c>
      <c r="C13" s="3">
        <v>8668</v>
      </c>
      <c r="D13" s="3">
        <v>48.628257887517144</v>
      </c>
      <c r="E13" s="3">
        <v>-3.6577560279871193</v>
      </c>
      <c r="F13" s="3">
        <v>2232053</v>
      </c>
      <c r="G13" s="3">
        <v>-0.78022586187352916</v>
      </c>
      <c r="H13" s="3">
        <v>-1.8871376492245109</v>
      </c>
    </row>
    <row r="14" spans="1:8" x14ac:dyDescent="0.3">
      <c r="A14" s="2">
        <v>2019</v>
      </c>
      <c r="B14" s="3">
        <v>1</v>
      </c>
      <c r="C14" s="3">
        <v>8098</v>
      </c>
      <c r="D14" s="3">
        <v>4.6794208893484956</v>
      </c>
      <c r="E14" s="3">
        <v>-2.8945928375656784</v>
      </c>
      <c r="F14" s="3">
        <v>2005935</v>
      </c>
      <c r="G14" s="3">
        <v>6.5511988195061877</v>
      </c>
      <c r="H14" s="3">
        <v>-1.9248629454875119</v>
      </c>
    </row>
    <row r="15" spans="1:8" x14ac:dyDescent="0.3">
      <c r="A15" s="2">
        <v>2019</v>
      </c>
      <c r="B15" s="3">
        <v>2</v>
      </c>
      <c r="C15" s="3">
        <v>4509</v>
      </c>
      <c r="D15" s="3">
        <v>-39.549537471510931</v>
      </c>
      <c r="E15" s="3">
        <v>-1.9615033671769784</v>
      </c>
      <c r="F15" s="3">
        <v>1752215</v>
      </c>
      <c r="G15" s="3">
        <v>3.2521010285051721</v>
      </c>
      <c r="H15" s="3">
        <v>-1.8929242899236745</v>
      </c>
    </row>
    <row r="16" spans="1:8" x14ac:dyDescent="0.3">
      <c r="A16" s="2">
        <v>2019</v>
      </c>
      <c r="B16" s="3">
        <v>3</v>
      </c>
      <c r="C16" s="3">
        <v>8864</v>
      </c>
      <c r="D16" s="3">
        <v>-14.448412315413572</v>
      </c>
      <c r="E16" s="3">
        <v>-0.84230749209132361</v>
      </c>
      <c r="F16" s="3">
        <v>2325625</v>
      </c>
      <c r="G16" s="3">
        <v>5.3720786929218001</v>
      </c>
      <c r="H16" s="3">
        <v>-1.7818941807459241</v>
      </c>
    </row>
    <row r="17" spans="1:8" x14ac:dyDescent="0.3">
      <c r="A17" s="2">
        <v>2019</v>
      </c>
      <c r="B17" s="3">
        <v>4</v>
      </c>
      <c r="C17" s="3">
        <v>21011</v>
      </c>
      <c r="D17" s="3">
        <v>11.998933901918974</v>
      </c>
      <c r="E17" s="3">
        <v>0.47656463227484669</v>
      </c>
      <c r="F17" s="3">
        <v>3108342</v>
      </c>
      <c r="G17" s="3">
        <v>8.7565262480957529</v>
      </c>
      <c r="H17" s="3">
        <v>-1.5819878227422952</v>
      </c>
    </row>
    <row r="18" spans="1:8" x14ac:dyDescent="0.3">
      <c r="A18" s="2">
        <v>2019</v>
      </c>
      <c r="B18" s="3">
        <v>5</v>
      </c>
      <c r="C18" s="3">
        <v>21374</v>
      </c>
      <c r="D18" s="3">
        <v>-24.50017661603674</v>
      </c>
      <c r="E18" s="3">
        <v>2.0077379821145849</v>
      </c>
      <c r="F18" s="3">
        <v>2867208</v>
      </c>
      <c r="G18" s="3">
        <v>4.4161894169651106</v>
      </c>
      <c r="H18" s="3">
        <v>-1.2829236170290395</v>
      </c>
    </row>
    <row r="19" spans="1:8" x14ac:dyDescent="0.3">
      <c r="A19" s="2">
        <v>2019</v>
      </c>
      <c r="B19" s="3">
        <v>6</v>
      </c>
      <c r="C19" s="3">
        <v>20975</v>
      </c>
      <c r="D19" s="3">
        <v>-22.095528153320455</v>
      </c>
      <c r="E19" s="3">
        <v>3.7646376981535576</v>
      </c>
      <c r="F19" s="3">
        <v>3231902</v>
      </c>
      <c r="G19" s="3">
        <v>6.0077933834961295</v>
      </c>
      <c r="H19" s="3">
        <v>-0.8737020123563779</v>
      </c>
    </row>
    <row r="20" spans="1:8" x14ac:dyDescent="0.3">
      <c r="A20" s="2">
        <v>2019</v>
      </c>
      <c r="B20" s="3">
        <v>7</v>
      </c>
      <c r="C20" s="3">
        <v>39076</v>
      </c>
      <c r="D20" s="3">
        <v>3.5345238726087747</v>
      </c>
      <c r="E20" s="3">
        <v>5.7588480937147821</v>
      </c>
      <c r="F20" s="3">
        <v>4631719</v>
      </c>
      <c r="G20" s="3">
        <v>3.9440310917433496</v>
      </c>
      <c r="H20" s="3">
        <v>-0.34292768573605981</v>
      </c>
    </row>
    <row r="21" spans="1:8" x14ac:dyDescent="0.3">
      <c r="A21" s="2">
        <v>2019</v>
      </c>
      <c r="B21" s="3">
        <v>8</v>
      </c>
      <c r="C21" s="3">
        <v>39021</v>
      </c>
      <c r="D21" s="3">
        <v>-4.5194284036409904</v>
      </c>
      <c r="E21" s="3">
        <v>8.0001576372704779</v>
      </c>
      <c r="F21" s="3">
        <v>6003179</v>
      </c>
      <c r="G21" s="3">
        <v>8.5018604541037046</v>
      </c>
      <c r="H21" s="3">
        <v>0.32127256744487792</v>
      </c>
    </row>
    <row r="22" spans="1:8" x14ac:dyDescent="0.3">
      <c r="A22" s="2">
        <v>2019</v>
      </c>
      <c r="B22" s="3">
        <v>9</v>
      </c>
      <c r="C22" s="3">
        <v>31356</v>
      </c>
      <c r="D22" s="3">
        <v>-2.0859355483387465</v>
      </c>
      <c r="E22" s="3">
        <v>10.498200330333065</v>
      </c>
      <c r="F22" s="3">
        <v>3817786</v>
      </c>
      <c r="G22" s="3">
        <v>-4.7458820494306275</v>
      </c>
      <c r="H22" s="3">
        <v>1.1310696572700567</v>
      </c>
    </row>
    <row r="23" spans="1:8" x14ac:dyDescent="0.3">
      <c r="A23" s="2">
        <v>2019</v>
      </c>
      <c r="B23" s="3">
        <v>10</v>
      </c>
      <c r="C23" s="3">
        <v>23440</v>
      </c>
      <c r="D23" s="3">
        <v>-12.226174873619177</v>
      </c>
      <c r="E23" s="3">
        <v>13.261740758717677</v>
      </c>
      <c r="F23" s="3">
        <v>3064060</v>
      </c>
      <c r="G23" s="3">
        <v>-3.9734289903053943</v>
      </c>
      <c r="H23" s="3">
        <v>2.0992025902041158</v>
      </c>
    </row>
    <row r="24" spans="1:8" x14ac:dyDescent="0.3">
      <c r="A24" s="2">
        <v>2019</v>
      </c>
      <c r="B24" s="3">
        <v>11</v>
      </c>
      <c r="C24" s="3">
        <v>10500</v>
      </c>
      <c r="D24" s="3">
        <v>48.619957537154981</v>
      </c>
      <c r="E24" s="3">
        <v>16.298669609914544</v>
      </c>
      <c r="F24" s="3">
        <v>2465948</v>
      </c>
      <c r="G24" s="3">
        <v>10.009466545442546</v>
      </c>
      <c r="H24" s="3">
        <v>3.2380022510653959</v>
      </c>
    </row>
    <row r="25" spans="1:8" x14ac:dyDescent="0.3">
      <c r="A25" s="2">
        <v>2019</v>
      </c>
      <c r="B25" s="3">
        <v>12</v>
      </c>
      <c r="C25" s="3">
        <v>7401</v>
      </c>
      <c r="D25" s="3">
        <v>-14.616982002768808</v>
      </c>
      <c r="E25" s="3">
        <v>19.615107577272759</v>
      </c>
      <c r="F25" s="3">
        <v>2333530</v>
      </c>
      <c r="G25" s="3">
        <v>4.5463526179709834</v>
      </c>
      <c r="H25" s="3">
        <v>4.5593778141458134</v>
      </c>
    </row>
    <row r="26" spans="1:8" x14ac:dyDescent="0.3">
      <c r="A26" s="2">
        <v>2020</v>
      </c>
      <c r="B26" s="3">
        <v>1</v>
      </c>
      <c r="C26" s="3">
        <v>8007</v>
      </c>
      <c r="D26" s="3">
        <v>-1.1237342553717</v>
      </c>
      <c r="E26" s="3">
        <v>23.219419888025254</v>
      </c>
      <c r="F26" s="3">
        <v>2084832</v>
      </c>
      <c r="G26" s="3">
        <v>3.9331782934142856</v>
      </c>
      <c r="H26" s="3">
        <v>6.075708694313283</v>
      </c>
    </row>
    <row r="27" spans="1:8" x14ac:dyDescent="0.3">
      <c r="A27" s="2">
        <v>2020</v>
      </c>
      <c r="B27" s="3">
        <v>2</v>
      </c>
      <c r="C27" s="3">
        <v>6062</v>
      </c>
      <c r="D27" s="3">
        <v>34.44222665779553</v>
      </c>
      <c r="E27" s="3">
        <v>27.117594540961889</v>
      </c>
      <c r="F27" s="3">
        <v>1933227</v>
      </c>
      <c r="G27" s="3">
        <v>10.330467436929824</v>
      </c>
      <c r="H27" s="3">
        <v>7.7993734019082055</v>
      </c>
    </row>
    <row r="28" spans="1:8" x14ac:dyDescent="0.3">
      <c r="A28" s="2">
        <v>2020</v>
      </c>
      <c r="B28" s="3">
        <v>3</v>
      </c>
      <c r="C28" s="3">
        <v>3990</v>
      </c>
      <c r="D28" s="3">
        <v>-54.986462093862819</v>
      </c>
      <c r="E28" s="3">
        <v>31.313929038057019</v>
      </c>
      <c r="F28" s="3">
        <v>957635</v>
      </c>
      <c r="G28" s="3">
        <v>-58.822467078742278</v>
      </c>
      <c r="H28" s="3">
        <v>9.742601660437586</v>
      </c>
    </row>
    <row r="29" spans="1:8" x14ac:dyDescent="0.3">
      <c r="A29" s="2">
        <v>2020</v>
      </c>
      <c r="B29" s="3">
        <v>4</v>
      </c>
      <c r="C29" s="3">
        <v>581</v>
      </c>
      <c r="D29" s="3">
        <v>-97.234781780971872</v>
      </c>
      <c r="E29" s="3">
        <v>35.813229536293107</v>
      </c>
      <c r="F29" s="3">
        <v>109858</v>
      </c>
      <c r="G29" s="3">
        <v>-96.465704224309931</v>
      </c>
      <c r="H29" s="3">
        <v>11.917798963827529</v>
      </c>
    </row>
    <row r="30" spans="1:8" x14ac:dyDescent="0.3">
      <c r="A30" s="2">
        <v>2020</v>
      </c>
      <c r="B30" s="3">
        <v>5</v>
      </c>
      <c r="C30" s="3">
        <v>897</v>
      </c>
      <c r="D30" s="3">
        <v>-95.803312435669511</v>
      </c>
      <c r="E30" s="3">
        <v>40.614309109935128</v>
      </c>
      <c r="F30" s="3">
        <v>216935</v>
      </c>
      <c r="G30" s="3">
        <v>-92.433928755779135</v>
      </c>
      <c r="H30" s="3">
        <v>14.332609342897252</v>
      </c>
    </row>
    <row r="31" spans="1:8" x14ac:dyDescent="0.3">
      <c r="A31" s="2">
        <v>2020</v>
      </c>
      <c r="B31" s="3">
        <v>6</v>
      </c>
      <c r="C31" s="3">
        <v>1101</v>
      </c>
      <c r="D31" s="3">
        <v>-94.750893921334921</v>
      </c>
      <c r="E31" s="3">
        <v>45.70674138801769</v>
      </c>
      <c r="F31" s="3">
        <v>768085</v>
      </c>
      <c r="G31" s="3">
        <v>-76.234273192689628</v>
      </c>
      <c r="H31" s="3">
        <v>16.987150196300128</v>
      </c>
    </row>
    <row r="32" spans="1:8" x14ac:dyDescent="0.3">
      <c r="A32" s="2">
        <v>2020</v>
      </c>
      <c r="B32" s="3">
        <v>7</v>
      </c>
      <c r="C32" s="3">
        <v>13155</v>
      </c>
      <c r="D32" s="3">
        <v>-66.334834681134197</v>
      </c>
      <c r="E32" s="3">
        <v>51.070626553634739</v>
      </c>
      <c r="F32" s="3">
        <v>1684097</v>
      </c>
      <c r="G32" s="3">
        <v>-63.639914252138354</v>
      </c>
      <c r="H32" s="3">
        <v>19.874124579766015</v>
      </c>
    </row>
    <row r="33" spans="1:8" x14ac:dyDescent="0.3">
      <c r="A33" s="2">
        <v>2020</v>
      </c>
      <c r="B33" s="3">
        <v>8</v>
      </c>
      <c r="C33" s="3">
        <v>13536</v>
      </c>
      <c r="D33" s="3">
        <v>-65.310986391942791</v>
      </c>
      <c r="E33" s="3">
        <v>56.676310787428193</v>
      </c>
      <c r="F33" s="3">
        <v>2070773</v>
      </c>
      <c r="G33" s="3">
        <v>-65.505393059244113</v>
      </c>
      <c r="H33" s="3">
        <v>22.979761839067205</v>
      </c>
    </row>
    <row r="34" spans="1:8" x14ac:dyDescent="0.3">
      <c r="A34" s="2">
        <v>2020</v>
      </c>
      <c r="B34" s="3">
        <v>9</v>
      </c>
      <c r="C34" s="3">
        <v>9109</v>
      </c>
      <c r="D34" s="3">
        <v>-70.949738487051931</v>
      </c>
      <c r="E34" s="3">
        <v>62.485987113009784</v>
      </c>
      <c r="F34" s="3">
        <v>1194563</v>
      </c>
      <c r="G34" s="3">
        <v>-68.710582520864193</v>
      </c>
      <c r="H34" s="3">
        <v>26.284491733945998</v>
      </c>
    </row>
    <row r="35" spans="1:8" x14ac:dyDescent="0.3">
      <c r="A35" s="2">
        <v>2020</v>
      </c>
      <c r="B35" s="3">
        <v>10</v>
      </c>
      <c r="C35" s="3">
        <v>7461</v>
      </c>
      <c r="D35" s="3">
        <v>-68.169795221843003</v>
      </c>
      <c r="E35" s="3">
        <v>68.453377213909334</v>
      </c>
      <c r="F35" s="3">
        <v>924694</v>
      </c>
      <c r="G35" s="3">
        <v>-69.821282873050777</v>
      </c>
      <c r="H35" s="3">
        <v>29.762599221721199</v>
      </c>
    </row>
    <row r="36" spans="1:8" x14ac:dyDescent="0.3">
      <c r="A36" s="2">
        <v>2020</v>
      </c>
      <c r="B36" s="3">
        <v>11</v>
      </c>
      <c r="C36" s="3">
        <v>4401</v>
      </c>
      <c r="D36" s="3">
        <v>-58.085714285714282</v>
      </c>
      <c r="E36" s="3">
        <v>74.522936403823337</v>
      </c>
      <c r="F36" s="3">
        <v>640254</v>
      </c>
      <c r="G36" s="3">
        <v>-74.036192166258161</v>
      </c>
      <c r="H36" s="3">
        <v>33.381772379555031</v>
      </c>
    </row>
    <row r="37" spans="1:8" x14ac:dyDescent="0.3">
      <c r="A37" s="2">
        <v>2020</v>
      </c>
      <c r="B37" s="3">
        <v>12</v>
      </c>
      <c r="C37" s="3">
        <v>4944</v>
      </c>
      <c r="D37" s="3">
        <v>-33.19821645723551</v>
      </c>
      <c r="E37" s="3">
        <v>80.629632276140242</v>
      </c>
      <c r="F37" s="3">
        <v>758350</v>
      </c>
      <c r="G37" s="3">
        <v>-67.502024829335809</v>
      </c>
      <c r="H37" s="3">
        <v>37.102783737242021</v>
      </c>
    </row>
    <row r="38" spans="1:8" x14ac:dyDescent="0.3">
      <c r="A38" s="2">
        <v>2021</v>
      </c>
      <c r="B38" s="3">
        <v>1</v>
      </c>
      <c r="C38" s="3">
        <v>2155</v>
      </c>
      <c r="D38" s="3">
        <v>-73.086049706506799</v>
      </c>
      <c r="E38" s="3">
        <v>86.699223490172827</v>
      </c>
      <c r="F38" s="3">
        <v>530152</v>
      </c>
      <c r="G38" s="3">
        <v>-74.570996607880161</v>
      </c>
      <c r="H38" s="3">
        <v>40.878946243705457</v>
      </c>
    </row>
    <row r="39" spans="1:8" x14ac:dyDescent="0.3">
      <c r="A39" s="2">
        <v>2021</v>
      </c>
      <c r="B39" s="3">
        <v>2</v>
      </c>
      <c r="C39" s="3">
        <v>2202</v>
      </c>
      <c r="D39" s="3">
        <v>-63.675354668426266</v>
      </c>
      <c r="E39" s="3">
        <v>92.649563993516281</v>
      </c>
      <c r="F39" s="3">
        <v>525411</v>
      </c>
      <c r="G39" s="3">
        <v>-72.822074179597124</v>
      </c>
      <c r="H39" s="3">
        <v>44.656308625051501</v>
      </c>
    </row>
    <row r="40" spans="1:8" x14ac:dyDescent="0.3">
      <c r="A40" s="2">
        <v>2021</v>
      </c>
      <c r="B40" s="3">
        <v>3</v>
      </c>
      <c r="C40" s="3">
        <v>3936</v>
      </c>
      <c r="D40" s="3">
        <v>-1.3533834586466176</v>
      </c>
      <c r="E40" s="3">
        <v>98.387411534238211</v>
      </c>
      <c r="F40" s="3">
        <v>721239</v>
      </c>
      <c r="G40" s="3">
        <v>-24.685396836999484</v>
      </c>
      <c r="H40" s="3">
        <v>48.37290225024384</v>
      </c>
    </row>
    <row r="41" spans="1:8" x14ac:dyDescent="0.3">
      <c r="A41" s="2">
        <v>2021</v>
      </c>
      <c r="B41" s="3">
        <v>4</v>
      </c>
      <c r="C41" s="3">
        <v>3084</v>
      </c>
      <c r="D41" s="3">
        <v>430.80895008605847</v>
      </c>
      <c r="E41" s="3">
        <v>103.80866796327693</v>
      </c>
      <c r="F41" s="3">
        <v>710939</v>
      </c>
      <c r="G41" s="3">
        <v>547.14358535564088</v>
      </c>
      <c r="H41" s="3">
        <v>51.95860026721806</v>
      </c>
    </row>
    <row r="42" spans="1:8" x14ac:dyDescent="0.3">
      <c r="A42" s="2">
        <v>2021</v>
      </c>
      <c r="B42" s="3">
        <v>5</v>
      </c>
      <c r="C42" s="3">
        <v>4571</v>
      </c>
      <c r="D42" s="3">
        <v>409.58751393534004</v>
      </c>
      <c r="E42" s="3">
        <v>108.80230868747405</v>
      </c>
      <c r="F42" s="3">
        <v>1075580</v>
      </c>
      <c r="G42" s="3">
        <v>395.80749994237908</v>
      </c>
      <c r="H42" s="3">
        <v>55.338202330917582</v>
      </c>
    </row>
    <row r="43" spans="1:8" x14ac:dyDescent="0.3">
      <c r="A43" s="2">
        <v>2021</v>
      </c>
      <c r="B43" s="3">
        <v>6</v>
      </c>
      <c r="C43" s="3">
        <v>13280</v>
      </c>
      <c r="D43" s="3">
        <v>1106.1762034514079</v>
      </c>
      <c r="E43" s="3">
        <v>113.28001746659639</v>
      </c>
      <c r="F43" s="3">
        <v>1532025</v>
      </c>
      <c r="G43" s="3">
        <v>99.460346185643516</v>
      </c>
      <c r="H43" s="3">
        <v>58.470895942472531</v>
      </c>
    </row>
    <row r="44" spans="1:8" x14ac:dyDescent="0.3">
      <c r="A44" s="2">
        <v>2021</v>
      </c>
      <c r="B44" s="3">
        <v>7</v>
      </c>
      <c r="C44" s="3">
        <v>16923</v>
      </c>
      <c r="D44" s="3">
        <v>28.643101482326117</v>
      </c>
      <c r="E44" s="3">
        <v>117.17436592188631</v>
      </c>
      <c r="F44" s="3">
        <v>2234663</v>
      </c>
      <c r="G44" s="3">
        <v>32.692059899162572</v>
      </c>
      <c r="H44" s="3">
        <v>61.339512304236045</v>
      </c>
    </row>
    <row r="45" spans="1:8" x14ac:dyDescent="0.3">
      <c r="A45" s="2">
        <v>2021</v>
      </c>
      <c r="B45" s="3">
        <v>8</v>
      </c>
      <c r="C45" s="3">
        <v>17982</v>
      </c>
      <c r="D45" s="3">
        <v>32.845744680851062</v>
      </c>
      <c r="E45" s="3">
        <v>120.4868767986129</v>
      </c>
      <c r="F45" s="3">
        <v>2962491</v>
      </c>
      <c r="G45" s="3">
        <v>43.062083579416964</v>
      </c>
      <c r="H45" s="3">
        <v>63.929729108161503</v>
      </c>
    </row>
    <row r="46" spans="1:8" x14ac:dyDescent="0.3">
      <c r="A46" s="2">
        <v>2021</v>
      </c>
      <c r="B46" s="3">
        <v>9</v>
      </c>
      <c r="C46" s="3">
        <v>21466</v>
      </c>
      <c r="D46" s="3">
        <v>135.65704248545396</v>
      </c>
      <c r="E46" s="3">
        <v>123.21292483757028</v>
      </c>
      <c r="F46" s="3">
        <v>2133612</v>
      </c>
      <c r="G46" s="3">
        <v>78.610253289278177</v>
      </c>
      <c r="H46" s="3">
        <v>66.225234639785256</v>
      </c>
    </row>
    <row r="47" spans="1:8" x14ac:dyDescent="0.3">
      <c r="A47" s="2">
        <v>2021</v>
      </c>
      <c r="B47" s="3">
        <v>10</v>
      </c>
      <c r="C47" s="3">
        <v>17870</v>
      </c>
      <c r="D47" s="3">
        <v>139.51212974132153</v>
      </c>
      <c r="E47" s="3">
        <v>125.34179858982216</v>
      </c>
      <c r="F47" s="3">
        <v>2236240</v>
      </c>
      <c r="G47" s="3">
        <v>141.8356775322431</v>
      </c>
      <c r="H47" s="3">
        <v>68.208268042593033</v>
      </c>
    </row>
    <row r="48" spans="1:8" x14ac:dyDescent="0.3">
      <c r="A48" s="2">
        <v>2021</v>
      </c>
      <c r="B48" s="3">
        <v>11</v>
      </c>
      <c r="C48" s="3">
        <v>8823</v>
      </c>
      <c r="D48" s="3">
        <v>100.47716428084526</v>
      </c>
      <c r="E48" s="3">
        <v>126.8636507812689</v>
      </c>
      <c r="F48" s="3">
        <v>1664656</v>
      </c>
      <c r="G48" s="3">
        <v>159.99931277274331</v>
      </c>
      <c r="H48" s="3">
        <v>69.861928530810118</v>
      </c>
    </row>
    <row r="49" spans="1:8" x14ac:dyDescent="0.3">
      <c r="A49" s="2">
        <v>2021</v>
      </c>
      <c r="B49" s="3">
        <v>12</v>
      </c>
      <c r="C49" s="3">
        <v>8175</v>
      </c>
      <c r="D49" s="3">
        <v>65.351941747572823</v>
      </c>
      <c r="E49" s="3">
        <v>127.76961818858527</v>
      </c>
      <c r="F49" s="3">
        <v>1654412</v>
      </c>
      <c r="G49" s="3">
        <v>118.15942506758094</v>
      </c>
      <c r="H49" s="3">
        <v>71.174428333209676</v>
      </c>
    </row>
    <row r="50" spans="1:8" x14ac:dyDescent="0.3">
      <c r="A50" s="2">
        <v>2022</v>
      </c>
      <c r="B50" s="3">
        <v>1</v>
      </c>
      <c r="C50" s="3">
        <v>8716</v>
      </c>
      <c r="D50" s="3">
        <v>304.45475638051045</v>
      </c>
      <c r="E50" s="3">
        <v>128.04900519355016</v>
      </c>
      <c r="F50" s="3">
        <v>1220296</v>
      </c>
      <c r="G50" s="3">
        <v>130.17851484102673</v>
      </c>
      <c r="H50" s="3">
        <v>72.140239219137229</v>
      </c>
    </row>
    <row r="51" spans="1:8" x14ac:dyDescent="0.3">
      <c r="A51" s="2">
        <v>2022</v>
      </c>
      <c r="B51" s="3">
        <v>2</v>
      </c>
      <c r="C51" s="3">
        <v>8287</v>
      </c>
      <c r="D51" s="3">
        <v>276.33969118982742</v>
      </c>
      <c r="E51" s="3">
        <v>127.68678161707851</v>
      </c>
      <c r="F51" s="3">
        <v>1234588</v>
      </c>
      <c r="G51" s="3">
        <v>134.97566666856991</v>
      </c>
      <c r="H51" s="3">
        <v>72.757095804933755</v>
      </c>
    </row>
    <row r="52" spans="1:8" x14ac:dyDescent="0.3">
      <c r="A52" s="2">
        <v>2022</v>
      </c>
      <c r="B52" s="3">
        <v>3</v>
      </c>
      <c r="C52" s="3">
        <v>13006</v>
      </c>
      <c r="D52" s="3">
        <v>230.43699186991867</v>
      </c>
      <c r="E52" s="3">
        <v>126.68016767947327</v>
      </c>
      <c r="F52" s="3">
        <v>1488879</v>
      </c>
      <c r="G52" s="3">
        <v>106.43351233086395</v>
      </c>
      <c r="H52" s="3">
        <v>73.026763142747299</v>
      </c>
    </row>
    <row r="53" spans="1:8" x14ac:dyDescent="0.3">
      <c r="A53" s="2">
        <v>2022</v>
      </c>
      <c r="B53" s="3">
        <v>4</v>
      </c>
      <c r="C53" s="3">
        <v>19948</v>
      </c>
      <c r="D53" s="3">
        <v>546.82230869001296</v>
      </c>
      <c r="E53" s="3">
        <v>125.0367067197577</v>
      </c>
      <c r="F53" s="3">
        <v>2214880</v>
      </c>
      <c r="G53" s="3">
        <v>211.54290311827032</v>
      </c>
      <c r="H53" s="3">
        <v>72.955327018813662</v>
      </c>
    </row>
    <row r="54" spans="1:8" x14ac:dyDescent="0.3">
      <c r="A54" s="2">
        <v>2022</v>
      </c>
      <c r="B54" s="3">
        <v>5</v>
      </c>
      <c r="C54" s="3">
        <v>26348</v>
      </c>
      <c r="D54" s="3">
        <v>476.41653905053596</v>
      </c>
      <c r="E54" s="3">
        <v>122.7711474119683</v>
      </c>
      <c r="F54" s="3">
        <v>2360790</v>
      </c>
      <c r="G54" s="3">
        <v>119.48994960858327</v>
      </c>
      <c r="H54" s="3">
        <v>72.551193132506711</v>
      </c>
    </row>
    <row r="55" spans="1:8" x14ac:dyDescent="0.3">
      <c r="A55" s="2">
        <v>2022</v>
      </c>
      <c r="B55" s="3">
        <v>6</v>
      </c>
      <c r="C55" s="3">
        <v>29586</v>
      </c>
      <c r="D55" s="3">
        <v>122.78614457831326</v>
      </c>
      <c r="E55" s="3">
        <v>119.92752909694507</v>
      </c>
      <c r="F55" s="3">
        <v>2973058</v>
      </c>
      <c r="G55" s="3">
        <v>94.060671333692341</v>
      </c>
      <c r="H55" s="3">
        <v>71.832391320429466</v>
      </c>
    </row>
    <row r="56" spans="1:8" x14ac:dyDescent="0.3">
      <c r="A56" s="2">
        <v>2022</v>
      </c>
      <c r="B56" s="3">
        <v>7</v>
      </c>
      <c r="C56" s="3">
        <v>28995</v>
      </c>
      <c r="D56" s="3">
        <v>71.334869703953203</v>
      </c>
      <c r="E56" s="3">
        <v>116.57444982328066</v>
      </c>
      <c r="F56" s="3">
        <v>4815180</v>
      </c>
      <c r="G56" s="3">
        <v>115.47678553768512</v>
      </c>
      <c r="H56" s="3">
        <v>70.820211055051303</v>
      </c>
    </row>
    <row r="57" spans="1:8" x14ac:dyDescent="0.3">
      <c r="A57" s="2">
        <v>2022</v>
      </c>
      <c r="B57" s="3">
        <v>8</v>
      </c>
      <c r="C57" s="3">
        <v>42250</v>
      </c>
      <c r="D57" s="3">
        <v>134.95717940162388</v>
      </c>
      <c r="E57" s="3">
        <v>112.78070615453171</v>
      </c>
      <c r="F57" s="3">
        <v>5648044</v>
      </c>
      <c r="G57" s="3">
        <v>90.651853457107563</v>
      </c>
      <c r="H57" s="3">
        <v>69.537485439398083</v>
      </c>
    </row>
    <row r="58" spans="1:8" x14ac:dyDescent="0.3">
      <c r="A58" s="2">
        <v>2022</v>
      </c>
      <c r="B58" s="3">
        <v>9</v>
      </c>
      <c r="C58" s="3">
        <v>34476</v>
      </c>
      <c r="D58" s="3">
        <v>60.607472281747874</v>
      </c>
      <c r="E58" s="3">
        <v>108.61195301674657</v>
      </c>
      <c r="F58" s="3">
        <v>3490327</v>
      </c>
      <c r="G58" s="3">
        <v>63.587709480449121</v>
      </c>
      <c r="H58" s="3">
        <v>68.010148727501402</v>
      </c>
    </row>
    <row r="59" spans="1:8" x14ac:dyDescent="0.3">
      <c r="A59" s="2">
        <v>2022</v>
      </c>
      <c r="B59" s="3">
        <v>10</v>
      </c>
      <c r="C59" s="3">
        <v>30261</v>
      </c>
      <c r="D59" s="3">
        <v>69.339675433687759</v>
      </c>
      <c r="E59" s="3">
        <v>104.13538536883794</v>
      </c>
      <c r="F59" s="3">
        <v>3023575</v>
      </c>
      <c r="G59" s="3">
        <v>35.207983042964976</v>
      </c>
      <c r="H59" s="3">
        <v>66.265601448949639</v>
      </c>
    </row>
    <row r="60" spans="1:8" x14ac:dyDescent="0.3">
      <c r="A60" s="2">
        <v>2022</v>
      </c>
      <c r="B60" s="3">
        <v>11</v>
      </c>
      <c r="C60" s="3">
        <v>9734</v>
      </c>
      <c r="D60" s="3">
        <v>10.325286183837701</v>
      </c>
      <c r="E60" s="3">
        <v>99.414864525223081</v>
      </c>
      <c r="F60" s="3">
        <v>2268362</v>
      </c>
      <c r="G60" s="3">
        <v>36.266111436837399</v>
      </c>
      <c r="H60" s="3">
        <v>64.33093701949457</v>
      </c>
    </row>
    <row r="61" spans="1:8" x14ac:dyDescent="0.3">
      <c r="A61" s="2">
        <v>2022</v>
      </c>
      <c r="B61" s="3">
        <v>12</v>
      </c>
      <c r="C61" s="3">
        <v>7841</v>
      </c>
      <c r="D61" s="3">
        <v>-4.0856269113149875</v>
      </c>
      <c r="E61" s="3">
        <v>94.511835431573715</v>
      </c>
      <c r="F61" s="3">
        <v>2254347</v>
      </c>
      <c r="G61" s="3">
        <v>36.262732620411356</v>
      </c>
      <c r="H61" s="3">
        <v>62.231092075832002</v>
      </c>
    </row>
    <row r="62" spans="1:8" x14ac:dyDescent="0.3">
      <c r="A62" s="2">
        <v>2023</v>
      </c>
      <c r="B62" s="3">
        <v>1</v>
      </c>
      <c r="C62" s="3">
        <v>8014</v>
      </c>
      <c r="D62" s="3">
        <v>-8.0541532813217067</v>
      </c>
      <c r="E62" s="3">
        <v>89.481556257287878</v>
      </c>
      <c r="F62" s="3">
        <v>2028946</v>
      </c>
      <c r="G62" s="3">
        <v>66.266709060752476</v>
      </c>
      <c r="H62" s="3">
        <v>59.989054308436728</v>
      </c>
    </row>
    <row r="63" spans="1:8" x14ac:dyDescent="0.3">
      <c r="A63" s="2">
        <v>2023</v>
      </c>
      <c r="B63" s="3">
        <v>2</v>
      </c>
      <c r="C63" s="3">
        <v>7264</v>
      </c>
      <c r="D63" s="3">
        <v>-12.344636177144929</v>
      </c>
      <c r="E63" s="3">
        <v>84.372438125767559</v>
      </c>
      <c r="F63" s="3">
        <v>1826295</v>
      </c>
      <c r="G63" s="3">
        <v>47.92748674051586</v>
      </c>
      <c r="H63" s="3">
        <v>57.626008049488007</v>
      </c>
    </row>
    <row r="64" spans="1:8" x14ac:dyDescent="0.3">
      <c r="A64" s="2">
        <v>2023</v>
      </c>
      <c r="B64" s="3">
        <v>3</v>
      </c>
      <c r="C64" s="3">
        <v>11714</v>
      </c>
      <c r="D64" s="3">
        <v>-9.933876672305086</v>
      </c>
      <c r="E64" s="3">
        <v>79.226118847252337</v>
      </c>
      <c r="F64" s="3">
        <v>2256324</v>
      </c>
      <c r="G64" s="3">
        <v>51.545155784989902</v>
      </c>
      <c r="H64" s="3">
        <v>55.163573579411789</v>
      </c>
    </row>
    <row r="65" spans="1:8" x14ac:dyDescent="0.3">
      <c r="A65" s="2">
        <v>2023</v>
      </c>
      <c r="B65" s="3">
        <v>4</v>
      </c>
      <c r="C65" s="3">
        <v>19753</v>
      </c>
      <c r="D65" s="3">
        <v>-0.977541608181276</v>
      </c>
      <c r="E65" s="3">
        <v>74.077519768488528</v>
      </c>
      <c r="F65" s="3">
        <v>2967713</v>
      </c>
      <c r="G65" s="3">
        <v>33.989787257097447</v>
      </c>
      <c r="H65" s="3">
        <v>52.622697670209789</v>
      </c>
    </row>
    <row r="66" spans="1:8" x14ac:dyDescent="0.3">
      <c r="A66" s="2">
        <v>2023</v>
      </c>
      <c r="B66" s="3">
        <v>5</v>
      </c>
      <c r="C66" s="3">
        <v>26942</v>
      </c>
      <c r="D66" s="3">
        <v>2.2544405647487498</v>
      </c>
      <c r="E66" s="3">
        <v>68.955370569866915</v>
      </c>
      <c r="F66" s="3">
        <v>3093154</v>
      </c>
      <c r="G66" s="3">
        <v>31.021988402187397</v>
      </c>
      <c r="H66" s="3">
        <v>50.024075814870216</v>
      </c>
    </row>
    <row r="67" spans="1:8" x14ac:dyDescent="0.3">
      <c r="A67" s="2">
        <v>2023</v>
      </c>
      <c r="B67" s="3">
        <v>6</v>
      </c>
      <c r="C67" s="3">
        <v>28621</v>
      </c>
      <c r="D67" s="3">
        <v>-3.2616778205908248</v>
      </c>
      <c r="E67" s="3">
        <v>63.883188774738244</v>
      </c>
      <c r="F67" s="3">
        <v>3533015</v>
      </c>
      <c r="G67" s="3">
        <v>18.834378609499037</v>
      </c>
      <c r="H67" s="3">
        <v>47.387109554269259</v>
      </c>
    </row>
    <row r="68" spans="1:8" x14ac:dyDescent="0.3">
      <c r="A68" s="2">
        <v>2023</v>
      </c>
      <c r="B68" s="3">
        <v>7</v>
      </c>
      <c r="C68" s="3">
        <v>31963</v>
      </c>
      <c r="D68" s="3">
        <v>10.236247628901541</v>
      </c>
      <c r="E68" s="3">
        <v>58.879859897425106</v>
      </c>
      <c r="F68" s="3">
        <v>5155104</v>
      </c>
      <c r="G68" s="3">
        <v>7.0594245697980229</v>
      </c>
      <c r="H68" s="3">
        <v>44.729880839879442</v>
      </c>
    </row>
    <row r="69" spans="1:8" x14ac:dyDescent="0.3">
      <c r="A69" s="2">
        <v>2023</v>
      </c>
      <c r="B69" s="3">
        <v>8</v>
      </c>
      <c r="C69" s="3">
        <v>39457</v>
      </c>
      <c r="D69" s="3">
        <v>-6.610650887573966</v>
      </c>
      <c r="E69" s="3">
        <v>53.959606614292099</v>
      </c>
      <c r="F69" s="3">
        <v>6021637</v>
      </c>
      <c r="G69" s="3">
        <v>6.6145554106873172</v>
      </c>
      <c r="H69" s="3">
        <v>42.068488794635456</v>
      </c>
    </row>
    <row r="70" spans="1:8" x14ac:dyDescent="0.3">
      <c r="A70" s="2">
        <v>2023</v>
      </c>
      <c r="B70" s="3">
        <v>9</v>
      </c>
      <c r="C70" s="3">
        <v>29787</v>
      </c>
      <c r="D70" s="3">
        <v>-13.600765750087017</v>
      </c>
      <c r="E70" s="3">
        <v>49.133273573074057</v>
      </c>
      <c r="F70" s="3">
        <v>3886069</v>
      </c>
      <c r="G70" s="3">
        <v>11.338249969128977</v>
      </c>
      <c r="H70" s="3">
        <v>39.416416537564359</v>
      </c>
    </row>
    <row r="71" spans="1:8" x14ac:dyDescent="0.3">
      <c r="A71" s="2">
        <v>2023</v>
      </c>
      <c r="B71" s="3">
        <v>10</v>
      </c>
      <c r="C71" s="3">
        <v>27472</v>
      </c>
      <c r="D71" s="3">
        <v>-9.2164832622847914</v>
      </c>
      <c r="E71" s="3">
        <v>44.407499153623746</v>
      </c>
      <c r="F71" s="3">
        <v>3496114</v>
      </c>
      <c r="G71" s="3">
        <v>15.628486146366471</v>
      </c>
      <c r="H71" s="3">
        <v>36.784685108985983</v>
      </c>
    </row>
    <row r="72" spans="1:8" x14ac:dyDescent="0.3">
      <c r="A72" s="2">
        <v>2023</v>
      </c>
      <c r="B72" s="3">
        <v>11</v>
      </c>
      <c r="C72" s="3">
        <v>11346</v>
      </c>
      <c r="D72" s="3">
        <v>16.560509554140125</v>
      </c>
      <c r="E72" s="3">
        <v>39.784565205285368</v>
      </c>
      <c r="F72" s="3">
        <v>2559240</v>
      </c>
      <c r="G72" s="3">
        <v>12.823261895588089</v>
      </c>
      <c r="H72" s="3">
        <v>34.182365676541785</v>
      </c>
    </row>
    <row r="73" spans="1:8" x14ac:dyDescent="0.3">
      <c r="A73" s="2">
        <v>2023</v>
      </c>
      <c r="B73" s="3">
        <v>12</v>
      </c>
      <c r="C73" s="3">
        <v>10510</v>
      </c>
      <c r="D73" s="3">
        <v>34.039025634485398</v>
      </c>
      <c r="E73" s="3">
        <v>35.263029689735362</v>
      </c>
      <c r="F73" s="3">
        <v>2481172</v>
      </c>
      <c r="G73" s="3">
        <v>10.061671960882679</v>
      </c>
      <c r="H73" s="3">
        <v>31.617060227389725</v>
      </c>
    </row>
    <row r="74" spans="1:8" x14ac:dyDescent="0.3">
      <c r="A74" s="2">
        <v>2024</v>
      </c>
      <c r="B74" s="3">
        <v>1</v>
      </c>
      <c r="C74" s="3">
        <v>11090</v>
      </c>
      <c r="D74" s="3">
        <v>38.382830047417031</v>
      </c>
      <c r="E74" s="3">
        <v>30.83983778700772</v>
      </c>
      <c r="F74" s="3">
        <v>2172962</v>
      </c>
      <c r="G74" s="3">
        <v>7.09806963812738</v>
      </c>
      <c r="H74" s="3">
        <v>29.094887477591858</v>
      </c>
    </row>
    <row r="75" spans="1:8" x14ac:dyDescent="0.3">
      <c r="A75" s="2">
        <v>2024</v>
      </c>
      <c r="B75" s="3">
        <v>2</v>
      </c>
      <c r="C75" s="3">
        <v>10180</v>
      </c>
      <c r="D75" s="3">
        <v>40.143171806167402</v>
      </c>
      <c r="E75" s="3">
        <v>26.511849676854826</v>
      </c>
      <c r="F75" s="3">
        <v>1950731</v>
      </c>
      <c r="G75" s="3">
        <v>6.8135761199587197</v>
      </c>
      <c r="H75" s="3">
        <v>26.620469241247282</v>
      </c>
    </row>
    <row r="76" spans="1:8" x14ac:dyDescent="0.3">
      <c r="A76" s="2">
        <v>2024</v>
      </c>
      <c r="B76" s="3">
        <v>3</v>
      </c>
      <c r="C76" s="3">
        <v>11338</v>
      </c>
      <c r="D76" s="3">
        <v>-3.2098343862045464</v>
      </c>
      <c r="E76" s="3">
        <v>22.276449357936034</v>
      </c>
      <c r="F76" s="3">
        <v>2426523</v>
      </c>
      <c r="G76" s="3">
        <v>7.5431985831821979</v>
      </c>
      <c r="H76" s="3">
        <v>24.196899775660693</v>
      </c>
    </row>
    <row r="77" spans="1:8" x14ac:dyDescent="0.3">
      <c r="A77" s="2">
        <v>2024</v>
      </c>
      <c r="B77" s="3">
        <v>4</v>
      </c>
      <c r="C77" s="3">
        <v>21974</v>
      </c>
      <c r="D77" s="3">
        <v>11.243861691894907</v>
      </c>
      <c r="E77" s="3">
        <v>18.131967448503019</v>
      </c>
      <c r="F77" s="3">
        <v>2913682</v>
      </c>
      <c r="G77" s="3">
        <v>-1.8206275337271483</v>
      </c>
      <c r="H77" s="3">
        <v>21.82589785944781</v>
      </c>
    </row>
    <row r="78" spans="1:8" x14ac:dyDescent="0.3">
      <c r="A78" s="2">
        <v>2024</v>
      </c>
      <c r="B78" s="3">
        <v>5</v>
      </c>
      <c r="C78" s="3">
        <v>25627</v>
      </c>
      <c r="D78" s="3">
        <v>-4.8808551703659724</v>
      </c>
      <c r="E78" s="3">
        <v>14.074964685991892</v>
      </c>
      <c r="F78" s="3">
        <v>3264740</v>
      </c>
      <c r="G78" s="3">
        <v>5.5472828058350743</v>
      </c>
      <c r="H78" s="3">
        <v>19.5080257641971</v>
      </c>
    </row>
    <row r="79" spans="1:8" x14ac:dyDescent="0.3">
      <c r="A79" s="2">
        <v>2024</v>
      </c>
      <c r="B79" s="3">
        <v>6</v>
      </c>
      <c r="C79" s="3">
        <v>33592</v>
      </c>
      <c r="D79" s="3">
        <v>17.368365885189196</v>
      </c>
      <c r="E79" s="3">
        <v>10.101523467161224</v>
      </c>
      <c r="F79" s="3">
        <v>3712767</v>
      </c>
      <c r="G79" s="3">
        <v>5.0877791348182821</v>
      </c>
      <c r="H79" s="3">
        <v>17.242203641678067</v>
      </c>
    </row>
    <row r="80" spans="1:8" x14ac:dyDescent="0.3">
      <c r="A80" s="2">
        <v>2024</v>
      </c>
      <c r="B80" s="3">
        <v>7</v>
      </c>
      <c r="C80" s="3">
        <v>30987</v>
      </c>
      <c r="D80" s="3">
        <v>-3.0535306448080557</v>
      </c>
      <c r="E80" s="3">
        <v>6.2064098123906728</v>
      </c>
      <c r="F80" s="3">
        <v>5136975</v>
      </c>
      <c r="G80" s="3">
        <v>-0.35167088772602995</v>
      </c>
      <c r="H80" s="3">
        <v>15.026382147621437</v>
      </c>
    </row>
    <row r="81" spans="1:8" x14ac:dyDescent="0.3">
      <c r="A81" s="2">
        <v>2024</v>
      </c>
      <c r="B81" s="3">
        <v>8</v>
      </c>
      <c r="C81" s="3">
        <v>44638</v>
      </c>
      <c r="D81" s="3">
        <v>13.130749930303875</v>
      </c>
      <c r="E81" s="3">
        <v>2.384894383894486</v>
      </c>
      <c r="F81" s="3">
        <v>6318218</v>
      </c>
      <c r="G81" s="3">
        <v>4.9252553749088435</v>
      </c>
      <c r="H81" s="3">
        <v>12.85766788050052</v>
      </c>
    </row>
    <row r="82" spans="1:8" x14ac:dyDescent="0.3">
      <c r="A82" s="2">
        <v>2024</v>
      </c>
      <c r="B82" s="3">
        <v>9</v>
      </c>
      <c r="C82" s="3">
        <v>32524</v>
      </c>
      <c r="D82" s="3">
        <v>9.1885721959243938</v>
      </c>
      <c r="E82" s="3">
        <v>-1.3683952075337298</v>
      </c>
      <c r="F82" s="3">
        <v>4001287</v>
      </c>
      <c r="G82" s="3">
        <v>2.9648984616588159</v>
      </c>
      <c r="H82" s="3">
        <v>10.73209951843895</v>
      </c>
    </row>
    <row r="83" spans="1:8" x14ac:dyDescent="0.3">
      <c r="A83" s="2">
        <v>2024</v>
      </c>
      <c r="B83" s="3">
        <v>10</v>
      </c>
      <c r="C83" s="3">
        <v>31267</v>
      </c>
      <c r="D83" s="3">
        <v>13.814065230052419</v>
      </c>
      <c r="E83" s="3">
        <v>-5.0580851111318657</v>
      </c>
      <c r="F83" s="3">
        <v>3284578</v>
      </c>
      <c r="G83" s="3">
        <v>-6.0506036130400727</v>
      </c>
      <c r="H83" s="3">
        <v>8.645164877580811</v>
      </c>
    </row>
    <row r="84" spans="1:8" x14ac:dyDescent="0.3">
      <c r="A84" s="2">
        <v>2024</v>
      </c>
      <c r="B84" s="3">
        <v>11</v>
      </c>
      <c r="C84" s="3">
        <v>7264</v>
      </c>
      <c r="D84" s="3">
        <v>-35.977436982196366</v>
      </c>
      <c r="E84" s="3">
        <v>-8.6880683534014604</v>
      </c>
      <c r="F84" s="3">
        <v>2947501</v>
      </c>
      <c r="G84" s="3">
        <v>15.170949188040206</v>
      </c>
      <c r="H84" s="3">
        <v>6.5918123851079073</v>
      </c>
    </row>
    <row r="85" spans="1:8" x14ac:dyDescent="0.3">
      <c r="A85" s="2">
        <v>2024</v>
      </c>
      <c r="B85" s="3">
        <v>12</v>
      </c>
      <c r="C85" s="3">
        <v>5708</v>
      </c>
      <c r="D85" s="3">
        <v>-45.689819219790671</v>
      </c>
      <c r="E85" s="3">
        <v>-12.260927394848137</v>
      </c>
      <c r="F85" s="3">
        <v>2715008</v>
      </c>
      <c r="G85" s="3">
        <v>9.4244171705951896</v>
      </c>
      <c r="H85" s="3">
        <v>4.5659699287235291</v>
      </c>
    </row>
    <row r="86" spans="1:8" x14ac:dyDescent="0.3">
      <c r="A86" s="2">
        <v>2025</v>
      </c>
      <c r="B86" s="3">
        <v>1</v>
      </c>
      <c r="C86" s="3">
        <v>6048</v>
      </c>
      <c r="D86" s="3">
        <v>-45.464382326420193</v>
      </c>
      <c r="E86" s="3">
        <v>-15.781139791021186</v>
      </c>
      <c r="F86" s="3">
        <v>2400369</v>
      </c>
      <c r="G86" s="3">
        <v>10.465300359601315</v>
      </c>
      <c r="H86" s="3">
        <v>2.5621611695200572</v>
      </c>
    </row>
    <row r="87" spans="1:8" x14ac:dyDescent="0.3">
      <c r="A87" s="2">
        <v>2025</v>
      </c>
      <c r="B87" s="3">
        <v>2</v>
      </c>
      <c r="C87" s="3">
        <v>6527</v>
      </c>
      <c r="D87" s="3">
        <v>-35.884086444007856</v>
      </c>
      <c r="E87" s="3">
        <v>-19.255504548291071</v>
      </c>
      <c r="F87" s="3">
        <v>2074348</v>
      </c>
      <c r="G87" s="3">
        <v>6.3369577865938442</v>
      </c>
      <c r="H87" s="3">
        <v>0.57524716075944737</v>
      </c>
    </row>
    <row r="88" spans="1:8" x14ac:dyDescent="0.3">
      <c r="A88" s="2">
        <v>2025</v>
      </c>
      <c r="B88" s="3">
        <v>3</v>
      </c>
      <c r="C88" s="3">
        <v>7173</v>
      </c>
      <c r="D88" s="3">
        <v>-36.734873875463045</v>
      </c>
      <c r="E88" s="3">
        <v>-22.692882009315436</v>
      </c>
      <c r="F88" s="3">
        <v>2412862</v>
      </c>
      <c r="G88" s="3">
        <v>-0.56298662736763427</v>
      </c>
      <c r="H88" s="3">
        <v>-1.3993622151859229</v>
      </c>
    </row>
    <row r="89" spans="1:8" x14ac:dyDescent="0.3">
      <c r="A89" s="2">
        <v>2025</v>
      </c>
      <c r="B89" s="3">
        <v>4</v>
      </c>
      <c r="C89" s="3">
        <v>25828</v>
      </c>
      <c r="D89" s="3">
        <v>17.53890962046054</v>
      </c>
      <c r="E89" s="3">
        <v>-26.103287279383576</v>
      </c>
      <c r="F89" s="3">
        <v>3742864</v>
      </c>
      <c r="G89" s="3">
        <v>28.458218844746952</v>
      </c>
      <c r="H89" s="3">
        <v>-3.3658569571502155</v>
      </c>
    </row>
    <row r="90" spans="1:8" x14ac:dyDescent="0.3">
      <c r="A90" s="2">
        <v>2025</v>
      </c>
      <c r="B90" s="3">
        <v>5</v>
      </c>
      <c r="C90" s="3">
        <v>27345</v>
      </c>
      <c r="D90" s="3">
        <v>6.7038670152573365</v>
      </c>
      <c r="E90" s="3">
        <v>-29.497710602108818</v>
      </c>
      <c r="F90" s="3">
        <v>3404874</v>
      </c>
      <c r="G90" s="3">
        <v>4.2923479358233818</v>
      </c>
      <c r="H90" s="3">
        <v>-5.3283689823295495</v>
      </c>
    </row>
    <row r="91" spans="1:8" x14ac:dyDescent="0.3">
      <c r="A91" s="2">
        <v>2025</v>
      </c>
      <c r="B91" s="3">
        <v>6</v>
      </c>
      <c r="C91" s="3">
        <v>36422</v>
      </c>
      <c r="D91" s="3">
        <v>8.4246249106930229</v>
      </c>
      <c r="E91" s="3">
        <v>-32.884111512986443</v>
      </c>
      <c r="F91" s="3">
        <v>3681031</v>
      </c>
      <c r="G91" s="3">
        <v>-0.85478027573505644</v>
      </c>
      <c r="H91" s="3">
        <v>-7.2888202026560229</v>
      </c>
    </row>
    <row r="92" spans="1:8" x14ac:dyDescent="0.3">
      <c r="A92" s="2">
        <v>2025</v>
      </c>
      <c r="B92" s="3">
        <v>7</v>
      </c>
      <c r="C92" s="3">
        <v>31247</v>
      </c>
      <c r="D92" s="3">
        <v>0.83906154193693627</v>
      </c>
      <c r="E92" s="3">
        <v>-36.267935549066081</v>
      </c>
      <c r="F92" s="3">
        <v>5258840</v>
      </c>
      <c r="G92" s="3">
        <v>2.3723105524165566</v>
      </c>
      <c r="H92" s="3">
        <v>-9.2484644247201953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workbookViewId="0">
      <selection activeCell="A2" sqref="A2:H92"/>
    </sheetView>
  </sheetViews>
  <sheetFormatPr baseColWidth="10" defaultColWidth="11.42578125" defaultRowHeight="13.5" x14ac:dyDescent="0.3"/>
  <cols>
    <col min="1" max="1" width="4.42578125" style="2" bestFit="1" customWidth="1"/>
    <col min="2" max="2" width="8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140625" style="2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134</v>
      </c>
      <c r="D1" s="2" t="s">
        <v>135</v>
      </c>
      <c r="E1" s="2" t="s">
        <v>136</v>
      </c>
      <c r="F1" s="2" t="s">
        <v>137</v>
      </c>
      <c r="G1" s="2" t="s">
        <v>138</v>
      </c>
      <c r="H1" s="2" t="s">
        <v>139</v>
      </c>
    </row>
    <row r="2" spans="1:8" x14ac:dyDescent="0.3">
      <c r="A2" s="2">
        <v>2018</v>
      </c>
      <c r="B2" s="3">
        <v>1</v>
      </c>
      <c r="C2" s="3">
        <v>444915</v>
      </c>
      <c r="D2" s="3">
        <v>13.190626534407613</v>
      </c>
      <c r="E2" s="3">
        <v>9.1920805371548653</v>
      </c>
      <c r="F2" s="3">
        <v>47468936</v>
      </c>
      <c r="G2" s="3">
        <v>12.843630761373536</v>
      </c>
      <c r="H2" s="3">
        <v>3.6733542891468161</v>
      </c>
    </row>
    <row r="3" spans="1:8" x14ac:dyDescent="0.3">
      <c r="A3" s="2">
        <v>2018</v>
      </c>
      <c r="B3" s="3">
        <v>2</v>
      </c>
      <c r="C3" s="3">
        <v>520773</v>
      </c>
      <c r="D3" s="3">
        <v>65.698767694701374</v>
      </c>
      <c r="E3" s="3">
        <v>9.2363093096070266</v>
      </c>
      <c r="F3" s="3">
        <v>41802612</v>
      </c>
      <c r="G3" s="3">
        <v>3.7615969609779754</v>
      </c>
      <c r="H3" s="3">
        <v>3.5093876231212291</v>
      </c>
    </row>
    <row r="4" spans="1:8" x14ac:dyDescent="0.3">
      <c r="A4" s="2">
        <v>2018</v>
      </c>
      <c r="B4" s="3">
        <v>3</v>
      </c>
      <c r="C4" s="3">
        <v>376408</v>
      </c>
      <c r="D4" s="3">
        <v>-15.092620162592818</v>
      </c>
      <c r="E4" s="3">
        <v>9.2419357557984014</v>
      </c>
      <c r="F4" s="3">
        <v>47231945</v>
      </c>
      <c r="G4" s="3">
        <v>4.927678970690974</v>
      </c>
      <c r="H4" s="3">
        <v>3.3294257133988747</v>
      </c>
    </row>
    <row r="5" spans="1:8" x14ac:dyDescent="0.3">
      <c r="A5" s="2">
        <v>2018</v>
      </c>
      <c r="B5" s="3">
        <v>4</v>
      </c>
      <c r="C5" s="3">
        <v>574089</v>
      </c>
      <c r="D5" s="3">
        <v>23.302491011482097</v>
      </c>
      <c r="E5" s="3">
        <v>9.2138547013794643</v>
      </c>
      <c r="F5" s="3">
        <v>48194945</v>
      </c>
      <c r="G5" s="3">
        <v>8.9042173717553297</v>
      </c>
      <c r="H5" s="3">
        <v>3.1348201518598091</v>
      </c>
    </row>
    <row r="6" spans="1:8" x14ac:dyDescent="0.3">
      <c r="A6" s="2">
        <v>2018</v>
      </c>
      <c r="B6" s="3">
        <v>5</v>
      </c>
      <c r="C6" s="3">
        <v>486231</v>
      </c>
      <c r="D6" s="3">
        <v>5.8199434589293775</v>
      </c>
      <c r="E6" s="3">
        <v>9.1552710722841351</v>
      </c>
      <c r="F6" s="3">
        <v>48915746</v>
      </c>
      <c r="G6" s="3">
        <v>5.6782134836300902</v>
      </c>
      <c r="H6" s="3">
        <v>2.9270335201936226</v>
      </c>
    </row>
    <row r="7" spans="1:8" x14ac:dyDescent="0.3">
      <c r="A7" s="2">
        <v>2018</v>
      </c>
      <c r="B7" s="3">
        <v>6</v>
      </c>
      <c r="C7" s="3">
        <v>475545</v>
      </c>
      <c r="D7" s="3">
        <v>3.0933757663524686</v>
      </c>
      <c r="E7" s="3">
        <v>9.0703681719678713</v>
      </c>
      <c r="F7" s="3">
        <v>45638021</v>
      </c>
      <c r="G7" s="3">
        <v>3.6116515037622143</v>
      </c>
      <c r="H7" s="3">
        <v>2.7079290526746211</v>
      </c>
    </row>
    <row r="8" spans="1:8" x14ac:dyDescent="0.3">
      <c r="A8" s="2">
        <v>2018</v>
      </c>
      <c r="B8" s="3">
        <v>7</v>
      </c>
      <c r="C8" s="3">
        <v>456365</v>
      </c>
      <c r="D8" s="3">
        <v>0.45388210071251045</v>
      </c>
      <c r="E8" s="3">
        <v>8.9630976839129826</v>
      </c>
      <c r="F8" s="3">
        <v>48140494</v>
      </c>
      <c r="G8" s="3">
        <v>0.61054760981658074</v>
      </c>
      <c r="H8" s="3">
        <v>2.4795610377412389</v>
      </c>
    </row>
    <row r="9" spans="1:8" x14ac:dyDescent="0.3">
      <c r="A9" s="2">
        <v>2018</v>
      </c>
      <c r="B9" s="3">
        <v>8</v>
      </c>
      <c r="C9" s="3">
        <v>496639</v>
      </c>
      <c r="D9" s="3">
        <v>-11.420443398077296</v>
      </c>
      <c r="E9" s="3">
        <v>8.8369962226847196</v>
      </c>
      <c r="F9" s="3">
        <v>47476443</v>
      </c>
      <c r="G9" s="3">
        <v>-1.6917512288623482</v>
      </c>
      <c r="H9" s="3">
        <v>2.2440465223354575</v>
      </c>
    </row>
    <row r="10" spans="1:8" x14ac:dyDescent="0.3">
      <c r="A10" s="2">
        <v>2018</v>
      </c>
      <c r="B10" s="3">
        <v>9</v>
      </c>
      <c r="C10" s="3">
        <v>433637</v>
      </c>
      <c r="D10" s="3">
        <v>-30.429962618921568</v>
      </c>
      <c r="E10" s="3">
        <v>8.695009485099499</v>
      </c>
      <c r="F10" s="3">
        <v>45580694</v>
      </c>
      <c r="G10" s="3">
        <v>-5.3388235979700109</v>
      </c>
      <c r="H10" s="3">
        <v>2.0033727608000969</v>
      </c>
    </row>
    <row r="11" spans="1:8" x14ac:dyDescent="0.3">
      <c r="A11" s="2">
        <v>2018</v>
      </c>
      <c r="B11" s="3">
        <v>10</v>
      </c>
      <c r="C11" s="3">
        <v>614405</v>
      </c>
      <c r="D11" s="3">
        <v>30.91610698213556</v>
      </c>
      <c r="E11" s="3">
        <v>8.538676401333408</v>
      </c>
      <c r="F11" s="3">
        <v>48472240</v>
      </c>
      <c r="G11" s="3">
        <v>2.4816431130814109</v>
      </c>
      <c r="H11" s="3">
        <v>1.7592536881896992</v>
      </c>
    </row>
    <row r="12" spans="1:8" x14ac:dyDescent="0.3">
      <c r="A12" s="2">
        <v>2018</v>
      </c>
      <c r="B12" s="3">
        <v>11</v>
      </c>
      <c r="C12" s="3">
        <v>594132</v>
      </c>
      <c r="D12" s="3">
        <v>6.74768585062957</v>
      </c>
      <c r="E12" s="3">
        <v>8.3668188896108671</v>
      </c>
      <c r="F12" s="3">
        <v>46808962</v>
      </c>
      <c r="G12" s="3">
        <v>-0.8447826326876573</v>
      </c>
      <c r="H12" s="3">
        <v>1.51289336481167</v>
      </c>
    </row>
    <row r="13" spans="1:8" x14ac:dyDescent="0.3">
      <c r="A13" s="2">
        <v>2018</v>
      </c>
      <c r="B13" s="3">
        <v>12</v>
      </c>
      <c r="C13" s="3">
        <v>511254</v>
      </c>
      <c r="D13" s="3">
        <v>19.348136666262029</v>
      </c>
      <c r="E13" s="3">
        <v>8.1798128563910719</v>
      </c>
      <c r="F13" s="3">
        <v>47819187</v>
      </c>
      <c r="G13" s="3">
        <v>7.5391970958256005</v>
      </c>
      <c r="H13" s="3">
        <v>1.2655460169056991</v>
      </c>
    </row>
    <row r="14" spans="1:8" x14ac:dyDescent="0.3">
      <c r="A14" s="2">
        <v>2019</v>
      </c>
      <c r="B14" s="3">
        <v>1</v>
      </c>
      <c r="C14" s="3">
        <v>548672</v>
      </c>
      <c r="D14" s="3">
        <v>23.320634278457675</v>
      </c>
      <c r="E14" s="3">
        <v>7.9779217683388444</v>
      </c>
      <c r="F14" s="3">
        <v>47322622</v>
      </c>
      <c r="G14" s="3">
        <v>-0.30823105030203246</v>
      </c>
      <c r="H14" s="3">
        <v>1.0183021432116495</v>
      </c>
    </row>
    <row r="15" spans="1:8" x14ac:dyDescent="0.3">
      <c r="A15" s="2">
        <v>2019</v>
      </c>
      <c r="B15" s="3">
        <v>2</v>
      </c>
      <c r="C15" s="3">
        <v>443332</v>
      </c>
      <c r="D15" s="3">
        <v>-14.870394586508906</v>
      </c>
      <c r="E15" s="3">
        <v>7.762184670161357</v>
      </c>
      <c r="F15" s="3">
        <v>44532985</v>
      </c>
      <c r="G15" s="3">
        <v>6.5315846770531927</v>
      </c>
      <c r="H15" s="3">
        <v>0.77268791268319781</v>
      </c>
    </row>
    <row r="16" spans="1:8" x14ac:dyDescent="0.3">
      <c r="A16" s="2">
        <v>2019</v>
      </c>
      <c r="B16" s="3">
        <v>3</v>
      </c>
      <c r="C16" s="3">
        <v>574492</v>
      </c>
      <c r="D16" s="3">
        <v>52.624811374891081</v>
      </c>
      <c r="E16" s="3">
        <v>7.5347060727123187</v>
      </c>
      <c r="F16" s="3">
        <v>48300896</v>
      </c>
      <c r="G16" s="3">
        <v>2.2631949626465753</v>
      </c>
      <c r="H16" s="3">
        <v>0.53013737391336024</v>
      </c>
    </row>
    <row r="17" spans="1:8" x14ac:dyDescent="0.3">
      <c r="A17" s="2">
        <v>2019</v>
      </c>
      <c r="B17" s="3">
        <v>4</v>
      </c>
      <c r="C17" s="3">
        <v>534561</v>
      </c>
      <c r="D17" s="3">
        <v>-6.8853435617125536</v>
      </c>
      <c r="E17" s="3">
        <v>7.2960187799526128</v>
      </c>
      <c r="F17" s="3">
        <v>46216393</v>
      </c>
      <c r="G17" s="3">
        <v>-4.1053102145878544</v>
      </c>
      <c r="H17" s="3">
        <v>0.29248449888156736</v>
      </c>
    </row>
    <row r="18" spans="1:8" x14ac:dyDescent="0.3">
      <c r="A18" s="2">
        <v>2019</v>
      </c>
      <c r="B18" s="3">
        <v>5</v>
      </c>
      <c r="C18" s="3">
        <v>550365</v>
      </c>
      <c r="D18" s="3">
        <v>13.190026962493139</v>
      </c>
      <c r="E18" s="3">
        <v>7.0497868531557728</v>
      </c>
      <c r="F18" s="3">
        <v>50950553</v>
      </c>
      <c r="G18" s="3">
        <v>4.1598200301391719</v>
      </c>
      <c r="H18" s="3">
        <v>6.1683610788689516E-2</v>
      </c>
    </row>
    <row r="19" spans="1:8" x14ac:dyDescent="0.3">
      <c r="A19" s="2">
        <v>2019</v>
      </c>
      <c r="B19" s="3">
        <v>6</v>
      </c>
      <c r="C19" s="3">
        <v>501258</v>
      </c>
      <c r="D19" s="3">
        <v>5.4070592688389096</v>
      </c>
      <c r="E19" s="3">
        <v>6.7986895367660498</v>
      </c>
      <c r="F19" s="3">
        <v>47234399</v>
      </c>
      <c r="G19" s="3">
        <v>3.4979124094798086</v>
      </c>
      <c r="H19" s="3">
        <v>-0.16061636957506056</v>
      </c>
    </row>
    <row r="20" spans="1:8" x14ac:dyDescent="0.3">
      <c r="A20" s="2">
        <v>2019</v>
      </c>
      <c r="B20" s="3">
        <v>7</v>
      </c>
      <c r="C20" s="3">
        <v>472804</v>
      </c>
      <c r="D20" s="3">
        <v>3.6021605513130828</v>
      </c>
      <c r="E20" s="3">
        <v>6.5458324807908417</v>
      </c>
      <c r="F20" s="3">
        <v>48777939</v>
      </c>
      <c r="G20" s="3">
        <v>1.3241347294857375</v>
      </c>
      <c r="H20" s="3">
        <v>-0.37248192861257085</v>
      </c>
    </row>
    <row r="21" spans="1:8" x14ac:dyDescent="0.3">
      <c r="A21" s="2">
        <v>2019</v>
      </c>
      <c r="B21" s="3">
        <v>8</v>
      </c>
      <c r="C21" s="3">
        <v>672691</v>
      </c>
      <c r="D21" s="3">
        <v>35.448686067747403</v>
      </c>
      <c r="E21" s="3">
        <v>6.2942246942467177</v>
      </c>
      <c r="F21" s="3">
        <v>48180489</v>
      </c>
      <c r="G21" s="3">
        <v>1.4829375486280716</v>
      </c>
      <c r="H21" s="3">
        <v>-0.57172548822818381</v>
      </c>
    </row>
    <row r="22" spans="1:8" x14ac:dyDescent="0.3">
      <c r="A22" s="2">
        <v>2019</v>
      </c>
      <c r="B22" s="3">
        <v>9</v>
      </c>
      <c r="C22" s="3">
        <v>548595</v>
      </c>
      <c r="D22" s="3">
        <v>26.510191704121191</v>
      </c>
      <c r="E22" s="3">
        <v>6.0466707644884758</v>
      </c>
      <c r="F22" s="3">
        <v>46625514</v>
      </c>
      <c r="G22" s="3">
        <v>2.2922424129830032</v>
      </c>
      <c r="H22" s="3">
        <v>-0.756041649724985</v>
      </c>
    </row>
    <row r="23" spans="1:8" x14ac:dyDescent="0.3">
      <c r="A23" s="2">
        <v>2019</v>
      </c>
      <c r="B23" s="3">
        <v>10</v>
      </c>
      <c r="C23" s="3">
        <v>673648</v>
      </c>
      <c r="D23" s="3">
        <v>9.6423368950447887</v>
      </c>
      <c r="E23" s="3">
        <v>5.8079998942440758</v>
      </c>
      <c r="F23" s="3">
        <v>48348430</v>
      </c>
      <c r="G23" s="3">
        <v>-0.25542454815374871</v>
      </c>
      <c r="H23" s="3">
        <v>-0.92298232947294512</v>
      </c>
    </row>
    <row r="24" spans="1:8" x14ac:dyDescent="0.3">
      <c r="A24" s="2">
        <v>2019</v>
      </c>
      <c r="B24" s="3">
        <v>11</v>
      </c>
      <c r="C24" s="3">
        <v>555711</v>
      </c>
      <c r="D24" s="3">
        <v>-6.4667447637898672</v>
      </c>
      <c r="E24" s="3">
        <v>5.5844623640845068</v>
      </c>
      <c r="F24" s="3">
        <v>43753052</v>
      </c>
      <c r="G24" s="3">
        <v>-6.5284720477245317</v>
      </c>
      <c r="H24" s="3">
        <v>-1.0698877574487913</v>
      </c>
    </row>
    <row r="25" spans="1:8" x14ac:dyDescent="0.3">
      <c r="A25" s="2">
        <v>2019</v>
      </c>
      <c r="B25" s="3">
        <v>12</v>
      </c>
      <c r="C25" s="3">
        <v>509000</v>
      </c>
      <c r="D25" s="3">
        <v>-0.44087674619660566</v>
      </c>
      <c r="E25" s="3">
        <v>5.3825747279835934</v>
      </c>
      <c r="F25" s="3">
        <v>44257967</v>
      </c>
      <c r="G25" s="3">
        <v>-7.4472617027136039</v>
      </c>
      <c r="H25" s="3">
        <v>-1.1940518054499922</v>
      </c>
    </row>
    <row r="26" spans="1:8" x14ac:dyDescent="0.3">
      <c r="A26" s="2">
        <v>2020</v>
      </c>
      <c r="B26" s="3">
        <v>1</v>
      </c>
      <c r="C26" s="3">
        <v>510264</v>
      </c>
      <c r="D26" s="3">
        <v>-7.0001749679225451</v>
      </c>
      <c r="E26" s="3">
        <v>5.2080166505312784</v>
      </c>
      <c r="F26" s="3">
        <v>45829387</v>
      </c>
      <c r="G26" s="3">
        <v>-3.1554358927956327</v>
      </c>
      <c r="H26" s="3">
        <v>-1.2931474136275081</v>
      </c>
    </row>
    <row r="27" spans="1:8" x14ac:dyDescent="0.3">
      <c r="A27" s="2">
        <v>2020</v>
      </c>
      <c r="B27" s="3">
        <v>2</v>
      </c>
      <c r="C27" s="3">
        <v>401566</v>
      </c>
      <c r="D27" s="3">
        <v>-9.4209305892649304</v>
      </c>
      <c r="E27" s="3">
        <v>5.0660633899651302</v>
      </c>
      <c r="F27" s="3">
        <v>43096805</v>
      </c>
      <c r="G27" s="3">
        <v>-3.2249803151529144</v>
      </c>
      <c r="H27" s="3">
        <v>-1.3652817728196087</v>
      </c>
    </row>
    <row r="28" spans="1:8" x14ac:dyDescent="0.3">
      <c r="A28" s="2">
        <v>2020</v>
      </c>
      <c r="B28" s="3">
        <v>3</v>
      </c>
      <c r="C28" s="3">
        <v>497997</v>
      </c>
      <c r="D28" s="3">
        <v>-13.315241987703919</v>
      </c>
      <c r="E28" s="3">
        <v>4.9611424134381021</v>
      </c>
      <c r="F28" s="3">
        <v>44337735</v>
      </c>
      <c r="G28" s="3">
        <v>-8.2051500659532266</v>
      </c>
      <c r="H28" s="3">
        <v>-1.4086913994533952</v>
      </c>
    </row>
    <row r="29" spans="1:8" x14ac:dyDescent="0.3">
      <c r="A29" s="2">
        <v>2020</v>
      </c>
      <c r="B29" s="3">
        <v>4</v>
      </c>
      <c r="C29" s="3">
        <v>401119</v>
      </c>
      <c r="D29" s="3">
        <v>-24.96291349350215</v>
      </c>
      <c r="E29" s="3">
        <v>4.8966751468545899</v>
      </c>
      <c r="F29" s="3">
        <v>41803227</v>
      </c>
      <c r="G29" s="3">
        <v>-9.5489191465028433</v>
      </c>
      <c r="H29" s="3">
        <v>-1.4217419556880748</v>
      </c>
    </row>
    <row r="30" spans="1:8" x14ac:dyDescent="0.3">
      <c r="A30" s="2">
        <v>2020</v>
      </c>
      <c r="B30" s="3">
        <v>5</v>
      </c>
      <c r="C30" s="3">
        <v>363011</v>
      </c>
      <c r="D30" s="3">
        <v>-34.041772278397062</v>
      </c>
      <c r="E30" s="3">
        <v>4.8748138227578002</v>
      </c>
      <c r="F30" s="3">
        <v>38176877</v>
      </c>
      <c r="G30" s="3">
        <v>-25.070730831910694</v>
      </c>
      <c r="H30" s="3">
        <v>-1.4032710799791399</v>
      </c>
    </row>
    <row r="31" spans="1:8" x14ac:dyDescent="0.3">
      <c r="A31" s="2">
        <v>2020</v>
      </c>
      <c r="B31" s="3">
        <v>6</v>
      </c>
      <c r="C31" s="3">
        <v>492284</v>
      </c>
      <c r="D31" s="3">
        <v>-1.7902956162295647</v>
      </c>
      <c r="E31" s="3">
        <v>4.8956370911464697</v>
      </c>
      <c r="F31" s="3">
        <v>40246305</v>
      </c>
      <c r="G31" s="3">
        <v>-14.794501778248515</v>
      </c>
      <c r="H31" s="3">
        <v>-1.3526807980870004</v>
      </c>
    </row>
    <row r="32" spans="1:8" x14ac:dyDescent="0.3">
      <c r="A32" s="2">
        <v>2020</v>
      </c>
      <c r="B32" s="3">
        <v>7</v>
      </c>
      <c r="C32" s="3">
        <v>366843</v>
      </c>
      <c r="D32" s="3">
        <v>-22.411189414641164</v>
      </c>
      <c r="E32" s="3">
        <v>4.9565210613178667</v>
      </c>
      <c r="F32" s="3">
        <v>42219930</v>
      </c>
      <c r="G32" s="3">
        <v>-13.444620938166329</v>
      </c>
      <c r="H32" s="3">
        <v>-1.2710167093659506</v>
      </c>
    </row>
    <row r="33" spans="1:8" x14ac:dyDescent="0.3">
      <c r="A33" s="2">
        <v>2020</v>
      </c>
      <c r="B33" s="3">
        <v>8</v>
      </c>
      <c r="C33" s="3">
        <v>457073</v>
      </c>
      <c r="D33" s="3">
        <v>-32.053052590268038</v>
      </c>
      <c r="E33" s="3">
        <v>5.0543775416868035</v>
      </c>
      <c r="F33" s="3">
        <v>42979900</v>
      </c>
      <c r="G33" s="3">
        <v>-10.793973054113248</v>
      </c>
      <c r="H33" s="3">
        <v>-1.1602578729605739</v>
      </c>
    </row>
    <row r="34" spans="1:8" x14ac:dyDescent="0.3">
      <c r="A34" s="2">
        <v>2020</v>
      </c>
      <c r="B34" s="3">
        <v>9</v>
      </c>
      <c r="C34" s="3">
        <v>669863</v>
      </c>
      <c r="D34" s="3">
        <v>22.105196000692672</v>
      </c>
      <c r="E34" s="3">
        <v>5.1842178052183732</v>
      </c>
      <c r="F34" s="3">
        <v>43357979</v>
      </c>
      <c r="G34" s="3">
        <v>-7.0080407049239124</v>
      </c>
      <c r="H34" s="3">
        <v>-1.0232287371980098</v>
      </c>
    </row>
    <row r="35" spans="1:8" x14ac:dyDescent="0.3">
      <c r="A35" s="2">
        <v>2020</v>
      </c>
      <c r="B35" s="3">
        <v>10</v>
      </c>
      <c r="C35" s="3">
        <v>557548</v>
      </c>
      <c r="D35" s="3">
        <v>-17.234520105455665</v>
      </c>
      <c r="E35" s="3">
        <v>5.3384762200073954</v>
      </c>
      <c r="F35" s="3">
        <v>45985847</v>
      </c>
      <c r="G35" s="3">
        <v>-4.8865764617382563</v>
      </c>
      <c r="H35" s="3">
        <v>-0.86342275840408833</v>
      </c>
    </row>
    <row r="36" spans="1:8" x14ac:dyDescent="0.3">
      <c r="A36" s="2">
        <v>2020</v>
      </c>
      <c r="B36" s="3">
        <v>11</v>
      </c>
      <c r="C36" s="3">
        <v>705430</v>
      </c>
      <c r="D36" s="3">
        <v>26.941881661511104</v>
      </c>
      <c r="E36" s="3">
        <v>5.5107622220789301</v>
      </c>
      <c r="F36" s="3">
        <v>43643095</v>
      </c>
      <c r="G36" s="3">
        <v>-0.25131275413655674</v>
      </c>
      <c r="H36" s="3">
        <v>-0.6847490048468432</v>
      </c>
    </row>
    <row r="37" spans="1:8" x14ac:dyDescent="0.3">
      <c r="A37" s="2">
        <v>2020</v>
      </c>
      <c r="B37" s="3">
        <v>12</v>
      </c>
      <c r="C37" s="3">
        <v>442997</v>
      </c>
      <c r="D37" s="3">
        <v>-12.967190569744602</v>
      </c>
      <c r="E37" s="3">
        <v>5.6931176782687691</v>
      </c>
      <c r="F37" s="3">
        <v>43896623</v>
      </c>
      <c r="G37" s="3">
        <v>-0.81644961233758861</v>
      </c>
      <c r="H37" s="3">
        <v>-0.49139593046815067</v>
      </c>
    </row>
    <row r="38" spans="1:8" x14ac:dyDescent="0.3">
      <c r="A38" s="2">
        <v>2021</v>
      </c>
      <c r="B38" s="3">
        <v>1</v>
      </c>
      <c r="C38" s="3">
        <v>387113</v>
      </c>
      <c r="D38" s="3">
        <v>-24.134761613596101</v>
      </c>
      <c r="E38" s="3">
        <v>5.8790727275959975</v>
      </c>
      <c r="F38" s="3">
        <v>42491856</v>
      </c>
      <c r="G38" s="3">
        <v>-7.2825128557796326</v>
      </c>
      <c r="H38" s="3">
        <v>-0.2875218894702542</v>
      </c>
    </row>
    <row r="39" spans="1:8" x14ac:dyDescent="0.3">
      <c r="A39" s="2">
        <v>2021</v>
      </c>
      <c r="B39" s="3">
        <v>2</v>
      </c>
      <c r="C39" s="3">
        <v>565486</v>
      </c>
      <c r="D39" s="3">
        <v>40.820188960220726</v>
      </c>
      <c r="E39" s="3">
        <v>6.0608616543402549</v>
      </c>
      <c r="F39" s="3">
        <v>40512341</v>
      </c>
      <c r="G39" s="3">
        <v>-5.9968807432476678</v>
      </c>
      <c r="H39" s="3">
        <v>-7.7307809227749422E-2</v>
      </c>
    </row>
    <row r="40" spans="1:8" x14ac:dyDescent="0.3">
      <c r="A40" s="2">
        <v>2021</v>
      </c>
      <c r="B40" s="3">
        <v>3</v>
      </c>
      <c r="C40" s="3">
        <v>627906</v>
      </c>
      <c r="D40" s="3">
        <v>26.08630172470918</v>
      </c>
      <c r="E40" s="3">
        <v>6.2286344487297081</v>
      </c>
      <c r="F40" s="3">
        <v>46405100</v>
      </c>
      <c r="G40" s="3">
        <v>4.6627663772179639</v>
      </c>
      <c r="H40" s="3">
        <v>0.13457961962321893</v>
      </c>
    </row>
    <row r="41" spans="1:8" ht="14.25" customHeight="1" x14ac:dyDescent="0.3">
      <c r="A41" s="2">
        <v>2021</v>
      </c>
      <c r="B41" s="3">
        <v>4</v>
      </c>
      <c r="C41" s="3">
        <v>517454</v>
      </c>
      <c r="D41" s="3">
        <v>29.002615184022694</v>
      </c>
      <c r="E41" s="3">
        <v>6.3749549431665438</v>
      </c>
      <c r="F41" s="3">
        <v>45472641</v>
      </c>
      <c r="G41" s="3">
        <v>8.7778247358750505</v>
      </c>
      <c r="H41" s="3">
        <v>0.34306262499275475</v>
      </c>
    </row>
    <row r="42" spans="1:8" x14ac:dyDescent="0.3">
      <c r="A42" s="2">
        <v>2021</v>
      </c>
      <c r="B42" s="3">
        <v>5</v>
      </c>
      <c r="C42" s="3">
        <v>627517</v>
      </c>
      <c r="D42" s="3">
        <v>72.864458652768093</v>
      </c>
      <c r="E42" s="3">
        <v>6.4937659747248926</v>
      </c>
      <c r="F42" s="3">
        <v>45499245</v>
      </c>
      <c r="G42" s="3">
        <v>19.180112611097023</v>
      </c>
      <c r="H42" s="3">
        <v>0.5433778922046838</v>
      </c>
    </row>
    <row r="43" spans="1:8" x14ac:dyDescent="0.3">
      <c r="A43" s="2">
        <v>2021</v>
      </c>
      <c r="B43" s="3">
        <v>6</v>
      </c>
      <c r="C43" s="3">
        <v>464392</v>
      </c>
      <c r="D43" s="3">
        <v>-5.6658351683174786</v>
      </c>
      <c r="E43" s="3">
        <v>6.5805817457733893</v>
      </c>
      <c r="F43" s="3">
        <v>44907680</v>
      </c>
      <c r="G43" s="3">
        <v>11.582119153547143</v>
      </c>
      <c r="H43" s="3">
        <v>0.73134785395164315</v>
      </c>
    </row>
    <row r="44" spans="1:8" x14ac:dyDescent="0.3">
      <c r="A44" s="2">
        <v>2021</v>
      </c>
      <c r="B44" s="3">
        <v>7</v>
      </c>
      <c r="C44" s="3">
        <v>597250</v>
      </c>
      <c r="D44" s="3">
        <v>62.808067756506183</v>
      </c>
      <c r="E44" s="3">
        <v>6.6355255345610882</v>
      </c>
      <c r="F44" s="3">
        <v>46055466</v>
      </c>
      <c r="G44" s="3">
        <v>9.0846574117958045</v>
      </c>
      <c r="H44" s="3">
        <v>0.90408916061508182</v>
      </c>
    </row>
    <row r="45" spans="1:8" x14ac:dyDescent="0.3">
      <c r="A45" s="2">
        <v>2021</v>
      </c>
      <c r="B45" s="3">
        <v>8</v>
      </c>
      <c r="C45" s="3">
        <v>575106</v>
      </c>
      <c r="D45" s="3">
        <v>25.82366492879693</v>
      </c>
      <c r="E45" s="3">
        <v>6.6578701737180115</v>
      </c>
      <c r="F45" s="3">
        <v>48818430</v>
      </c>
      <c r="G45" s="3">
        <v>13.584326627097788</v>
      </c>
      <c r="H45" s="3">
        <v>1.0594719883611432</v>
      </c>
    </row>
    <row r="46" spans="1:8" x14ac:dyDescent="0.3">
      <c r="A46" s="2">
        <v>2021</v>
      </c>
      <c r="B46" s="3">
        <v>9</v>
      </c>
      <c r="C46" s="3">
        <v>576997</v>
      </c>
      <c r="D46" s="3">
        <v>-13.8634317763483</v>
      </c>
      <c r="E46" s="3">
        <v>6.6507893668618152</v>
      </c>
      <c r="F46" s="3">
        <v>45057381</v>
      </c>
      <c r="G46" s="3">
        <v>3.9194677408741718</v>
      </c>
      <c r="H46" s="3">
        <v>1.1959346083734137</v>
      </c>
    </row>
    <row r="47" spans="1:8" x14ac:dyDescent="0.3">
      <c r="A47" s="2">
        <v>2021</v>
      </c>
      <c r="B47" s="3">
        <v>10</v>
      </c>
      <c r="C47" s="3">
        <v>620474</v>
      </c>
      <c r="D47" s="3">
        <v>11.286203160983455</v>
      </c>
      <c r="E47" s="3">
        <v>6.618787775579257</v>
      </c>
      <c r="F47" s="3">
        <v>46992088</v>
      </c>
      <c r="G47" s="3">
        <v>2.1881536725854023</v>
      </c>
      <c r="H47" s="3">
        <v>1.3127850734076141</v>
      </c>
    </row>
    <row r="48" spans="1:8" x14ac:dyDescent="0.3">
      <c r="A48" s="2">
        <v>2021</v>
      </c>
      <c r="B48" s="3">
        <v>11</v>
      </c>
      <c r="C48" s="3">
        <v>563138</v>
      </c>
      <c r="D48" s="3">
        <v>-20.170959556582513</v>
      </c>
      <c r="E48" s="3">
        <v>6.5649454627665946</v>
      </c>
      <c r="F48" s="3">
        <v>45683251</v>
      </c>
      <c r="G48" s="3">
        <v>4.6746363886429165</v>
      </c>
      <c r="H48" s="3">
        <v>1.4095205704647775</v>
      </c>
    </row>
    <row r="49" spans="1:8" x14ac:dyDescent="0.3">
      <c r="A49" s="2">
        <v>2021</v>
      </c>
      <c r="B49" s="3">
        <v>12</v>
      </c>
      <c r="C49" s="3">
        <v>644709</v>
      </c>
      <c r="D49" s="3">
        <v>45.533491197457309</v>
      </c>
      <c r="E49" s="3">
        <v>6.4926666173885161</v>
      </c>
      <c r="F49" s="3">
        <v>46524258</v>
      </c>
      <c r="G49" s="3">
        <v>5.9859616080262024</v>
      </c>
      <c r="H49" s="3">
        <v>1.4856990760319913</v>
      </c>
    </row>
    <row r="50" spans="1:8" x14ac:dyDescent="0.3">
      <c r="A50" s="2">
        <v>2022</v>
      </c>
      <c r="B50" s="3">
        <v>1</v>
      </c>
      <c r="C50" s="3">
        <v>521240</v>
      </c>
      <c r="D50" s="3">
        <v>34.648022670383071</v>
      </c>
      <c r="E50" s="3">
        <v>6.4034987683389213</v>
      </c>
      <c r="F50" s="3">
        <v>46655407</v>
      </c>
      <c r="G50" s="3">
        <v>9.7984682052956185</v>
      </c>
      <c r="H50" s="3">
        <v>1.5411053107503825</v>
      </c>
    </row>
    <row r="51" spans="1:8" x14ac:dyDescent="0.3">
      <c r="A51" s="2">
        <v>2022</v>
      </c>
      <c r="B51" s="3">
        <v>2</v>
      </c>
      <c r="C51" s="3">
        <v>600112</v>
      </c>
      <c r="D51" s="3">
        <v>6.123228514941137</v>
      </c>
      <c r="E51" s="3">
        <v>6.301700612885325</v>
      </c>
      <c r="F51" s="3">
        <v>44003719</v>
      </c>
      <c r="G51" s="3">
        <v>8.6180603584473214</v>
      </c>
      <c r="H51" s="3">
        <v>1.575836513492467</v>
      </c>
    </row>
    <row r="52" spans="1:8" x14ac:dyDescent="0.3">
      <c r="A52" s="2">
        <v>2022</v>
      </c>
      <c r="B52" s="3">
        <v>3</v>
      </c>
      <c r="C52" s="3">
        <v>473822</v>
      </c>
      <c r="D52" s="3">
        <v>-24.539341876013289</v>
      </c>
      <c r="E52" s="3">
        <v>6.1934922735662186</v>
      </c>
      <c r="F52" s="3">
        <v>45904800</v>
      </c>
      <c r="G52" s="3">
        <v>-1.0781142589930903</v>
      </c>
      <c r="H52" s="3">
        <v>1.5905633511095487</v>
      </c>
    </row>
    <row r="53" spans="1:8" x14ac:dyDescent="0.3">
      <c r="A53" s="2">
        <v>2022</v>
      </c>
      <c r="B53" s="3">
        <v>4</v>
      </c>
      <c r="C53" s="3">
        <v>444462</v>
      </c>
      <c r="D53" s="3">
        <v>-14.105988165131588</v>
      </c>
      <c r="E53" s="3">
        <v>6.085081479024403</v>
      </c>
      <c r="F53" s="3">
        <v>48762107</v>
      </c>
      <c r="G53" s="3">
        <v>7.2339453518875274</v>
      </c>
      <c r="H53" s="3">
        <v>1.5864455337754975</v>
      </c>
    </row>
    <row r="54" spans="1:8" x14ac:dyDescent="0.3">
      <c r="A54" s="2">
        <v>2022</v>
      </c>
      <c r="B54" s="3">
        <v>5</v>
      </c>
      <c r="C54" s="3">
        <v>615763</v>
      </c>
      <c r="D54" s="3">
        <v>-1.8730966651102632</v>
      </c>
      <c r="E54" s="3">
        <v>5.980541733308959</v>
      </c>
      <c r="F54" s="3">
        <v>51435486</v>
      </c>
      <c r="G54" s="3">
        <v>13.046900009000151</v>
      </c>
      <c r="H54" s="3">
        <v>1.5644574468301486</v>
      </c>
    </row>
    <row r="55" spans="1:8" x14ac:dyDescent="0.3">
      <c r="A55" s="2">
        <v>2022</v>
      </c>
      <c r="B55" s="3">
        <v>6</v>
      </c>
      <c r="C55" s="3">
        <v>465075</v>
      </c>
      <c r="D55" s="3">
        <v>0.14707402366966882</v>
      </c>
      <c r="E55" s="3">
        <v>5.8825443828547899</v>
      </c>
      <c r="F55" s="3">
        <v>48396267</v>
      </c>
      <c r="G55" s="3">
        <v>7.7683527628236382</v>
      </c>
      <c r="H55" s="3">
        <v>1.5259656631007068</v>
      </c>
    </row>
    <row r="56" spans="1:8" x14ac:dyDescent="0.3">
      <c r="A56" s="2">
        <v>2022</v>
      </c>
      <c r="B56" s="3">
        <v>7</v>
      </c>
      <c r="C56" s="3">
        <v>550115</v>
      </c>
      <c r="D56" s="3">
        <v>-7.8920050230221861</v>
      </c>
      <c r="E56" s="3">
        <v>5.7932153825413524</v>
      </c>
      <c r="F56" s="3">
        <v>48393852</v>
      </c>
      <c r="G56" s="3">
        <v>5.0773256750892504</v>
      </c>
      <c r="H56" s="3">
        <v>1.473134147258971</v>
      </c>
    </row>
    <row r="57" spans="1:8" x14ac:dyDescent="0.3">
      <c r="A57" s="2">
        <v>2022</v>
      </c>
      <c r="B57" s="3">
        <v>8</v>
      </c>
      <c r="C57" s="3">
        <v>479451</v>
      </c>
      <c r="D57" s="3">
        <v>-16.632585992843062</v>
      </c>
      <c r="E57" s="3">
        <v>5.7142823906953817</v>
      </c>
      <c r="F57" s="3">
        <v>47624826</v>
      </c>
      <c r="G57" s="3">
        <v>-2.4449864528621634</v>
      </c>
      <c r="H57" s="3">
        <v>1.4085603630808876</v>
      </c>
    </row>
    <row r="58" spans="1:8" x14ac:dyDescent="0.3">
      <c r="A58" s="2">
        <v>2022</v>
      </c>
      <c r="B58" s="3">
        <v>9</v>
      </c>
      <c r="C58" s="3">
        <v>560121</v>
      </c>
      <c r="D58" s="3">
        <v>-2.9247985691433387</v>
      </c>
      <c r="E58" s="3">
        <v>5.6465227031154486</v>
      </c>
      <c r="F58" s="3">
        <v>44493711</v>
      </c>
      <c r="G58" s="3">
        <v>-1.2510048020767162</v>
      </c>
      <c r="H58" s="3">
        <v>1.3350920654207248</v>
      </c>
    </row>
    <row r="59" spans="1:8" x14ac:dyDescent="0.3">
      <c r="A59" s="2">
        <v>2022</v>
      </c>
      <c r="B59" s="3">
        <v>10</v>
      </c>
      <c r="C59" s="3">
        <v>667081</v>
      </c>
      <c r="D59" s="3">
        <v>7.5115153898471121</v>
      </c>
      <c r="E59" s="3">
        <v>5.589161749740156</v>
      </c>
      <c r="F59" s="3">
        <v>46809494</v>
      </c>
      <c r="G59" s="3">
        <v>-0.38856328324887723</v>
      </c>
      <c r="H59" s="3">
        <v>1.2553094017149768</v>
      </c>
    </row>
    <row r="60" spans="1:8" x14ac:dyDescent="0.3">
      <c r="A60" s="2">
        <v>2022</v>
      </c>
      <c r="B60" s="3">
        <v>11</v>
      </c>
      <c r="C60" s="3">
        <v>538428</v>
      </c>
      <c r="D60" s="3">
        <v>-4.387912021564877</v>
      </c>
      <c r="E60" s="3">
        <v>5.5408297298641997</v>
      </c>
      <c r="F60" s="3">
        <v>43029029</v>
      </c>
      <c r="G60" s="3">
        <v>-5.8100549805441766</v>
      </c>
      <c r="H60" s="3">
        <v>1.1716129293398949</v>
      </c>
    </row>
    <row r="61" spans="1:8" x14ac:dyDescent="0.3">
      <c r="A61" s="2">
        <v>2022</v>
      </c>
      <c r="B61" s="3">
        <v>12</v>
      </c>
      <c r="C61" s="3">
        <v>539789</v>
      </c>
      <c r="D61" s="3">
        <v>-16.27400889393509</v>
      </c>
      <c r="E61" s="3">
        <v>5.500290339562838</v>
      </c>
      <c r="F61" s="3">
        <v>46237480</v>
      </c>
      <c r="G61" s="3">
        <v>-0.61640531698539114</v>
      </c>
      <c r="H61" s="3">
        <v>1.0862890478463856</v>
      </c>
    </row>
    <row r="62" spans="1:8" x14ac:dyDescent="0.3">
      <c r="A62" s="2">
        <v>2023</v>
      </c>
      <c r="B62" s="3">
        <v>1</v>
      </c>
      <c r="C62" s="3">
        <v>548800</v>
      </c>
      <c r="D62" s="3">
        <v>5.2873916046350944</v>
      </c>
      <c r="E62" s="3">
        <v>5.4656177789563696</v>
      </c>
      <c r="F62" s="3">
        <v>44156629</v>
      </c>
      <c r="G62" s="3">
        <v>-5.355816529475355</v>
      </c>
      <c r="H62" s="3">
        <v>1.0011393187360578</v>
      </c>
    </row>
    <row r="63" spans="1:8" x14ac:dyDescent="0.3">
      <c r="A63" s="2">
        <v>2023</v>
      </c>
      <c r="B63" s="3">
        <v>2</v>
      </c>
      <c r="C63" s="3">
        <v>522150</v>
      </c>
      <c r="D63" s="3">
        <v>-12.991241634894823</v>
      </c>
      <c r="E63" s="3">
        <v>5.4333741440516548</v>
      </c>
      <c r="F63" s="3">
        <v>42534391</v>
      </c>
      <c r="G63" s="3">
        <v>-3.3390995883779695</v>
      </c>
      <c r="H63" s="3">
        <v>0.91784706084629608</v>
      </c>
    </row>
    <row r="64" spans="1:8" x14ac:dyDescent="0.3">
      <c r="A64" s="2">
        <v>2023</v>
      </c>
      <c r="B64" s="3">
        <v>3</v>
      </c>
      <c r="C64" s="3">
        <v>633488</v>
      </c>
      <c r="D64" s="3">
        <v>33.697464448674829</v>
      </c>
      <c r="E64" s="3">
        <v>5.4001091540378923</v>
      </c>
      <c r="F64" s="3">
        <v>47516392</v>
      </c>
      <c r="G64" s="3">
        <v>3.5107265471149063</v>
      </c>
      <c r="H64" s="3">
        <v>0.83765413774724806</v>
      </c>
    </row>
    <row r="65" spans="1:8" x14ac:dyDescent="0.3">
      <c r="A65" s="2">
        <v>2023</v>
      </c>
      <c r="B65" s="3">
        <v>4</v>
      </c>
      <c r="C65" s="3">
        <v>560837</v>
      </c>
      <c r="D65" s="3">
        <v>26.183340758040053</v>
      </c>
      <c r="E65" s="3">
        <v>5.3610930408974093</v>
      </c>
      <c r="F65" s="3">
        <v>46974703</v>
      </c>
      <c r="G65" s="3">
        <v>-3.6655594066105524</v>
      </c>
      <c r="H65" s="3">
        <v>0.76150679171397617</v>
      </c>
    </row>
    <row r="66" spans="1:8" x14ac:dyDescent="0.3">
      <c r="A66" s="2">
        <v>2023</v>
      </c>
      <c r="B66" s="3">
        <v>5</v>
      </c>
      <c r="C66" s="3">
        <v>635000</v>
      </c>
      <c r="D66" s="3">
        <v>3.1240915741933106</v>
      </c>
      <c r="E66" s="3">
        <v>5.313561130730216</v>
      </c>
      <c r="F66" s="3">
        <v>47274610</v>
      </c>
      <c r="G66" s="3">
        <v>-8.0895045883303212</v>
      </c>
      <c r="H66" s="3">
        <v>0.69053689504997118</v>
      </c>
    </row>
    <row r="67" spans="1:8" x14ac:dyDescent="0.3">
      <c r="A67" s="2">
        <v>2023</v>
      </c>
      <c r="B67" s="3">
        <v>6</v>
      </c>
      <c r="C67" s="3">
        <v>587037</v>
      </c>
      <c r="D67" s="3">
        <v>26.224157393968706</v>
      </c>
      <c r="E67" s="3">
        <v>5.2561947390611241</v>
      </c>
      <c r="F67" s="3">
        <v>45831356</v>
      </c>
      <c r="G67" s="3">
        <v>-5.2998116569610616</v>
      </c>
      <c r="H67" s="3">
        <v>0.62556888490606244</v>
      </c>
    </row>
    <row r="68" spans="1:8" x14ac:dyDescent="0.3">
      <c r="A68" s="2">
        <v>2023</v>
      </c>
      <c r="B68" s="3">
        <v>7</v>
      </c>
      <c r="C68" s="3">
        <v>590199</v>
      </c>
      <c r="D68" s="3">
        <v>7.2864764640120594</v>
      </c>
      <c r="E68" s="3">
        <v>5.1875231349179627</v>
      </c>
      <c r="F68" s="3">
        <v>46540665</v>
      </c>
      <c r="G68" s="3">
        <v>-3.8293851871927909</v>
      </c>
      <c r="H68" s="3">
        <v>0.5668174733300666</v>
      </c>
    </row>
    <row r="69" spans="1:8" x14ac:dyDescent="0.3">
      <c r="A69" s="2">
        <v>2023</v>
      </c>
      <c r="B69" s="3">
        <v>8</v>
      </c>
      <c r="C69" s="3">
        <v>473711</v>
      </c>
      <c r="D69" s="3">
        <v>-1.1972026338457953</v>
      </c>
      <c r="E69" s="3">
        <v>5.1075316958462631</v>
      </c>
      <c r="F69" s="3">
        <v>44821922</v>
      </c>
      <c r="G69" s="3">
        <v>-5.8853842321649585</v>
      </c>
      <c r="H69" s="3">
        <v>0.51408588760994856</v>
      </c>
    </row>
    <row r="70" spans="1:8" x14ac:dyDescent="0.3">
      <c r="A70" s="2">
        <v>2023</v>
      </c>
      <c r="B70" s="3">
        <v>9</v>
      </c>
      <c r="C70" s="3">
        <v>753471</v>
      </c>
      <c r="D70" s="3">
        <v>34.519327073971517</v>
      </c>
      <c r="E70" s="3">
        <v>5.0163515600394115</v>
      </c>
      <c r="F70" s="3">
        <v>44092329</v>
      </c>
      <c r="G70" s="3">
        <v>-0.90210951385916172</v>
      </c>
      <c r="H70" s="3">
        <v>0.466872063182248</v>
      </c>
    </row>
    <row r="71" spans="1:8" x14ac:dyDescent="0.3">
      <c r="A71" s="2">
        <v>2023</v>
      </c>
      <c r="B71" s="3">
        <v>10</v>
      </c>
      <c r="C71" s="3">
        <v>527756</v>
      </c>
      <c r="D71" s="3">
        <v>-20.885769494259321</v>
      </c>
      <c r="E71" s="3">
        <v>4.9136760369178978</v>
      </c>
      <c r="F71" s="3">
        <v>45198641</v>
      </c>
      <c r="G71" s="3">
        <v>-3.4412954773661908</v>
      </c>
      <c r="H71" s="3">
        <v>0.42422952783629803</v>
      </c>
    </row>
    <row r="72" spans="1:8" x14ac:dyDescent="0.3">
      <c r="A72" s="2">
        <v>2023</v>
      </c>
      <c r="B72" s="3">
        <v>11</v>
      </c>
      <c r="C72" s="3">
        <v>612416</v>
      </c>
      <c r="D72" s="3">
        <v>13.741484469604103</v>
      </c>
      <c r="E72" s="3">
        <v>4.8012472536462347</v>
      </c>
      <c r="F72" s="3">
        <v>45076349</v>
      </c>
      <c r="G72" s="3">
        <v>4.7579972116033487</v>
      </c>
      <c r="H72" s="3">
        <v>0.38511674119635936</v>
      </c>
    </row>
    <row r="73" spans="1:8" x14ac:dyDescent="0.3">
      <c r="A73" s="2">
        <v>2023</v>
      </c>
      <c r="B73" s="3">
        <v>12</v>
      </c>
      <c r="C73" s="3">
        <v>598341</v>
      </c>
      <c r="D73" s="3">
        <v>10.847201406475504</v>
      </c>
      <c r="E73" s="3">
        <v>4.6790157092270483</v>
      </c>
      <c r="F73" s="3">
        <v>43593393</v>
      </c>
      <c r="G73" s="3">
        <v>-5.7184928763418741</v>
      </c>
      <c r="H73" s="3">
        <v>0.34822372365022042</v>
      </c>
    </row>
    <row r="74" spans="1:8" x14ac:dyDescent="0.3">
      <c r="A74" s="2">
        <v>2024</v>
      </c>
      <c r="B74" s="3">
        <v>1</v>
      </c>
      <c r="C74" s="3">
        <v>689932</v>
      </c>
      <c r="D74" s="3">
        <v>25.716472303206995</v>
      </c>
      <c r="E74" s="3">
        <v>4.5475527524696284</v>
      </c>
      <c r="F74" s="3">
        <v>45832320</v>
      </c>
      <c r="G74" s="3">
        <v>3.794879812949481</v>
      </c>
      <c r="H74" s="3">
        <v>0.31254416784055894</v>
      </c>
    </row>
    <row r="75" spans="1:8" x14ac:dyDescent="0.3">
      <c r="A75" s="2">
        <v>2024</v>
      </c>
      <c r="B75" s="3">
        <v>2</v>
      </c>
      <c r="C75" s="3">
        <v>540736</v>
      </c>
      <c r="D75" s="3">
        <v>3.5595135497462405</v>
      </c>
      <c r="E75" s="3">
        <v>4.4078580784122394</v>
      </c>
      <c r="F75" s="3">
        <v>43099097</v>
      </c>
      <c r="G75" s="3">
        <v>1.3276456691245553</v>
      </c>
      <c r="H75" s="3">
        <v>0.27665046664616433</v>
      </c>
    </row>
    <row r="76" spans="1:8" x14ac:dyDescent="0.3">
      <c r="A76" s="2">
        <v>2024</v>
      </c>
      <c r="B76" s="3">
        <v>3</v>
      </c>
      <c r="C76" s="3">
        <v>630885</v>
      </c>
      <c r="D76" s="3">
        <v>-0.41089965397923534</v>
      </c>
      <c r="E76" s="3">
        <v>4.2624014459508368</v>
      </c>
      <c r="F76" s="3">
        <v>47469561</v>
      </c>
      <c r="G76" s="3">
        <v>-9.8557567249635269E-2</v>
      </c>
      <c r="H76" s="3">
        <v>0.23935684181006966</v>
      </c>
    </row>
    <row r="77" spans="1:8" x14ac:dyDescent="0.3">
      <c r="A77" s="2">
        <v>2024</v>
      </c>
      <c r="B77" s="3">
        <v>4</v>
      </c>
      <c r="C77" s="3">
        <v>569397</v>
      </c>
      <c r="D77" s="3">
        <v>1.526290169871114</v>
      </c>
      <c r="E77" s="3">
        <v>4.1135937011668862</v>
      </c>
      <c r="F77" s="3">
        <v>49124219</v>
      </c>
      <c r="G77" s="3">
        <v>4.5759012036755253</v>
      </c>
      <c r="H77" s="3">
        <v>0.19955050085325798</v>
      </c>
    </row>
    <row r="78" spans="1:8" x14ac:dyDescent="0.3">
      <c r="A78" s="2">
        <v>2024</v>
      </c>
      <c r="B78" s="3">
        <v>5</v>
      </c>
      <c r="C78" s="3">
        <v>627256</v>
      </c>
      <c r="D78" s="3">
        <v>-1.2195275590551224</v>
      </c>
      <c r="E78" s="3">
        <v>3.9635211553432472</v>
      </c>
      <c r="F78" s="3">
        <v>51198942</v>
      </c>
      <c r="G78" s="3">
        <v>8.3011409295602903</v>
      </c>
      <c r="H78" s="3">
        <v>0.15609518501830541</v>
      </c>
    </row>
    <row r="79" spans="1:8" x14ac:dyDescent="0.3">
      <c r="A79" s="2">
        <v>2024</v>
      </c>
      <c r="B79" s="3">
        <v>6</v>
      </c>
      <c r="C79" s="3">
        <v>517550</v>
      </c>
      <c r="D79" s="3">
        <v>-11.836902955009654</v>
      </c>
      <c r="E79" s="3">
        <v>3.8140904459064395</v>
      </c>
      <c r="F79" s="3">
        <v>47404647</v>
      </c>
      <c r="G79" s="3">
        <v>3.4327830055912001</v>
      </c>
      <c r="H79" s="3">
        <v>0.10815854879103964</v>
      </c>
    </row>
    <row r="80" spans="1:8" x14ac:dyDescent="0.3">
      <c r="A80" s="2">
        <v>2024</v>
      </c>
      <c r="B80" s="3">
        <v>7</v>
      </c>
      <c r="C80" s="3">
        <v>539829</v>
      </c>
      <c r="D80" s="3">
        <v>-8.5344095804974263</v>
      </c>
      <c r="E80" s="3">
        <v>3.6668482763444841</v>
      </c>
      <c r="F80" s="3">
        <v>47216353</v>
      </c>
      <c r="G80" s="3">
        <v>1.4518228306363845</v>
      </c>
      <c r="H80" s="3">
        <v>5.5473874833992708E-2</v>
      </c>
    </row>
    <row r="81" spans="1:8" x14ac:dyDescent="0.3">
      <c r="A81" s="2">
        <v>2024</v>
      </c>
      <c r="B81" s="3">
        <v>8</v>
      </c>
      <c r="C81" s="3">
        <v>592661</v>
      </c>
      <c r="D81" s="3">
        <v>25.110246542723313</v>
      </c>
      <c r="E81" s="3">
        <v>3.5222544756036718</v>
      </c>
      <c r="F81" s="3">
        <v>46373927</v>
      </c>
      <c r="G81" s="3">
        <v>3.4626025184729903</v>
      </c>
      <c r="H81" s="3">
        <v>-1.9946774919144634E-3</v>
      </c>
    </row>
    <row r="82" spans="1:8" x14ac:dyDescent="0.3">
      <c r="A82" s="2">
        <v>2024</v>
      </c>
      <c r="B82" s="3">
        <v>9</v>
      </c>
      <c r="C82" s="3">
        <v>688543</v>
      </c>
      <c r="D82" s="3">
        <v>-8.6171863283391108</v>
      </c>
      <c r="E82" s="3">
        <v>3.3799215630569024</v>
      </c>
      <c r="F82" s="3">
        <v>45126073</v>
      </c>
      <c r="G82" s="3">
        <v>2.3444985180982369</v>
      </c>
      <c r="H82" s="3">
        <v>-6.4185980148274646E-2</v>
      </c>
    </row>
    <row r="83" spans="1:8" x14ac:dyDescent="0.3">
      <c r="A83" s="2">
        <v>2024</v>
      </c>
      <c r="B83" s="3">
        <v>10</v>
      </c>
      <c r="C83" s="3">
        <v>689804</v>
      </c>
      <c r="D83" s="3">
        <v>30.705098568277766</v>
      </c>
      <c r="E83" s="3">
        <v>3.2409612241928483</v>
      </c>
      <c r="F83" s="3">
        <v>46035908</v>
      </c>
      <c r="G83" s="3">
        <v>1.8524163149064687</v>
      </c>
      <c r="H83" s="3">
        <v>-0.13079830806918305</v>
      </c>
    </row>
    <row r="84" spans="1:8" x14ac:dyDescent="0.3">
      <c r="A84" s="2">
        <v>2024</v>
      </c>
      <c r="B84" s="3">
        <v>11</v>
      </c>
      <c r="C84" s="3">
        <v>601172</v>
      </c>
      <c r="D84" s="3">
        <v>-1.8360068972724464</v>
      </c>
      <c r="E84" s="3">
        <v>3.1056520120077238</v>
      </c>
      <c r="F84" s="3">
        <v>44796713</v>
      </c>
      <c r="G84" s="3">
        <v>-0.62036080162570784</v>
      </c>
      <c r="H84" s="3">
        <v>-0.2013626664319122</v>
      </c>
    </row>
    <row r="85" spans="1:8" x14ac:dyDescent="0.3">
      <c r="A85" s="2">
        <v>2024</v>
      </c>
      <c r="B85" s="3">
        <v>12</v>
      </c>
      <c r="C85" s="3">
        <v>525407</v>
      </c>
      <c r="D85" s="3">
        <v>-12.189370275478362</v>
      </c>
      <c r="E85" s="3">
        <v>2.9761797112577488</v>
      </c>
      <c r="F85" s="3">
        <v>44588017</v>
      </c>
      <c r="G85" s="3">
        <v>2.2815934515581393</v>
      </c>
      <c r="H85" s="3">
        <v>-0.27527233717602795</v>
      </c>
    </row>
    <row r="86" spans="1:8" x14ac:dyDescent="0.3">
      <c r="A86" s="2">
        <v>2025</v>
      </c>
      <c r="B86" s="3">
        <v>1</v>
      </c>
      <c r="C86" s="3">
        <v>416944</v>
      </c>
      <c r="D86" s="3">
        <v>-39.567377654609437</v>
      </c>
      <c r="E86" s="3">
        <v>2.8543869359415543</v>
      </c>
      <c r="F86" s="3">
        <v>43040909.57</v>
      </c>
      <c r="G86" s="3">
        <v>-6.0904846841704714</v>
      </c>
      <c r="H86" s="3">
        <v>-0.35194969933381798</v>
      </c>
    </row>
    <row r="87" spans="1:8" x14ac:dyDescent="0.3">
      <c r="A87" s="2">
        <v>2025</v>
      </c>
      <c r="B87" s="3">
        <v>2</v>
      </c>
      <c r="C87" s="3">
        <v>586974</v>
      </c>
      <c r="D87" s="3">
        <v>8.5509379808261343</v>
      </c>
      <c r="E87" s="3">
        <v>2.7410631368642475</v>
      </c>
      <c r="F87" s="3">
        <v>44457884.619999997</v>
      </c>
      <c r="G87" s="3">
        <v>3.1527055427634565</v>
      </c>
      <c r="H87" s="3">
        <v>-0.43063957181335227</v>
      </c>
    </row>
    <row r="88" spans="1:8" x14ac:dyDescent="0.3">
      <c r="A88" s="2">
        <v>2025</v>
      </c>
      <c r="B88" s="3">
        <v>3</v>
      </c>
      <c r="C88" s="3">
        <v>748122</v>
      </c>
      <c r="D88" s="3">
        <v>18.582943008630725</v>
      </c>
      <c r="E88" s="3">
        <v>2.6340518089565914</v>
      </c>
      <c r="F88" s="3">
        <v>47732829.350000001</v>
      </c>
      <c r="G88" s="3">
        <v>0.55460456017277782</v>
      </c>
      <c r="H88" s="3">
        <v>-0.5109852828966478</v>
      </c>
    </row>
    <row r="89" spans="1:8" x14ac:dyDescent="0.3">
      <c r="A89" s="2">
        <v>2025</v>
      </c>
      <c r="B89" s="3">
        <v>4</v>
      </c>
      <c r="C89" s="3">
        <v>521480</v>
      </c>
      <c r="D89" s="3">
        <v>-8.4153938289102328</v>
      </c>
      <c r="E89" s="3">
        <v>2.5315999106801801</v>
      </c>
      <c r="F89" s="3">
        <v>47424647.299999997</v>
      </c>
      <c r="G89" s="3">
        <v>-3.4597429426816984</v>
      </c>
      <c r="H89" s="3">
        <v>-0.59238131745498701</v>
      </c>
    </row>
    <row r="90" spans="1:8" x14ac:dyDescent="0.3">
      <c r="A90" s="2">
        <v>2025</v>
      </c>
      <c r="B90" s="3">
        <v>5</v>
      </c>
      <c r="C90" s="3">
        <v>633022</v>
      </c>
      <c r="D90" s="3">
        <v>0.91924190442180809</v>
      </c>
      <c r="E90" s="3">
        <v>2.4330619623854739</v>
      </c>
      <c r="F90" s="3">
        <v>47803330.060000002</v>
      </c>
      <c r="G90" s="3">
        <v>-6.6321916183346037</v>
      </c>
      <c r="H90" s="3">
        <v>-0.67414816106499476</v>
      </c>
    </row>
    <row r="91" spans="1:8" x14ac:dyDescent="0.3">
      <c r="A91" s="2">
        <v>2025</v>
      </c>
      <c r="B91" s="3">
        <v>6</v>
      </c>
      <c r="C91" s="3">
        <v>567905</v>
      </c>
      <c r="D91" s="3">
        <v>9.7294947348082417</v>
      </c>
      <c r="E91" s="3">
        <v>2.3370322765243499</v>
      </c>
      <c r="F91" s="3">
        <v>45388524.340000004</v>
      </c>
      <c r="G91" s="3">
        <v>-4.2530063772017845</v>
      </c>
      <c r="H91" s="3">
        <v>-0.75580542163838105</v>
      </c>
    </row>
    <row r="92" spans="1:8" x14ac:dyDescent="0.3">
      <c r="A92" s="2">
        <v>2025</v>
      </c>
      <c r="B92" s="3">
        <v>7</v>
      </c>
      <c r="C92" s="3">
        <v>629469</v>
      </c>
      <c r="D92" s="3">
        <v>16.605258331805061</v>
      </c>
      <c r="E92" s="3">
        <v>2.2420000391557711</v>
      </c>
      <c r="F92" s="3">
        <v>48019178.259999998</v>
      </c>
      <c r="G92" s="3">
        <v>1.7003118813517792</v>
      </c>
      <c r="H92" s="3">
        <v>-0.83728646010472174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topLeftCell="A79" workbookViewId="0">
      <selection activeCell="A2" sqref="A2:H92"/>
    </sheetView>
  </sheetViews>
  <sheetFormatPr baseColWidth="10" defaultColWidth="11.42578125" defaultRowHeight="13.5" x14ac:dyDescent="0.3"/>
  <cols>
    <col min="1" max="1" width="4.42578125" style="2" bestFit="1" customWidth="1"/>
    <col min="2" max="2" width="8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140</v>
      </c>
      <c r="D1" s="2" t="s">
        <v>141</v>
      </c>
      <c r="E1" s="2" t="s">
        <v>142</v>
      </c>
      <c r="F1" s="2" t="s">
        <v>143</v>
      </c>
      <c r="G1" s="2" t="s">
        <v>144</v>
      </c>
      <c r="H1" s="2" t="s">
        <v>145</v>
      </c>
    </row>
    <row r="2" spans="1:8" x14ac:dyDescent="0.3">
      <c r="A2" s="2">
        <v>2018</v>
      </c>
      <c r="B2" s="3">
        <v>1</v>
      </c>
      <c r="C2" s="3">
        <v>76.093000000000004</v>
      </c>
      <c r="D2" s="3">
        <v>10.8</v>
      </c>
      <c r="E2" s="3">
        <v>6.1898113718999053</v>
      </c>
      <c r="F2" s="3">
        <v>85.364999999999995</v>
      </c>
      <c r="G2" s="3">
        <v>7.4</v>
      </c>
      <c r="H2" s="3">
        <v>4.5693967979226304</v>
      </c>
    </row>
    <row r="3" spans="1:8" x14ac:dyDescent="0.3">
      <c r="A3" s="2">
        <v>2018</v>
      </c>
      <c r="B3" s="3">
        <v>2</v>
      </c>
      <c r="C3" s="3">
        <v>72.049000000000007</v>
      </c>
      <c r="D3" s="3">
        <v>11.2</v>
      </c>
      <c r="E3" s="3">
        <v>6.1023701950344202</v>
      </c>
      <c r="F3" s="3">
        <v>82.700999999999993</v>
      </c>
      <c r="G3" s="3">
        <v>6.6</v>
      </c>
      <c r="H3" s="3">
        <v>4.4204787396805294</v>
      </c>
    </row>
    <row r="4" spans="1:8" x14ac:dyDescent="0.3">
      <c r="A4" s="2">
        <v>2018</v>
      </c>
      <c r="B4" s="3">
        <v>3</v>
      </c>
      <c r="C4" s="3">
        <v>81.019000000000005</v>
      </c>
      <c r="D4" s="3">
        <v>7.8</v>
      </c>
      <c r="E4" s="3">
        <v>6.002152308803697</v>
      </c>
      <c r="F4" s="3">
        <v>92.253</v>
      </c>
      <c r="G4" s="3">
        <v>3.4</v>
      </c>
      <c r="H4" s="3">
        <v>4.2614590304846045</v>
      </c>
    </row>
    <row r="5" spans="1:8" x14ac:dyDescent="0.3">
      <c r="A5" s="2">
        <v>2018</v>
      </c>
      <c r="B5" s="3">
        <v>4</v>
      </c>
      <c r="C5" s="3">
        <v>80.655000000000001</v>
      </c>
      <c r="D5" s="3">
        <v>10.5</v>
      </c>
      <c r="E5" s="3">
        <v>5.8896184158031533</v>
      </c>
      <c r="F5" s="3">
        <v>90.352000000000004</v>
      </c>
      <c r="G5" s="3">
        <v>7.2</v>
      </c>
      <c r="H5" s="3">
        <v>4.0930539680395057</v>
      </c>
    </row>
    <row r="6" spans="1:8" x14ac:dyDescent="0.3">
      <c r="A6" s="2">
        <v>2018</v>
      </c>
      <c r="B6" s="3">
        <v>5</v>
      </c>
      <c r="C6" s="3">
        <v>85.472999999999999</v>
      </c>
      <c r="D6" s="3">
        <v>10.199999999999999</v>
      </c>
      <c r="E6" s="3">
        <v>5.765354069162318</v>
      </c>
      <c r="F6" s="3">
        <v>96.004000000000005</v>
      </c>
      <c r="G6" s="3">
        <v>6.8</v>
      </c>
      <c r="H6" s="3">
        <v>3.9159200265060994</v>
      </c>
    </row>
    <row r="7" spans="1:8" x14ac:dyDescent="0.3">
      <c r="A7" s="2">
        <v>2018</v>
      </c>
      <c r="B7" s="3">
        <v>6</v>
      </c>
      <c r="C7" s="3">
        <v>87.31</v>
      </c>
      <c r="D7" s="3">
        <v>7.8</v>
      </c>
      <c r="E7" s="3">
        <v>5.6302649873985109</v>
      </c>
      <c r="F7" s="3">
        <v>98.414000000000001</v>
      </c>
      <c r="G7" s="3">
        <v>5.6</v>
      </c>
      <c r="H7" s="3">
        <v>3.7309294401863626</v>
      </c>
    </row>
    <row r="8" spans="1:8" x14ac:dyDescent="0.3">
      <c r="A8" s="2">
        <v>2018</v>
      </c>
      <c r="B8" s="3">
        <v>7</v>
      </c>
      <c r="C8" s="3">
        <v>95.852999999999994</v>
      </c>
      <c r="D8" s="3">
        <v>10.1</v>
      </c>
      <c r="E8" s="3">
        <v>5.485564850552028</v>
      </c>
      <c r="F8" s="3">
        <v>100.214</v>
      </c>
      <c r="G8" s="3">
        <v>7.9</v>
      </c>
      <c r="H8" s="3">
        <v>3.5391547267137642</v>
      </c>
    </row>
    <row r="9" spans="1:8" x14ac:dyDescent="0.3">
      <c r="A9" s="2">
        <v>2018</v>
      </c>
      <c r="B9" s="3">
        <v>8</v>
      </c>
      <c r="C9" s="3">
        <v>94.313999999999993</v>
      </c>
      <c r="D9" s="3">
        <v>5.7</v>
      </c>
      <c r="E9" s="3">
        <v>5.3326180147057078</v>
      </c>
      <c r="F9" s="3">
        <v>89.814999999999998</v>
      </c>
      <c r="G9" s="3">
        <v>8.1</v>
      </c>
      <c r="H9" s="3">
        <v>3.3417982002884266</v>
      </c>
    </row>
    <row r="10" spans="1:8" x14ac:dyDescent="0.3">
      <c r="A10" s="2">
        <v>2018</v>
      </c>
      <c r="B10" s="3">
        <v>9</v>
      </c>
      <c r="C10" s="3">
        <v>85.372</v>
      </c>
      <c r="D10" s="3">
        <v>4.8</v>
      </c>
      <c r="E10" s="3">
        <v>5.1731092828277658</v>
      </c>
      <c r="F10" s="3">
        <v>93.227999999999994</v>
      </c>
      <c r="G10" s="3">
        <v>4.3</v>
      </c>
      <c r="H10" s="3">
        <v>3.1403650115877841</v>
      </c>
    </row>
    <row r="11" spans="1:8" x14ac:dyDescent="0.3">
      <c r="A11" s="2">
        <v>2018</v>
      </c>
      <c r="B11" s="3">
        <v>10</v>
      </c>
      <c r="C11" s="3">
        <v>88.882999999999996</v>
      </c>
      <c r="D11" s="3">
        <v>10.3</v>
      </c>
      <c r="E11" s="3">
        <v>5.0087489705242856</v>
      </c>
      <c r="F11" s="3">
        <v>97.972999999999999</v>
      </c>
      <c r="G11" s="3">
        <v>8.4</v>
      </c>
      <c r="H11" s="3">
        <v>2.936690741969807</v>
      </c>
    </row>
    <row r="12" spans="1:8" x14ac:dyDescent="0.3">
      <c r="A12" s="2">
        <v>2018</v>
      </c>
      <c r="B12" s="3">
        <v>11</v>
      </c>
      <c r="C12" s="3">
        <v>85.77</v>
      </c>
      <c r="D12" s="3">
        <v>7.5</v>
      </c>
      <c r="E12" s="3">
        <v>4.841221483034488</v>
      </c>
      <c r="F12" s="3">
        <v>95.941999999999993</v>
      </c>
      <c r="G12" s="3">
        <v>5.7</v>
      </c>
      <c r="H12" s="3">
        <v>2.7326915029999941</v>
      </c>
    </row>
    <row r="13" spans="1:8" x14ac:dyDescent="0.3">
      <c r="A13" s="2">
        <v>2018</v>
      </c>
      <c r="B13" s="3">
        <v>12</v>
      </c>
      <c r="C13" s="3">
        <v>91.869</v>
      </c>
      <c r="D13" s="3">
        <v>3</v>
      </c>
      <c r="E13" s="3">
        <v>4.6725786735857522</v>
      </c>
      <c r="F13" s="3">
        <v>98.951999999999998</v>
      </c>
      <c r="G13" s="3">
        <v>2.7</v>
      </c>
      <c r="H13" s="3">
        <v>2.5306628027200966</v>
      </c>
    </row>
    <row r="14" spans="1:8" x14ac:dyDescent="0.3">
      <c r="A14" s="2">
        <v>2019</v>
      </c>
      <c r="B14" s="3">
        <v>1</v>
      </c>
      <c r="C14" s="3">
        <v>83.236999999999995</v>
      </c>
      <c r="D14" s="3">
        <v>9.4</v>
      </c>
      <c r="E14" s="3">
        <v>4.5050570328024691</v>
      </c>
      <c r="F14" s="3">
        <v>90.042000000000002</v>
      </c>
      <c r="G14" s="3">
        <v>5.5</v>
      </c>
      <c r="H14" s="3">
        <v>2.3331062122619346</v>
      </c>
    </row>
    <row r="15" spans="1:8" x14ac:dyDescent="0.3">
      <c r="A15" s="2">
        <v>2019</v>
      </c>
      <c r="B15" s="3">
        <v>2</v>
      </c>
      <c r="C15" s="3">
        <v>78.171999999999997</v>
      </c>
      <c r="D15" s="3">
        <v>8.5</v>
      </c>
      <c r="E15" s="3">
        <v>4.3407769000122531</v>
      </c>
      <c r="F15" s="3">
        <v>86.83</v>
      </c>
      <c r="G15" s="3">
        <v>5</v>
      </c>
      <c r="H15" s="3">
        <v>2.1425350622849173</v>
      </c>
    </row>
    <row r="16" spans="1:8" x14ac:dyDescent="0.3">
      <c r="A16" s="2">
        <v>2019</v>
      </c>
      <c r="B16" s="3">
        <v>3</v>
      </c>
      <c r="C16" s="3">
        <v>87.834000000000003</v>
      </c>
      <c r="D16" s="3">
        <v>8.4</v>
      </c>
      <c r="E16" s="3">
        <v>4.1821985411376641</v>
      </c>
      <c r="F16" s="3">
        <v>96.495999999999995</v>
      </c>
      <c r="G16" s="3">
        <v>4.5999999999999996</v>
      </c>
      <c r="H16" s="3">
        <v>1.9616826066281579</v>
      </c>
    </row>
    <row r="17" spans="1:8" x14ac:dyDescent="0.3">
      <c r="A17" s="2">
        <v>2019</v>
      </c>
      <c r="B17" s="3">
        <v>4</v>
      </c>
      <c r="C17" s="3">
        <v>87.457999999999998</v>
      </c>
      <c r="D17" s="3">
        <v>8.4</v>
      </c>
      <c r="E17" s="3">
        <v>4.0320710570387597</v>
      </c>
      <c r="F17" s="3">
        <v>95.965000000000003</v>
      </c>
      <c r="G17" s="3">
        <v>6.2</v>
      </c>
      <c r="H17" s="3">
        <v>1.793480534195889</v>
      </c>
    </row>
    <row r="18" spans="1:8" x14ac:dyDescent="0.3">
      <c r="A18" s="2">
        <v>2019</v>
      </c>
      <c r="B18" s="3">
        <v>5</v>
      </c>
      <c r="C18" s="3">
        <v>92.87</v>
      </c>
      <c r="D18" s="3">
        <v>8.6999999999999993</v>
      </c>
      <c r="E18" s="3">
        <v>3.8934364514546855</v>
      </c>
      <c r="F18" s="3">
        <v>100.179</v>
      </c>
      <c r="G18" s="3">
        <v>4.3</v>
      </c>
      <c r="H18" s="3">
        <v>1.6410437503779942</v>
      </c>
    </row>
    <row r="19" spans="1:8" x14ac:dyDescent="0.3">
      <c r="A19" s="2">
        <v>2019</v>
      </c>
      <c r="B19" s="3">
        <v>6</v>
      </c>
      <c r="C19" s="3">
        <v>89.68</v>
      </c>
      <c r="D19" s="3">
        <v>2.7</v>
      </c>
      <c r="E19" s="3">
        <v>3.7696400565234063</v>
      </c>
      <c r="F19" s="3">
        <v>100.565</v>
      </c>
      <c r="G19" s="3">
        <v>2.2000000000000002</v>
      </c>
      <c r="H19" s="3">
        <v>1.5077931688605934</v>
      </c>
    </row>
    <row r="20" spans="1:8" x14ac:dyDescent="0.3">
      <c r="A20" s="2">
        <v>2019</v>
      </c>
      <c r="B20" s="3">
        <v>7</v>
      </c>
      <c r="C20" s="3">
        <v>100.425</v>
      </c>
      <c r="D20" s="3">
        <v>4.8</v>
      </c>
      <c r="E20" s="3">
        <v>3.6643609935182018</v>
      </c>
      <c r="F20" s="3">
        <v>105.331</v>
      </c>
      <c r="G20" s="3">
        <v>5.0999999999999996</v>
      </c>
      <c r="H20" s="3">
        <v>1.3973343530693638</v>
      </c>
    </row>
    <row r="21" spans="1:8" x14ac:dyDescent="0.3">
      <c r="A21" s="2">
        <v>2019</v>
      </c>
      <c r="B21" s="3">
        <v>8</v>
      </c>
      <c r="C21" s="3">
        <v>97.849000000000004</v>
      </c>
      <c r="D21" s="3">
        <v>3.7</v>
      </c>
      <c r="E21" s="3">
        <v>3.5812041031528703</v>
      </c>
      <c r="F21" s="3">
        <v>90.831999999999994</v>
      </c>
      <c r="G21" s="3">
        <v>1.1000000000000001</v>
      </c>
      <c r="H21" s="3">
        <v>1.3133209363488112</v>
      </c>
    </row>
    <row r="22" spans="1:8" x14ac:dyDescent="0.3">
      <c r="A22" s="2">
        <v>2019</v>
      </c>
      <c r="B22" s="3">
        <v>9</v>
      </c>
      <c r="C22" s="3">
        <v>89.221000000000004</v>
      </c>
      <c r="D22" s="3">
        <v>4.5</v>
      </c>
      <c r="E22" s="3">
        <v>3.5238530899611051</v>
      </c>
      <c r="F22" s="3">
        <v>96.497</v>
      </c>
      <c r="G22" s="3">
        <v>3.5</v>
      </c>
      <c r="H22" s="3">
        <v>1.2596636816022566</v>
      </c>
    </row>
    <row r="23" spans="1:8" x14ac:dyDescent="0.3">
      <c r="A23" s="2">
        <v>2019</v>
      </c>
      <c r="B23" s="3">
        <v>10</v>
      </c>
      <c r="C23" s="3">
        <v>93.661000000000001</v>
      </c>
      <c r="D23" s="3">
        <v>5.4</v>
      </c>
      <c r="E23" s="3">
        <v>3.4959999081916591</v>
      </c>
      <c r="F23" s="3">
        <v>101.87</v>
      </c>
      <c r="G23" s="3">
        <v>4</v>
      </c>
      <c r="H23" s="3">
        <v>1.2402585377791076</v>
      </c>
    </row>
    <row r="24" spans="1:8" x14ac:dyDescent="0.3">
      <c r="A24" s="2">
        <v>2019</v>
      </c>
      <c r="B24" s="3">
        <v>11</v>
      </c>
      <c r="C24" s="3">
        <v>87.557000000000002</v>
      </c>
      <c r="D24" s="3">
        <v>2.1</v>
      </c>
      <c r="E24" s="3">
        <v>3.5014043000731485</v>
      </c>
      <c r="F24" s="3">
        <v>96.835999999999999</v>
      </c>
      <c r="G24" s="3">
        <v>0.9</v>
      </c>
      <c r="H24" s="3">
        <v>1.2591570327397716</v>
      </c>
    </row>
    <row r="25" spans="1:8" x14ac:dyDescent="0.3">
      <c r="A25" s="2">
        <v>2019</v>
      </c>
      <c r="B25" s="3">
        <v>12</v>
      </c>
      <c r="C25" s="3">
        <v>94.989000000000004</v>
      </c>
      <c r="D25" s="3">
        <v>3.4</v>
      </c>
      <c r="E25" s="3">
        <v>3.5439582300627879</v>
      </c>
      <c r="F25" s="3">
        <v>103.944</v>
      </c>
      <c r="G25" s="3">
        <v>5</v>
      </c>
      <c r="H25" s="3">
        <v>1.3206023430573106</v>
      </c>
    </row>
    <row r="26" spans="1:8" x14ac:dyDescent="0.3">
      <c r="A26" s="2">
        <v>2020</v>
      </c>
      <c r="B26" s="3">
        <v>1</v>
      </c>
      <c r="C26" s="3">
        <v>86.09</v>
      </c>
      <c r="D26" s="3">
        <v>3.4</v>
      </c>
      <c r="E26" s="3">
        <v>3.6274563428747308</v>
      </c>
      <c r="F26" s="3">
        <v>92.001999999999995</v>
      </c>
      <c r="G26" s="3">
        <v>2.2000000000000002</v>
      </c>
      <c r="H26" s="3">
        <v>1.4288127038441794</v>
      </c>
    </row>
    <row r="27" spans="1:8" x14ac:dyDescent="0.3">
      <c r="A27" s="2">
        <v>2020</v>
      </c>
      <c r="B27" s="3">
        <v>2</v>
      </c>
      <c r="C27" s="3">
        <v>79.774000000000001</v>
      </c>
      <c r="D27" s="3">
        <v>2</v>
      </c>
      <c r="E27" s="3">
        <v>3.7556832861238214</v>
      </c>
      <c r="F27" s="3">
        <v>89.655000000000001</v>
      </c>
      <c r="G27" s="3">
        <v>3.3</v>
      </c>
      <c r="H27" s="3">
        <v>1.5882618639390087</v>
      </c>
    </row>
    <row r="28" spans="1:8" x14ac:dyDescent="0.3">
      <c r="A28" s="2">
        <v>2020</v>
      </c>
      <c r="B28" s="3">
        <v>3</v>
      </c>
      <c r="C28" s="3">
        <v>68.771000000000001</v>
      </c>
      <c r="D28" s="3">
        <v>-21.7</v>
      </c>
      <c r="E28" s="3">
        <v>3.9324079118455368</v>
      </c>
      <c r="F28" s="3">
        <v>78.236000000000004</v>
      </c>
      <c r="G28" s="3">
        <v>-18.899999999999999</v>
      </c>
      <c r="H28" s="3">
        <v>1.8034771268537735</v>
      </c>
    </row>
    <row r="29" spans="1:8" x14ac:dyDescent="0.3">
      <c r="A29" s="2">
        <v>2020</v>
      </c>
      <c r="B29" s="3">
        <v>4</v>
      </c>
      <c r="C29" s="3">
        <v>51.097000000000001</v>
      </c>
      <c r="D29" s="3">
        <v>-41.6</v>
      </c>
      <c r="E29" s="3">
        <v>4.1612771496249295</v>
      </c>
      <c r="F29" s="3">
        <v>56.131</v>
      </c>
      <c r="G29" s="3">
        <v>-41.5</v>
      </c>
      <c r="H29" s="3">
        <v>2.0791046668043416</v>
      </c>
    </row>
    <row r="30" spans="1:8" x14ac:dyDescent="0.3">
      <c r="A30" s="2">
        <v>2020</v>
      </c>
      <c r="B30" s="3">
        <v>5</v>
      </c>
      <c r="C30" s="3">
        <v>63.997999999999998</v>
      </c>
      <c r="D30" s="3">
        <v>-31.1</v>
      </c>
      <c r="E30" s="3">
        <v>4.4441579007198406</v>
      </c>
      <c r="F30" s="3">
        <v>66.44</v>
      </c>
      <c r="G30" s="3">
        <v>-33.700000000000003</v>
      </c>
      <c r="H30" s="3">
        <v>2.4183529165394386</v>
      </c>
    </row>
    <row r="31" spans="1:8" x14ac:dyDescent="0.3">
      <c r="A31" s="2">
        <v>2020</v>
      </c>
      <c r="B31" s="3">
        <v>6</v>
      </c>
      <c r="C31" s="3">
        <v>79.998000000000005</v>
      </c>
      <c r="D31" s="3">
        <v>-10.8</v>
      </c>
      <c r="E31" s="3">
        <v>4.7797391999193879</v>
      </c>
      <c r="F31" s="3">
        <v>82.453999999999994</v>
      </c>
      <c r="G31" s="3">
        <v>-18</v>
      </c>
      <c r="H31" s="3">
        <v>2.8214039820948176</v>
      </c>
    </row>
    <row r="32" spans="1:8" x14ac:dyDescent="0.3">
      <c r="A32" s="2">
        <v>2020</v>
      </c>
      <c r="B32" s="3">
        <v>7</v>
      </c>
      <c r="C32" s="3">
        <v>98.22</v>
      </c>
      <c r="D32" s="3">
        <v>-2.2000000000000002</v>
      </c>
      <c r="E32" s="3">
        <v>5.1642417377140273</v>
      </c>
      <c r="F32" s="3">
        <v>90.924999999999997</v>
      </c>
      <c r="G32" s="3">
        <v>-13.7</v>
      </c>
      <c r="H32" s="3">
        <v>3.2859317505536936</v>
      </c>
    </row>
    <row r="33" spans="1:8" x14ac:dyDescent="0.3">
      <c r="A33" s="2">
        <v>2020</v>
      </c>
      <c r="B33" s="3">
        <v>8</v>
      </c>
      <c r="C33" s="3">
        <v>90.271000000000001</v>
      </c>
      <c r="D33" s="3">
        <v>-7.7</v>
      </c>
      <c r="E33" s="3">
        <v>5.5928042782608873</v>
      </c>
      <c r="F33" s="3">
        <v>76.887</v>
      </c>
      <c r="G33" s="3">
        <v>-15.4</v>
      </c>
      <c r="H33" s="3">
        <v>3.8081641781671922</v>
      </c>
    </row>
    <row r="34" spans="1:8" x14ac:dyDescent="0.3">
      <c r="A34" s="2">
        <v>2020</v>
      </c>
      <c r="B34" s="3">
        <v>9</v>
      </c>
      <c r="C34" s="3">
        <v>85.129000000000005</v>
      </c>
      <c r="D34" s="3">
        <v>-4.5999999999999996</v>
      </c>
      <c r="E34" s="3">
        <v>6.0600541800408676</v>
      </c>
      <c r="F34" s="3">
        <v>84.206000000000003</v>
      </c>
      <c r="G34" s="3">
        <v>-12.7</v>
      </c>
      <c r="H34" s="3">
        <v>4.3831496425926506</v>
      </c>
    </row>
    <row r="35" spans="1:8" x14ac:dyDescent="0.3">
      <c r="A35" s="2">
        <v>2020</v>
      </c>
      <c r="B35" s="3">
        <v>10</v>
      </c>
      <c r="C35" s="3">
        <v>85.614999999999995</v>
      </c>
      <c r="D35" s="3">
        <v>-8.6</v>
      </c>
      <c r="E35" s="3">
        <v>6.5596956901266532</v>
      </c>
      <c r="F35" s="3">
        <v>87.528000000000006</v>
      </c>
      <c r="G35" s="3">
        <v>-14.1</v>
      </c>
      <c r="H35" s="3">
        <v>5.0046026211972565</v>
      </c>
    </row>
    <row r="36" spans="1:8" x14ac:dyDescent="0.3">
      <c r="A36" s="2">
        <v>2020</v>
      </c>
      <c r="B36" s="3">
        <v>11</v>
      </c>
      <c r="C36" s="3">
        <v>80.518000000000001</v>
      </c>
      <c r="D36" s="3">
        <v>-8</v>
      </c>
      <c r="E36" s="3">
        <v>7.0846927740506507</v>
      </c>
      <c r="F36" s="3">
        <v>84.593999999999994</v>
      </c>
      <c r="G36" s="3">
        <v>-12.6</v>
      </c>
      <c r="H36" s="3">
        <v>5.6650512615119073</v>
      </c>
    </row>
    <row r="37" spans="1:8" x14ac:dyDescent="0.3">
      <c r="A37" s="2">
        <v>2020</v>
      </c>
      <c r="B37" s="3">
        <v>12</v>
      </c>
      <c r="C37" s="3">
        <v>90.903000000000006</v>
      </c>
      <c r="D37" s="3">
        <v>-4.3</v>
      </c>
      <c r="E37" s="3">
        <v>7.6269566407001168</v>
      </c>
      <c r="F37" s="3">
        <v>94.915000000000006</v>
      </c>
      <c r="G37" s="3">
        <v>-8.6999999999999993</v>
      </c>
      <c r="H37" s="3">
        <v>6.35569700255214</v>
      </c>
    </row>
    <row r="38" spans="1:8" x14ac:dyDescent="0.3">
      <c r="A38" s="2">
        <v>2021</v>
      </c>
      <c r="B38" s="3">
        <v>1</v>
      </c>
      <c r="C38" s="3">
        <v>75.162999999999997</v>
      </c>
      <c r="D38" s="3">
        <v>-12.7</v>
      </c>
      <c r="E38" s="3">
        <v>8.1773509508530005</v>
      </c>
      <c r="F38" s="3">
        <v>77.259</v>
      </c>
      <c r="G38" s="3">
        <v>-16</v>
      </c>
      <c r="H38" s="3">
        <v>7.0664728769958867</v>
      </c>
    </row>
    <row r="39" spans="1:8" x14ac:dyDescent="0.3">
      <c r="A39" s="2">
        <v>2021</v>
      </c>
      <c r="B39" s="3">
        <v>2</v>
      </c>
      <c r="C39" s="3">
        <v>73.819999999999993</v>
      </c>
      <c r="D39" s="3">
        <v>-7.5</v>
      </c>
      <c r="E39" s="3">
        <v>8.7259111044094215</v>
      </c>
      <c r="F39" s="3">
        <v>78.935000000000002</v>
      </c>
      <c r="G39" s="3">
        <v>-12</v>
      </c>
      <c r="H39" s="3">
        <v>7.7862663830070122</v>
      </c>
    </row>
    <row r="40" spans="1:8" x14ac:dyDescent="0.3">
      <c r="A40" s="2">
        <v>2021</v>
      </c>
      <c r="B40" s="3">
        <v>3</v>
      </c>
      <c r="C40" s="3">
        <v>89.683000000000007</v>
      </c>
      <c r="D40" s="3">
        <v>30.4</v>
      </c>
      <c r="E40" s="3">
        <v>9.2612226852312443</v>
      </c>
      <c r="F40" s="3">
        <v>95.924000000000007</v>
      </c>
      <c r="G40" s="3">
        <v>22.6</v>
      </c>
      <c r="H40" s="3">
        <v>8.5023631803551467</v>
      </c>
    </row>
    <row r="41" spans="1:8" x14ac:dyDescent="0.3">
      <c r="A41" s="2">
        <v>2021</v>
      </c>
      <c r="B41" s="3">
        <v>4</v>
      </c>
      <c r="C41" s="3">
        <v>83.137</v>
      </c>
      <c r="D41" s="3">
        <v>62.7</v>
      </c>
      <c r="E41" s="3">
        <v>9.7707444777980825</v>
      </c>
      <c r="F41" s="3">
        <v>89.706000000000003</v>
      </c>
      <c r="G41" s="3">
        <v>59.8</v>
      </c>
      <c r="H41" s="3">
        <v>9.2006748825333204</v>
      </c>
    </row>
    <row r="42" spans="1:8" x14ac:dyDescent="0.3">
      <c r="A42" s="2">
        <v>2021</v>
      </c>
      <c r="B42" s="3">
        <v>5</v>
      </c>
      <c r="C42" s="3">
        <v>90.322999999999993</v>
      </c>
      <c r="D42" s="3">
        <v>41.1</v>
      </c>
      <c r="E42" s="3">
        <v>10.243403237236409</v>
      </c>
      <c r="F42" s="3">
        <v>94.635000000000005</v>
      </c>
      <c r="G42" s="3">
        <v>42.4</v>
      </c>
      <c r="H42" s="3">
        <v>9.8680921055914865</v>
      </c>
    </row>
    <row r="43" spans="1:8" x14ac:dyDescent="0.3">
      <c r="A43" s="2">
        <v>2021</v>
      </c>
      <c r="B43" s="3">
        <v>6</v>
      </c>
      <c r="C43" s="3">
        <v>103.69</v>
      </c>
      <c r="D43" s="3">
        <v>29.6</v>
      </c>
      <c r="E43" s="3">
        <v>10.671801361417296</v>
      </c>
      <c r="F43" s="3">
        <v>105.30800000000001</v>
      </c>
      <c r="G43" s="3">
        <v>27.7</v>
      </c>
      <c r="H43" s="3">
        <v>10.495019307601645</v>
      </c>
    </row>
    <row r="44" spans="1:8" x14ac:dyDescent="0.3">
      <c r="A44" s="2">
        <v>2021</v>
      </c>
      <c r="B44" s="3">
        <v>7</v>
      </c>
      <c r="C44" s="3">
        <v>123.739</v>
      </c>
      <c r="D44" s="3">
        <v>26</v>
      </c>
      <c r="E44" s="3">
        <v>11.050684067431451</v>
      </c>
      <c r="F44" s="3">
        <v>110.23</v>
      </c>
      <c r="G44" s="3">
        <v>21.2</v>
      </c>
      <c r="H44" s="3">
        <v>11.074120106906243</v>
      </c>
    </row>
    <row r="45" spans="1:8" x14ac:dyDescent="0.3">
      <c r="A45" s="2">
        <v>2021</v>
      </c>
      <c r="B45" s="3">
        <v>8</v>
      </c>
      <c r="C45" s="3">
        <v>129.077</v>
      </c>
      <c r="D45" s="3">
        <v>43</v>
      </c>
      <c r="E45" s="3">
        <v>11.376111030608371</v>
      </c>
      <c r="F45" s="3">
        <v>101.667</v>
      </c>
      <c r="G45" s="3">
        <v>32.200000000000003</v>
      </c>
      <c r="H45" s="3">
        <v>11.599252912173586</v>
      </c>
    </row>
    <row r="46" spans="1:8" x14ac:dyDescent="0.3">
      <c r="A46" s="2">
        <v>2021</v>
      </c>
      <c r="B46" s="3">
        <v>9</v>
      </c>
      <c r="C46" s="3">
        <v>111.352</v>
      </c>
      <c r="D46" s="3">
        <v>30.8</v>
      </c>
      <c r="E46" s="3">
        <v>11.645180073217315</v>
      </c>
      <c r="F46" s="3">
        <v>107.66200000000001</v>
      </c>
      <c r="G46" s="3">
        <v>27.9</v>
      </c>
      <c r="H46" s="3">
        <v>12.064979318175668</v>
      </c>
    </row>
    <row r="47" spans="1:8" x14ac:dyDescent="0.3">
      <c r="A47" s="2">
        <v>2021</v>
      </c>
      <c r="B47" s="3">
        <v>10</v>
      </c>
      <c r="C47" s="3">
        <v>107.086</v>
      </c>
      <c r="D47" s="3">
        <v>25.1</v>
      </c>
      <c r="E47" s="3">
        <v>11.857185120928197</v>
      </c>
      <c r="F47" s="3">
        <v>110.417</v>
      </c>
      <c r="G47" s="3">
        <v>26.2</v>
      </c>
      <c r="H47" s="3">
        <v>12.467291527121136</v>
      </c>
    </row>
    <row r="48" spans="1:8" x14ac:dyDescent="0.3">
      <c r="A48" s="2">
        <v>2021</v>
      </c>
      <c r="B48" s="3">
        <v>11</v>
      </c>
      <c r="C48" s="3">
        <v>102.026</v>
      </c>
      <c r="D48" s="3">
        <v>26.7</v>
      </c>
      <c r="E48" s="3">
        <v>12.012750295239183</v>
      </c>
      <c r="F48" s="3">
        <v>110.76</v>
      </c>
      <c r="G48" s="3">
        <v>30.9</v>
      </c>
      <c r="H48" s="3">
        <v>12.803281395432654</v>
      </c>
    </row>
    <row r="49" spans="1:8" x14ac:dyDescent="0.3">
      <c r="A49" s="2">
        <v>2021</v>
      </c>
      <c r="B49" s="3">
        <v>12</v>
      </c>
      <c r="C49" s="3">
        <v>110.904</v>
      </c>
      <c r="D49" s="3">
        <v>22</v>
      </c>
      <c r="E49" s="3">
        <v>12.113419357570598</v>
      </c>
      <c r="F49" s="3">
        <v>117.495</v>
      </c>
      <c r="G49" s="3">
        <v>23.8</v>
      </c>
      <c r="H49" s="3">
        <v>13.070994439843503</v>
      </c>
    </row>
    <row r="50" spans="1:8" x14ac:dyDescent="0.3">
      <c r="A50" s="2">
        <v>2022</v>
      </c>
      <c r="B50" s="3">
        <v>1</v>
      </c>
      <c r="C50" s="3">
        <v>89.921000000000006</v>
      </c>
      <c r="D50" s="3">
        <v>19.600000000000001</v>
      </c>
      <c r="E50" s="3">
        <v>12.161756017238931</v>
      </c>
      <c r="F50" s="3">
        <v>99.373999999999995</v>
      </c>
      <c r="G50" s="3">
        <v>28.6</v>
      </c>
      <c r="H50" s="3">
        <v>13.269732893656723</v>
      </c>
    </row>
    <row r="51" spans="1:8" x14ac:dyDescent="0.3">
      <c r="A51" s="2">
        <v>2022</v>
      </c>
      <c r="B51" s="3">
        <v>2</v>
      </c>
      <c r="C51" s="3">
        <v>89.739000000000004</v>
      </c>
      <c r="D51" s="3">
        <v>21.6</v>
      </c>
      <c r="E51" s="3">
        <v>12.161010551660839</v>
      </c>
      <c r="F51" s="3">
        <v>100.033</v>
      </c>
      <c r="G51" s="3">
        <v>26.7</v>
      </c>
      <c r="H51" s="3">
        <v>13.399544060005919</v>
      </c>
    </row>
    <row r="52" spans="1:8" x14ac:dyDescent="0.3">
      <c r="A52" s="2">
        <v>2022</v>
      </c>
      <c r="B52" s="3">
        <v>3</v>
      </c>
      <c r="C52" s="3">
        <v>97.26</v>
      </c>
      <c r="D52" s="3">
        <v>8.4</v>
      </c>
      <c r="E52" s="3">
        <v>12.114949782974003</v>
      </c>
      <c r="F52" s="3">
        <v>115.81100000000001</v>
      </c>
      <c r="G52" s="3">
        <v>20.7</v>
      </c>
      <c r="H52" s="3">
        <v>13.461539843907079</v>
      </c>
    </row>
    <row r="53" spans="1:8" x14ac:dyDescent="0.3">
      <c r="A53" s="2">
        <v>2022</v>
      </c>
      <c r="B53" s="3">
        <v>4</v>
      </c>
      <c r="C53" s="3">
        <v>101.81100000000001</v>
      </c>
      <c r="D53" s="3">
        <v>22.5</v>
      </c>
      <c r="E53" s="3">
        <v>12.027996018694463</v>
      </c>
      <c r="F53" s="3">
        <v>114.554</v>
      </c>
      <c r="G53" s="3">
        <v>27.7</v>
      </c>
      <c r="H53" s="3">
        <v>13.457755793149802</v>
      </c>
    </row>
    <row r="54" spans="1:8" x14ac:dyDescent="0.3">
      <c r="A54" s="2">
        <v>2022</v>
      </c>
      <c r="B54" s="3">
        <v>5</v>
      </c>
      <c r="C54" s="3">
        <v>109.083</v>
      </c>
      <c r="D54" s="3">
        <v>20.8</v>
      </c>
      <c r="E54" s="3">
        <v>11.90431358371444</v>
      </c>
      <c r="F54" s="3">
        <v>121.45</v>
      </c>
      <c r="G54" s="3">
        <v>28.3</v>
      </c>
      <c r="H54" s="3">
        <v>13.390730126367858</v>
      </c>
    </row>
    <row r="55" spans="1:8" x14ac:dyDescent="0.3">
      <c r="A55" s="2">
        <v>2022</v>
      </c>
      <c r="B55" s="3">
        <v>6</v>
      </c>
      <c r="C55" s="3">
        <v>114.502</v>
      </c>
      <c r="D55" s="3">
        <v>10.4</v>
      </c>
      <c r="E55" s="3">
        <v>11.748794025424861</v>
      </c>
      <c r="F55" s="3">
        <v>128.1</v>
      </c>
      <c r="G55" s="3">
        <v>21.6</v>
      </c>
      <c r="H55" s="3">
        <v>13.263990106931601</v>
      </c>
    </row>
    <row r="56" spans="1:8" x14ac:dyDescent="0.3">
      <c r="A56" s="2">
        <v>2022</v>
      </c>
      <c r="B56" s="3">
        <v>7</v>
      </c>
      <c r="C56" s="3">
        <v>119.062</v>
      </c>
      <c r="D56" s="3">
        <v>-3.8</v>
      </c>
      <c r="E56" s="3">
        <v>11.566946647217783</v>
      </c>
      <c r="F56" s="3">
        <v>125.08</v>
      </c>
      <c r="G56" s="3">
        <v>13.5</v>
      </c>
      <c r="H56" s="3">
        <v>13.082098364174831</v>
      </c>
    </row>
    <row r="57" spans="1:8" x14ac:dyDescent="0.3">
      <c r="A57" s="2">
        <v>2022</v>
      </c>
      <c r="B57" s="3">
        <v>8</v>
      </c>
      <c r="C57" s="3">
        <v>121.664</v>
      </c>
      <c r="D57" s="3">
        <v>-5.7</v>
      </c>
      <c r="E57" s="3">
        <v>11.3641870862335</v>
      </c>
      <c r="F57" s="3">
        <v>115.559</v>
      </c>
      <c r="G57" s="3">
        <v>13.7</v>
      </c>
      <c r="H57" s="3">
        <v>12.850196417007254</v>
      </c>
    </row>
    <row r="58" spans="1:8" x14ac:dyDescent="0.3">
      <c r="A58" s="2">
        <v>2022</v>
      </c>
      <c r="B58" s="3">
        <v>9</v>
      </c>
      <c r="C58" s="3">
        <v>111.223</v>
      </c>
      <c r="D58" s="3">
        <v>-0.1</v>
      </c>
      <c r="E58" s="3">
        <v>11.144863830539578</v>
      </c>
      <c r="F58" s="3">
        <v>123.026</v>
      </c>
      <c r="G58" s="3">
        <v>14.3</v>
      </c>
      <c r="H58" s="3">
        <v>12.573454805285504</v>
      </c>
    </row>
    <row r="59" spans="1:8" x14ac:dyDescent="0.3">
      <c r="A59" s="2">
        <v>2022</v>
      </c>
      <c r="B59" s="3">
        <v>10</v>
      </c>
      <c r="C59" s="3">
        <v>108.59099999999999</v>
      </c>
      <c r="D59" s="3">
        <v>1.4</v>
      </c>
      <c r="E59" s="3">
        <v>10.912140355211484</v>
      </c>
      <c r="F59" s="3">
        <v>121.913</v>
      </c>
      <c r="G59" s="3">
        <v>10.4</v>
      </c>
      <c r="H59" s="3">
        <v>12.257103083003926</v>
      </c>
    </row>
    <row r="60" spans="1:8" x14ac:dyDescent="0.3">
      <c r="A60" s="2">
        <v>2022</v>
      </c>
      <c r="B60" s="3">
        <v>11</v>
      </c>
      <c r="C60" s="3">
        <v>109.494</v>
      </c>
      <c r="D60" s="3">
        <v>7.3</v>
      </c>
      <c r="E60" s="3">
        <v>10.668399242003124</v>
      </c>
      <c r="F60" s="3">
        <v>124.592</v>
      </c>
      <c r="G60" s="3">
        <v>12.5</v>
      </c>
      <c r="H60" s="3">
        <v>11.906490703128723</v>
      </c>
    </row>
    <row r="61" spans="1:8" x14ac:dyDescent="0.3">
      <c r="A61" s="2">
        <v>2022</v>
      </c>
      <c r="B61" s="3">
        <v>12</v>
      </c>
      <c r="C61" s="3">
        <v>120.283</v>
      </c>
      <c r="D61" s="3">
        <v>8.5</v>
      </c>
      <c r="E61" s="3">
        <v>10.415362507365955</v>
      </c>
      <c r="F61" s="3">
        <v>130.41399999999999</v>
      </c>
      <c r="G61" s="3">
        <v>11</v>
      </c>
      <c r="H61" s="3">
        <v>11.526838153134221</v>
      </c>
    </row>
    <row r="62" spans="1:8" x14ac:dyDescent="0.3">
      <c r="A62" s="2">
        <v>2023</v>
      </c>
      <c r="B62" s="3">
        <v>1</v>
      </c>
      <c r="C62" s="3">
        <v>101.008</v>
      </c>
      <c r="D62" s="3">
        <v>12.3</v>
      </c>
      <c r="E62" s="3">
        <v>10.154518251137405</v>
      </c>
      <c r="F62" s="3">
        <v>111.58799999999999</v>
      </c>
      <c r="G62" s="3">
        <v>12.3</v>
      </c>
      <c r="H62" s="3">
        <v>11.123407136418141</v>
      </c>
    </row>
    <row r="63" spans="1:8" x14ac:dyDescent="0.3">
      <c r="A63" s="2">
        <v>2023</v>
      </c>
      <c r="B63" s="3">
        <v>2</v>
      </c>
      <c r="C63" s="3">
        <v>96.896000000000001</v>
      </c>
      <c r="D63" s="3">
        <v>8</v>
      </c>
      <c r="E63" s="3">
        <v>9.8872215618696675</v>
      </c>
      <c r="F63" s="3">
        <v>107.583</v>
      </c>
      <c r="G63" s="3">
        <v>7.5</v>
      </c>
      <c r="H63" s="3">
        <v>10.701422770395345</v>
      </c>
    </row>
    <row r="64" spans="1:8" x14ac:dyDescent="0.3">
      <c r="A64" s="2">
        <v>2023</v>
      </c>
      <c r="B64" s="3">
        <v>3</v>
      </c>
      <c r="C64" s="3">
        <v>113.03100000000001</v>
      </c>
      <c r="D64" s="3">
        <v>16.2</v>
      </c>
      <c r="E64" s="3">
        <v>9.614976519903049</v>
      </c>
      <c r="F64" s="3">
        <v>126.69499999999999</v>
      </c>
      <c r="G64" s="3">
        <v>9.4</v>
      </c>
      <c r="H64" s="3">
        <v>10.266191880318443</v>
      </c>
    </row>
    <row r="65" spans="1:8" x14ac:dyDescent="0.3">
      <c r="A65" s="2">
        <v>2023</v>
      </c>
      <c r="B65" s="3">
        <v>4</v>
      </c>
      <c r="C65" s="3">
        <v>109.467</v>
      </c>
      <c r="D65" s="3">
        <v>7.5</v>
      </c>
      <c r="E65" s="3">
        <v>9.3391561485249497</v>
      </c>
      <c r="F65" s="3">
        <v>114.93300000000001</v>
      </c>
      <c r="G65" s="3">
        <v>0.3</v>
      </c>
      <c r="H65" s="3">
        <v>9.8227989704143237</v>
      </c>
    </row>
    <row r="66" spans="1:8" x14ac:dyDescent="0.3">
      <c r="A66" s="2">
        <v>2023</v>
      </c>
      <c r="B66" s="3">
        <v>5</v>
      </c>
      <c r="C66" s="3">
        <v>114.16500000000001</v>
      </c>
      <c r="D66" s="3">
        <v>4.7</v>
      </c>
      <c r="E66" s="3">
        <v>9.0615907643199964</v>
      </c>
      <c r="F66" s="3">
        <v>122.748</v>
      </c>
      <c r="G66" s="3">
        <v>1.1000000000000001</v>
      </c>
      <c r="H66" s="3">
        <v>9.376268392695966</v>
      </c>
    </row>
    <row r="67" spans="1:8" x14ac:dyDescent="0.3">
      <c r="A67" s="2">
        <v>2023</v>
      </c>
      <c r="B67" s="3">
        <v>6</v>
      </c>
      <c r="C67" s="3">
        <v>118.387</v>
      </c>
      <c r="D67" s="3">
        <v>3.4</v>
      </c>
      <c r="E67" s="3">
        <v>8.7839829646958343</v>
      </c>
      <c r="F67" s="3">
        <v>126.839</v>
      </c>
      <c r="G67" s="3">
        <v>-1</v>
      </c>
      <c r="H67" s="3">
        <v>8.9309631936922909</v>
      </c>
    </row>
    <row r="68" spans="1:8" x14ac:dyDescent="0.3">
      <c r="A68" s="2">
        <v>2023</v>
      </c>
      <c r="B68" s="3">
        <v>7</v>
      </c>
      <c r="C68" s="3">
        <v>126.01600000000001</v>
      </c>
      <c r="D68" s="3">
        <v>5.8</v>
      </c>
      <c r="E68" s="3">
        <v>8.5077324588125851</v>
      </c>
      <c r="F68" s="3">
        <v>126.851</v>
      </c>
      <c r="G68" s="3">
        <v>1.4</v>
      </c>
      <c r="H68" s="3">
        <v>8.4906716790716175</v>
      </c>
    </row>
    <row r="69" spans="1:8" x14ac:dyDescent="0.3">
      <c r="A69" s="2">
        <v>2023</v>
      </c>
      <c r="B69" s="3">
        <v>8</v>
      </c>
      <c r="C69" s="3">
        <v>126.797</v>
      </c>
      <c r="D69" s="3">
        <v>4.2</v>
      </c>
      <c r="E69" s="3">
        <v>8.2338650681244872</v>
      </c>
      <c r="F69" s="3">
        <v>114.449</v>
      </c>
      <c r="G69" s="3">
        <v>-1</v>
      </c>
      <c r="H69" s="3">
        <v>8.0584925042804816</v>
      </c>
    </row>
    <row r="70" spans="1:8" x14ac:dyDescent="0.3">
      <c r="A70" s="2">
        <v>2023</v>
      </c>
      <c r="B70" s="3">
        <v>9</v>
      </c>
      <c r="C70" s="3">
        <v>116.562</v>
      </c>
      <c r="D70" s="3">
        <v>4.8</v>
      </c>
      <c r="E70" s="3">
        <v>7.9632185771094726</v>
      </c>
      <c r="F70" s="3">
        <v>121.04</v>
      </c>
      <c r="G70" s="3">
        <v>-1.6</v>
      </c>
      <c r="H70" s="3">
        <v>7.6370319170099306</v>
      </c>
    </row>
    <row r="71" spans="1:8" x14ac:dyDescent="0.3">
      <c r="A71" s="2">
        <v>2023</v>
      </c>
      <c r="B71" s="3">
        <v>10</v>
      </c>
      <c r="C71" s="3">
        <v>117.511</v>
      </c>
      <c r="D71" s="3">
        <v>8.1999999999999993</v>
      </c>
      <c r="E71" s="3">
        <v>7.6963506407268536</v>
      </c>
      <c r="F71" s="3">
        <v>123.97</v>
      </c>
      <c r="G71" s="3">
        <v>1.7</v>
      </c>
      <c r="H71" s="3">
        <v>7.2282671029715466</v>
      </c>
    </row>
    <row r="72" spans="1:8" x14ac:dyDescent="0.3">
      <c r="A72" s="2">
        <v>2023</v>
      </c>
      <c r="B72" s="3">
        <v>11</v>
      </c>
      <c r="C72" s="3">
        <v>116.12</v>
      </c>
      <c r="D72" s="3">
        <v>6.1</v>
      </c>
      <c r="E72" s="3">
        <v>7.4335992459791997</v>
      </c>
      <c r="F72" s="3">
        <v>124.76900000000001</v>
      </c>
      <c r="G72" s="3">
        <v>0.1</v>
      </c>
      <c r="H72" s="3">
        <v>6.8335337873271191</v>
      </c>
    </row>
    <row r="73" spans="1:8" x14ac:dyDescent="0.3">
      <c r="A73" s="2">
        <v>2023</v>
      </c>
      <c r="B73" s="3">
        <v>12</v>
      </c>
      <c r="C73" s="3">
        <v>124.47</v>
      </c>
      <c r="D73" s="3">
        <v>3.5</v>
      </c>
      <c r="E73" s="3">
        <v>7.175337355519031</v>
      </c>
      <c r="F73" s="3">
        <v>129.52000000000001</v>
      </c>
      <c r="G73" s="3">
        <v>-0.7</v>
      </c>
      <c r="H73" s="3">
        <v>6.4537837878007318</v>
      </c>
    </row>
    <row r="74" spans="1:8" x14ac:dyDescent="0.3">
      <c r="A74" s="2">
        <v>2024</v>
      </c>
      <c r="B74" s="3">
        <v>1</v>
      </c>
      <c r="C74" s="3">
        <v>108.018</v>
      </c>
      <c r="D74" s="3">
        <v>6.9</v>
      </c>
      <c r="E74" s="3">
        <v>6.9218453209401174</v>
      </c>
      <c r="F74" s="3">
        <v>114.964</v>
      </c>
      <c r="G74" s="3">
        <v>3</v>
      </c>
      <c r="H74" s="3">
        <v>6.0895013156034592</v>
      </c>
    </row>
    <row r="75" spans="1:8" x14ac:dyDescent="0.3">
      <c r="A75" s="2">
        <v>2024</v>
      </c>
      <c r="B75" s="3">
        <v>2</v>
      </c>
      <c r="C75" s="3">
        <v>106.383</v>
      </c>
      <c r="D75" s="3">
        <v>9.8000000000000007</v>
      </c>
      <c r="E75" s="3">
        <v>6.6731482620754283</v>
      </c>
      <c r="F75" s="3">
        <v>113.358</v>
      </c>
      <c r="G75" s="3">
        <v>5.4</v>
      </c>
      <c r="H75" s="3">
        <v>5.7406737914055554</v>
      </c>
    </row>
    <row r="76" spans="1:8" x14ac:dyDescent="0.3">
      <c r="A76" s="2">
        <v>2024</v>
      </c>
      <c r="B76" s="3">
        <v>3</v>
      </c>
      <c r="C76" s="3">
        <v>110.914</v>
      </c>
      <c r="D76" s="3">
        <v>-1.9</v>
      </c>
      <c r="E76" s="3">
        <v>6.4292697817217563</v>
      </c>
      <c r="F76" s="3">
        <v>119.211</v>
      </c>
      <c r="G76" s="3">
        <v>-5.9</v>
      </c>
      <c r="H76" s="3">
        <v>5.4070740871748013</v>
      </c>
    </row>
    <row r="77" spans="1:8" x14ac:dyDescent="0.3">
      <c r="A77" s="2">
        <v>2024</v>
      </c>
      <c r="B77" s="3">
        <v>4</v>
      </c>
      <c r="C77" s="3">
        <v>116.994</v>
      </c>
      <c r="D77" s="3">
        <v>6.9</v>
      </c>
      <c r="E77" s="3">
        <v>6.1904506251576947</v>
      </c>
      <c r="F77" s="3">
        <v>125.187</v>
      </c>
      <c r="G77" s="3">
        <v>8.9</v>
      </c>
      <c r="H77" s="3">
        <v>5.0884514169767971</v>
      </c>
    </row>
    <row r="78" spans="1:8" x14ac:dyDescent="0.3">
      <c r="A78" s="2">
        <v>2024</v>
      </c>
      <c r="B78" s="3">
        <v>5</v>
      </c>
      <c r="C78" s="3">
        <v>119.538</v>
      </c>
      <c r="D78" s="3">
        <v>4.7</v>
      </c>
      <c r="E78" s="3">
        <v>5.9563531161492183</v>
      </c>
      <c r="F78" s="3">
        <v>127.458</v>
      </c>
      <c r="G78" s="3">
        <v>3.8</v>
      </c>
      <c r="H78" s="3">
        <v>4.7837697813988678</v>
      </c>
    </row>
    <row r="79" spans="1:8" x14ac:dyDescent="0.3">
      <c r="A79" s="2">
        <v>2024</v>
      </c>
      <c r="B79" s="3">
        <v>6</v>
      </c>
      <c r="C79" s="3">
        <v>120.712</v>
      </c>
      <c r="D79" s="3">
        <v>2</v>
      </c>
      <c r="E79" s="3">
        <v>5.7266888527244424</v>
      </c>
      <c r="F79" s="3">
        <v>126.98699999999999</v>
      </c>
      <c r="G79" s="3">
        <v>0.1</v>
      </c>
      <c r="H79" s="3">
        <v>4.4922578719021597</v>
      </c>
    </row>
    <row r="80" spans="1:8" x14ac:dyDescent="0.3">
      <c r="A80" s="2">
        <v>2024</v>
      </c>
      <c r="B80" s="3">
        <v>7</v>
      </c>
      <c r="C80" s="3">
        <v>137.45699999999999</v>
      </c>
      <c r="D80" s="3">
        <v>9.1</v>
      </c>
      <c r="E80" s="3">
        <v>5.5010821861673067</v>
      </c>
      <c r="F80" s="3">
        <v>134.774</v>
      </c>
      <c r="G80" s="3">
        <v>6.2</v>
      </c>
      <c r="H80" s="3">
        <v>4.2130760626018882</v>
      </c>
    </row>
    <row r="81" spans="1:8" x14ac:dyDescent="0.3">
      <c r="A81" s="2">
        <v>2024</v>
      </c>
      <c r="B81" s="3">
        <v>8</v>
      </c>
      <c r="C81" s="3">
        <v>133.68899999999999</v>
      </c>
      <c r="D81" s="3">
        <v>5.4</v>
      </c>
      <c r="E81" s="3">
        <v>5.2788986699247573</v>
      </c>
      <c r="F81" s="3">
        <v>115.584</v>
      </c>
      <c r="G81" s="3">
        <v>1</v>
      </c>
      <c r="H81" s="3">
        <v>3.945079709705499</v>
      </c>
    </row>
    <row r="82" spans="1:8" x14ac:dyDescent="0.3">
      <c r="A82" s="2">
        <v>2024</v>
      </c>
      <c r="B82" s="3">
        <v>9</v>
      </c>
      <c r="C82" s="3">
        <v>123.801</v>
      </c>
      <c r="D82" s="3">
        <v>6.2</v>
      </c>
      <c r="E82" s="3">
        <v>5.0597537822919234</v>
      </c>
      <c r="F82" s="3">
        <v>123.48099999999999</v>
      </c>
      <c r="G82" s="3">
        <v>2</v>
      </c>
      <c r="H82" s="3">
        <v>3.6872621502494232</v>
      </c>
    </row>
    <row r="83" spans="1:8" x14ac:dyDescent="0.3">
      <c r="A83" s="2">
        <v>2024</v>
      </c>
      <c r="B83" s="3">
        <v>10</v>
      </c>
      <c r="C83" s="3">
        <v>127.363</v>
      </c>
      <c r="D83" s="3">
        <v>8.4</v>
      </c>
      <c r="E83" s="3">
        <v>4.8432714113785229</v>
      </c>
      <c r="F83" s="3">
        <v>131.87100000000001</v>
      </c>
      <c r="G83" s="3">
        <v>6.4</v>
      </c>
      <c r="H83" s="3">
        <v>3.4384122018458063</v>
      </c>
    </row>
    <row r="84" spans="1:8" x14ac:dyDescent="0.3">
      <c r="A84" s="2">
        <v>2024</v>
      </c>
      <c r="B84" s="3">
        <v>11</v>
      </c>
      <c r="C84" s="3">
        <v>119.175</v>
      </c>
      <c r="D84" s="3">
        <v>2.6</v>
      </c>
      <c r="E84" s="3">
        <v>4.6291546290593928</v>
      </c>
      <c r="F84" s="3">
        <v>125.352</v>
      </c>
      <c r="G84" s="3">
        <v>0.5</v>
      </c>
      <c r="H84" s="3">
        <v>3.1972015111241379</v>
      </c>
    </row>
    <row r="85" spans="1:8" x14ac:dyDescent="0.3">
      <c r="A85" s="2">
        <v>2024</v>
      </c>
      <c r="B85" s="3">
        <v>12</v>
      </c>
      <c r="C85" s="3">
        <v>129.554</v>
      </c>
      <c r="D85" s="3">
        <v>4.0999999999999996</v>
      </c>
      <c r="E85" s="3">
        <v>4.4173535022502461</v>
      </c>
      <c r="F85" s="3">
        <v>135.75800000000001</v>
      </c>
      <c r="G85" s="3">
        <v>4.8</v>
      </c>
      <c r="H85" s="3">
        <v>2.9625073905332235</v>
      </c>
    </row>
    <row r="86" spans="1:8" x14ac:dyDescent="0.3">
      <c r="A86" s="2">
        <v>2025</v>
      </c>
      <c r="B86" s="3">
        <v>1</v>
      </c>
      <c r="C86" s="3">
        <v>111.724</v>
      </c>
      <c r="D86" s="3">
        <v>3.4</v>
      </c>
      <c r="E86" s="3">
        <v>4.2076771843508887</v>
      </c>
      <c r="F86" s="3">
        <v>121.227</v>
      </c>
      <c r="G86" s="3">
        <v>5.4</v>
      </c>
      <c r="H86" s="3">
        <v>2.733019846861374</v>
      </c>
    </row>
    <row r="87" spans="1:8" x14ac:dyDescent="0.3">
      <c r="A87" s="2">
        <v>2025</v>
      </c>
      <c r="B87" s="3">
        <v>2</v>
      </c>
      <c r="C87" s="3">
        <v>107.922</v>
      </c>
      <c r="D87" s="3">
        <v>1.4</v>
      </c>
      <c r="E87" s="3">
        <v>3.9999127903234699</v>
      </c>
      <c r="F87" s="3">
        <v>116.667</v>
      </c>
      <c r="G87" s="3">
        <v>2.9</v>
      </c>
      <c r="H87" s="3">
        <v>2.5075564905503351</v>
      </c>
    </row>
    <row r="88" spans="1:8" x14ac:dyDescent="0.3">
      <c r="A88" s="2">
        <v>2025</v>
      </c>
      <c r="B88" s="3">
        <v>3</v>
      </c>
      <c r="C88" s="3">
        <v>117.884</v>
      </c>
      <c r="D88" s="3">
        <v>6.3</v>
      </c>
      <c r="E88" s="3">
        <v>3.7937913464367798</v>
      </c>
      <c r="F88" s="3">
        <v>127.87</v>
      </c>
      <c r="G88" s="3">
        <v>7.3</v>
      </c>
      <c r="H88" s="3">
        <v>2.2851201389969322</v>
      </c>
    </row>
    <row r="89" spans="1:8" x14ac:dyDescent="0.3">
      <c r="A89" s="2">
        <v>2025</v>
      </c>
      <c r="B89" s="3">
        <v>4</v>
      </c>
      <c r="C89" s="3">
        <v>118.919</v>
      </c>
      <c r="D89" s="3">
        <v>1.6</v>
      </c>
      <c r="E89" s="3">
        <v>3.5888633294602816</v>
      </c>
      <c r="F89" s="3">
        <v>127.322</v>
      </c>
      <c r="G89" s="3">
        <v>1.7</v>
      </c>
      <c r="H89" s="3">
        <v>2.0647408626194799</v>
      </c>
    </row>
    <row r="90" spans="1:8" x14ac:dyDescent="0.3">
      <c r="A90" s="2">
        <v>2025</v>
      </c>
      <c r="B90" s="3">
        <v>5</v>
      </c>
      <c r="C90" s="3">
        <v>124.93300000000001</v>
      </c>
      <c r="D90" s="3">
        <v>4.5</v>
      </c>
      <c r="E90" s="3">
        <v>3.3848532584310473</v>
      </c>
      <c r="F90" s="3">
        <v>131.42400000000001</v>
      </c>
      <c r="G90" s="3">
        <v>3.1</v>
      </c>
      <c r="H90" s="3">
        <v>1.8457969873821962</v>
      </c>
    </row>
    <row r="91" spans="1:8" x14ac:dyDescent="0.3">
      <c r="A91" s="2">
        <v>2025</v>
      </c>
      <c r="B91" s="3">
        <v>6</v>
      </c>
      <c r="C91" s="3">
        <v>127.473</v>
      </c>
      <c r="D91" s="3">
        <v>5.6</v>
      </c>
      <c r="E91" s="3">
        <v>3.1813475368771589</v>
      </c>
      <c r="F91" s="3">
        <v>135.11099999999999</v>
      </c>
      <c r="G91" s="3">
        <v>6.4</v>
      </c>
      <c r="H91" s="3">
        <v>1.6276415100227288</v>
      </c>
    </row>
    <row r="92" spans="1:8" x14ac:dyDescent="0.3">
      <c r="A92" s="2">
        <v>2025</v>
      </c>
      <c r="B92" s="3">
        <v>7</v>
      </c>
      <c r="C92" s="3">
        <v>144.83799999999999</v>
      </c>
      <c r="D92" s="3">
        <v>5.4</v>
      </c>
      <c r="E92" s="3">
        <v>2.9780100090726402</v>
      </c>
      <c r="F92" s="3">
        <v>141.12200000000001</v>
      </c>
      <c r="G92" s="3">
        <v>4.7</v>
      </c>
      <c r="H92" s="3">
        <v>1.4097145247101566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topLeftCell="A79" workbookViewId="0">
      <selection activeCell="C93" sqref="C93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146</v>
      </c>
      <c r="D1" s="2" t="s">
        <v>147</v>
      </c>
      <c r="E1" s="2" t="s">
        <v>148</v>
      </c>
      <c r="F1" s="2" t="s">
        <v>149</v>
      </c>
      <c r="G1" s="2" t="s">
        <v>150</v>
      </c>
      <c r="H1" s="2" t="s">
        <v>151</v>
      </c>
    </row>
    <row r="2" spans="1:8" x14ac:dyDescent="0.3">
      <c r="A2" s="2">
        <v>2018</v>
      </c>
      <c r="B2" s="3">
        <v>1</v>
      </c>
      <c r="C2" s="3">
        <v>99.825999999999993</v>
      </c>
      <c r="D2" s="3">
        <v>3.7</v>
      </c>
      <c r="E2" s="3">
        <v>2.3636728733946288</v>
      </c>
      <c r="F2" s="3">
        <v>98.238</v>
      </c>
      <c r="G2" s="3">
        <v>2.4</v>
      </c>
      <c r="H2" s="3">
        <v>2.09335454282522</v>
      </c>
    </row>
    <row r="3" spans="1:8" x14ac:dyDescent="0.3">
      <c r="A3" s="2">
        <v>2018</v>
      </c>
      <c r="B3" s="3">
        <v>2</v>
      </c>
      <c r="C3" s="3">
        <v>98.921000000000006</v>
      </c>
      <c r="D3" s="3">
        <v>2.7</v>
      </c>
      <c r="E3" s="3">
        <v>2.2600650220223648</v>
      </c>
      <c r="F3" s="3">
        <v>98.123000000000005</v>
      </c>
      <c r="G3" s="3">
        <v>2.4</v>
      </c>
      <c r="H3" s="3">
        <v>2.0253940221669824</v>
      </c>
    </row>
    <row r="4" spans="1:8" x14ac:dyDescent="0.3">
      <c r="A4" s="2">
        <v>2018</v>
      </c>
      <c r="B4" s="3">
        <v>3</v>
      </c>
      <c r="C4" s="3">
        <v>101.223</v>
      </c>
      <c r="D4" s="3">
        <v>3.8</v>
      </c>
      <c r="E4" s="3">
        <v>2.1489003722829012</v>
      </c>
      <c r="F4" s="3">
        <v>99.334999999999994</v>
      </c>
      <c r="G4" s="3">
        <v>2.4</v>
      </c>
      <c r="H4" s="3">
        <v>1.952519902838729</v>
      </c>
    </row>
    <row r="5" spans="1:8" x14ac:dyDescent="0.3">
      <c r="A5" s="2">
        <v>2018</v>
      </c>
      <c r="B5" s="3">
        <v>4</v>
      </c>
      <c r="C5" s="3">
        <v>101.69499999999999</v>
      </c>
      <c r="D5" s="3">
        <v>2.6</v>
      </c>
      <c r="E5" s="3">
        <v>2.0307358399344082</v>
      </c>
      <c r="F5" s="3">
        <v>100.423</v>
      </c>
      <c r="G5" s="3">
        <v>2.2000000000000002</v>
      </c>
      <c r="H5" s="3">
        <v>1.8748004675060086</v>
      </c>
    </row>
    <row r="6" spans="1:8" x14ac:dyDescent="0.3">
      <c r="A6" s="2">
        <v>2018</v>
      </c>
      <c r="B6" s="3">
        <v>5</v>
      </c>
      <c r="C6" s="3">
        <v>102.465</v>
      </c>
      <c r="D6" s="3">
        <v>1.7</v>
      </c>
      <c r="E6" s="3">
        <v>1.9062430004314261</v>
      </c>
      <c r="F6" s="3">
        <v>101.82599999999999</v>
      </c>
      <c r="G6" s="3">
        <v>2.1</v>
      </c>
      <c r="H6" s="3">
        <v>1.792335073841117</v>
      </c>
    </row>
    <row r="7" spans="1:8" x14ac:dyDescent="0.3">
      <c r="A7" s="2">
        <v>2018</v>
      </c>
      <c r="B7" s="3">
        <v>6</v>
      </c>
      <c r="C7" s="3">
        <v>104.803</v>
      </c>
      <c r="D7" s="3">
        <v>1.8</v>
      </c>
      <c r="E7" s="3">
        <v>1.7761329614618326</v>
      </c>
      <c r="F7" s="3">
        <v>102.858</v>
      </c>
      <c r="G7" s="3">
        <v>2.1</v>
      </c>
      <c r="H7" s="3">
        <v>1.7052456628172183</v>
      </c>
    </row>
    <row r="8" spans="1:8" x14ac:dyDescent="0.3">
      <c r="A8" s="2">
        <v>2018</v>
      </c>
      <c r="B8" s="3">
        <v>7</v>
      </c>
      <c r="C8" s="3">
        <v>107.232</v>
      </c>
      <c r="D8" s="3">
        <v>1.6</v>
      </c>
      <c r="E8" s="3">
        <v>1.6411025082829203</v>
      </c>
      <c r="F8" s="3">
        <v>102.896</v>
      </c>
      <c r="G8" s="3">
        <v>2.2000000000000002</v>
      </c>
      <c r="H8" s="3">
        <v>1.6136755410273489</v>
      </c>
    </row>
    <row r="9" spans="1:8" x14ac:dyDescent="0.3">
      <c r="A9" s="2">
        <v>2018</v>
      </c>
      <c r="B9" s="3">
        <v>8</v>
      </c>
      <c r="C9" s="3">
        <v>106.59</v>
      </c>
      <c r="D9" s="3">
        <v>0.6</v>
      </c>
      <c r="E9" s="3">
        <v>1.5018500835852135</v>
      </c>
      <c r="F9" s="3">
        <v>102.35599999999999</v>
      </c>
      <c r="G9" s="3">
        <v>2.2000000000000002</v>
      </c>
      <c r="H9" s="3">
        <v>1.5177954285601825</v>
      </c>
    </row>
    <row r="10" spans="1:8" x14ac:dyDescent="0.3">
      <c r="A10" s="2">
        <v>2018</v>
      </c>
      <c r="B10" s="3">
        <v>9</v>
      </c>
      <c r="C10" s="3">
        <v>105.661</v>
      </c>
      <c r="D10" s="3">
        <v>1.5</v>
      </c>
      <c r="E10" s="3">
        <v>1.3590712757183838</v>
      </c>
      <c r="F10" s="3">
        <v>102.94499999999999</v>
      </c>
      <c r="G10" s="3">
        <v>2.1</v>
      </c>
      <c r="H10" s="3">
        <v>1.4178167624807103</v>
      </c>
    </row>
    <row r="11" spans="1:8" x14ac:dyDescent="0.3">
      <c r="A11" s="2">
        <v>2018</v>
      </c>
      <c r="B11" s="3">
        <v>10</v>
      </c>
      <c r="C11" s="3">
        <v>104.318</v>
      </c>
      <c r="D11" s="3">
        <v>1.5</v>
      </c>
      <c r="E11" s="3">
        <v>1.2133990445540757</v>
      </c>
      <c r="F11" s="3">
        <v>102.871</v>
      </c>
      <c r="G11" s="3">
        <v>2.2000000000000002</v>
      </c>
      <c r="H11" s="3">
        <v>1.3139983551713852</v>
      </c>
    </row>
    <row r="12" spans="1:8" x14ac:dyDescent="0.3">
      <c r="A12" s="2">
        <v>2018</v>
      </c>
      <c r="B12" s="3">
        <v>11</v>
      </c>
      <c r="C12" s="3">
        <v>102.869</v>
      </c>
      <c r="D12" s="3">
        <v>0.6</v>
      </c>
      <c r="E12" s="3">
        <v>1.0654761366808978</v>
      </c>
      <c r="F12" s="3">
        <v>101.98099999999999</v>
      </c>
      <c r="G12" s="3">
        <v>2.2999999999999998</v>
      </c>
      <c r="H12" s="3">
        <v>1.2066463928505986</v>
      </c>
    </row>
    <row r="13" spans="1:8" x14ac:dyDescent="0.3">
      <c r="A13" s="2">
        <v>2018</v>
      </c>
      <c r="B13" s="3">
        <v>12</v>
      </c>
      <c r="C13" s="3">
        <v>102.185</v>
      </c>
      <c r="D13" s="3">
        <v>0.5</v>
      </c>
      <c r="E13" s="3">
        <v>0.91596520153158711</v>
      </c>
      <c r="F13" s="3">
        <v>101.613</v>
      </c>
      <c r="G13" s="3">
        <v>2.1</v>
      </c>
      <c r="H13" s="3">
        <v>1.0961285896287443</v>
      </c>
    </row>
    <row r="14" spans="1:8" x14ac:dyDescent="0.3">
      <c r="A14" s="2">
        <v>2019</v>
      </c>
      <c r="B14" s="3">
        <v>1</v>
      </c>
      <c r="C14" s="3">
        <v>100.727</v>
      </c>
      <c r="D14" s="3">
        <v>0.9</v>
      </c>
      <c r="E14" s="3">
        <v>0.7654965638071668</v>
      </c>
      <c r="F14" s="3">
        <v>100.346</v>
      </c>
      <c r="G14" s="3">
        <v>2.1</v>
      </c>
      <c r="H14" s="3">
        <v>0.98288858695004544</v>
      </c>
    </row>
    <row r="15" spans="1:8" x14ac:dyDescent="0.3">
      <c r="A15" s="2">
        <v>2019</v>
      </c>
      <c r="B15" s="3">
        <v>2</v>
      </c>
      <c r="C15" s="3">
        <v>100.51300000000001</v>
      </c>
      <c r="D15" s="3">
        <v>1.6</v>
      </c>
      <c r="E15" s="3">
        <v>0.61467166173633137</v>
      </c>
      <c r="F15" s="3">
        <v>100.19</v>
      </c>
      <c r="G15" s="3">
        <v>2.1</v>
      </c>
      <c r="H15" s="3">
        <v>0.86743973955111253</v>
      </c>
    </row>
    <row r="16" spans="1:8" x14ac:dyDescent="0.3">
      <c r="A16" s="2">
        <v>2019</v>
      </c>
      <c r="B16" s="3">
        <v>3</v>
      </c>
      <c r="C16" s="3">
        <v>102.27</v>
      </c>
      <c r="D16" s="3">
        <v>1</v>
      </c>
      <c r="E16" s="3">
        <v>0.46410127406417767</v>
      </c>
      <c r="F16" s="3">
        <v>101.181</v>
      </c>
      <c r="G16" s="3">
        <v>1.9</v>
      </c>
      <c r="H16" s="3">
        <v>0.75037297935001745</v>
      </c>
    </row>
    <row r="17" spans="1:8" x14ac:dyDescent="0.3">
      <c r="A17" s="2">
        <v>2019</v>
      </c>
      <c r="B17" s="3">
        <v>4</v>
      </c>
      <c r="C17" s="3">
        <v>103.324</v>
      </c>
      <c r="D17" s="3">
        <v>1.6</v>
      </c>
      <c r="E17" s="3">
        <v>0.31446460511484864</v>
      </c>
      <c r="F17" s="3">
        <v>102.227</v>
      </c>
      <c r="G17" s="3">
        <v>1.8</v>
      </c>
      <c r="H17" s="3">
        <v>0.63236483272736344</v>
      </c>
    </row>
    <row r="18" spans="1:8" x14ac:dyDescent="0.3">
      <c r="A18" s="2">
        <v>2019</v>
      </c>
      <c r="B18" s="3">
        <v>5</v>
      </c>
      <c r="C18" s="3">
        <v>104.13</v>
      </c>
      <c r="D18" s="3">
        <v>1.6</v>
      </c>
      <c r="E18" s="3">
        <v>0.1664780744017883</v>
      </c>
      <c r="F18" s="3">
        <v>103.70699999999999</v>
      </c>
      <c r="G18" s="3">
        <v>1.8</v>
      </c>
      <c r="H18" s="3">
        <v>0.51417166127352121</v>
      </c>
    </row>
    <row r="19" spans="1:8" x14ac:dyDescent="0.3">
      <c r="A19" s="2">
        <v>2019</v>
      </c>
      <c r="B19" s="3">
        <v>6</v>
      </c>
      <c r="C19" s="3">
        <v>105.42</v>
      </c>
      <c r="D19" s="3">
        <v>0.6</v>
      </c>
      <c r="E19" s="3">
        <v>2.0947374729752295E-2</v>
      </c>
      <c r="F19" s="3">
        <v>104.55</v>
      </c>
      <c r="G19" s="3">
        <v>1.6</v>
      </c>
      <c r="H19" s="3">
        <v>0.39663091235436654</v>
      </c>
    </row>
    <row r="20" spans="1:8" x14ac:dyDescent="0.3">
      <c r="A20" s="2">
        <v>2019</v>
      </c>
      <c r="B20" s="3">
        <v>7</v>
      </c>
      <c r="C20" s="3">
        <v>107.607</v>
      </c>
      <c r="D20" s="3">
        <v>0.3</v>
      </c>
      <c r="E20" s="3">
        <v>-0.12122225096278165</v>
      </c>
      <c r="F20" s="3">
        <v>104.57</v>
      </c>
      <c r="G20" s="3">
        <v>1.6</v>
      </c>
      <c r="H20" s="3">
        <v>0.28066932697040897</v>
      </c>
    </row>
    <row r="21" spans="1:8" x14ac:dyDescent="0.3">
      <c r="A21" s="2">
        <v>2019</v>
      </c>
      <c r="B21" s="3">
        <v>8</v>
      </c>
      <c r="C21" s="3">
        <v>106.962</v>
      </c>
      <c r="D21" s="3">
        <v>0.3</v>
      </c>
      <c r="E21" s="3">
        <v>-0.25908534774946984</v>
      </c>
      <c r="F21" s="3">
        <v>103.788</v>
      </c>
      <c r="G21" s="3">
        <v>1.4</v>
      </c>
      <c r="H21" s="3">
        <v>0.16729721341991116</v>
      </c>
    </row>
    <row r="22" spans="1:8" x14ac:dyDescent="0.3">
      <c r="A22" s="2">
        <v>2019</v>
      </c>
      <c r="B22" s="3">
        <v>9</v>
      </c>
      <c r="C22" s="3">
        <v>106.08</v>
      </c>
      <c r="D22" s="3">
        <v>0.4</v>
      </c>
      <c r="E22" s="3">
        <v>-0.39166720915876285</v>
      </c>
      <c r="F22" s="3">
        <v>104.44</v>
      </c>
      <c r="G22" s="3">
        <v>1.5</v>
      </c>
      <c r="H22" s="3">
        <v>5.7616500186762877E-2</v>
      </c>
    </row>
    <row r="23" spans="1:8" x14ac:dyDescent="0.3">
      <c r="A23" s="2">
        <v>2019</v>
      </c>
      <c r="B23" s="3">
        <v>10</v>
      </c>
      <c r="C23" s="3">
        <v>105.23099999999999</v>
      </c>
      <c r="D23" s="3">
        <v>0.9</v>
      </c>
      <c r="E23" s="3">
        <v>-0.51795430334773984</v>
      </c>
      <c r="F23" s="3">
        <v>104.039</v>
      </c>
      <c r="G23" s="3">
        <v>1.1000000000000001</v>
      </c>
      <c r="H23" s="3">
        <v>-4.7185279884966944E-2</v>
      </c>
    </row>
    <row r="24" spans="1:8" x14ac:dyDescent="0.3">
      <c r="A24" s="2">
        <v>2019</v>
      </c>
      <c r="B24" s="3">
        <v>11</v>
      </c>
      <c r="C24" s="3">
        <v>103.729</v>
      </c>
      <c r="D24" s="3">
        <v>0.8</v>
      </c>
      <c r="E24" s="3">
        <v>-0.63687812158395496</v>
      </c>
      <c r="F24" s="3">
        <v>103.14700000000001</v>
      </c>
      <c r="G24" s="3">
        <v>1.1000000000000001</v>
      </c>
      <c r="H24" s="3">
        <v>-0.145820428430389</v>
      </c>
    </row>
    <row r="25" spans="1:8" x14ac:dyDescent="0.3">
      <c r="A25" s="2">
        <v>2019</v>
      </c>
      <c r="B25" s="3">
        <v>12</v>
      </c>
      <c r="C25" s="3">
        <v>104.009</v>
      </c>
      <c r="D25" s="3">
        <v>1.8</v>
      </c>
      <c r="E25" s="3">
        <v>-0.74727168608611882</v>
      </c>
      <c r="F25" s="3">
        <v>102.82899999999999</v>
      </c>
      <c r="G25" s="3">
        <v>1.2</v>
      </c>
      <c r="H25" s="3">
        <v>-0.23692158144017755</v>
      </c>
    </row>
    <row r="26" spans="1:8" x14ac:dyDescent="0.3">
      <c r="A26" s="2">
        <v>2020</v>
      </c>
      <c r="B26" s="3">
        <v>1</v>
      </c>
      <c r="C26" s="3">
        <v>101.527</v>
      </c>
      <c r="D26" s="3">
        <v>0.8</v>
      </c>
      <c r="E26" s="3">
        <v>-0.84786823587005422</v>
      </c>
      <c r="F26" s="3">
        <v>101.322</v>
      </c>
      <c r="G26" s="3">
        <v>1</v>
      </c>
      <c r="H26" s="3">
        <v>-0.31903485959747696</v>
      </c>
    </row>
    <row r="27" spans="1:8" x14ac:dyDescent="0.3">
      <c r="A27" s="2">
        <v>2020</v>
      </c>
      <c r="B27" s="3">
        <v>2</v>
      </c>
      <c r="C27" s="3">
        <v>101.128</v>
      </c>
      <c r="D27" s="3">
        <v>0.6</v>
      </c>
      <c r="E27" s="3">
        <v>-0.93722411608449463</v>
      </c>
      <c r="F27" s="3">
        <v>101.10599999999999</v>
      </c>
      <c r="G27" s="3">
        <v>0.9</v>
      </c>
      <c r="H27" s="3">
        <v>-0.39060659736449821</v>
      </c>
    </row>
    <row r="28" spans="1:8" x14ac:dyDescent="0.3">
      <c r="A28" s="2">
        <v>2020</v>
      </c>
      <c r="B28" s="3">
        <v>3</v>
      </c>
      <c r="C28" s="3">
        <v>99.588999999999999</v>
      </c>
      <c r="D28" s="3">
        <v>-2.6</v>
      </c>
      <c r="E28" s="3">
        <v>-1.013781236584016</v>
      </c>
      <c r="F28" s="3">
        <v>99.488</v>
      </c>
      <c r="G28" s="3">
        <v>-1.7</v>
      </c>
      <c r="H28" s="3">
        <v>-0.44999152956042454</v>
      </c>
    </row>
    <row r="29" spans="1:8" x14ac:dyDescent="0.3">
      <c r="A29" s="2">
        <v>2020</v>
      </c>
      <c r="B29" s="3">
        <v>4</v>
      </c>
      <c r="C29" s="3">
        <v>95.528999999999996</v>
      </c>
      <c r="D29" s="3">
        <v>-7.5</v>
      </c>
      <c r="E29" s="3">
        <v>-1.075874755548466</v>
      </c>
      <c r="F29" s="3">
        <v>96.515000000000001</v>
      </c>
      <c r="G29" s="3">
        <v>-5.6</v>
      </c>
      <c r="H29" s="3">
        <v>-0.49545476554628892</v>
      </c>
    </row>
    <row r="30" spans="1:8" x14ac:dyDescent="0.3">
      <c r="A30" s="2">
        <v>2020</v>
      </c>
      <c r="B30" s="3">
        <v>5</v>
      </c>
      <c r="C30" s="3">
        <v>95.332999999999998</v>
      </c>
      <c r="D30" s="3">
        <v>-8.4</v>
      </c>
      <c r="E30" s="3">
        <v>-1.1219499852384855</v>
      </c>
      <c r="F30" s="3">
        <v>96.441000000000003</v>
      </c>
      <c r="G30" s="3">
        <v>-7</v>
      </c>
      <c r="H30" s="3">
        <v>-0.52534822082690491</v>
      </c>
    </row>
    <row r="31" spans="1:8" x14ac:dyDescent="0.3">
      <c r="A31" s="2">
        <v>2020</v>
      </c>
      <c r="B31" s="3">
        <v>6</v>
      </c>
      <c r="C31" s="3">
        <v>96.149000000000001</v>
      </c>
      <c r="D31" s="3">
        <v>-8.8000000000000007</v>
      </c>
      <c r="E31" s="3">
        <v>-1.1508983577233576</v>
      </c>
      <c r="F31" s="3">
        <v>97.1</v>
      </c>
      <c r="G31" s="3">
        <v>-7.1</v>
      </c>
      <c r="H31" s="3">
        <v>-0.53837829321503428</v>
      </c>
    </row>
    <row r="32" spans="1:8" x14ac:dyDescent="0.3">
      <c r="A32" s="2">
        <v>2020</v>
      </c>
      <c r="B32" s="3">
        <v>7</v>
      </c>
      <c r="C32" s="3">
        <v>101.07</v>
      </c>
      <c r="D32" s="3">
        <v>-6.1</v>
      </c>
      <c r="E32" s="3">
        <v>-1.1621167252122795</v>
      </c>
      <c r="F32" s="3">
        <v>98.218999999999994</v>
      </c>
      <c r="G32" s="3">
        <v>-6.1</v>
      </c>
      <c r="H32" s="3">
        <v>-0.53370100911921459</v>
      </c>
    </row>
    <row r="33" spans="1:8" x14ac:dyDescent="0.3">
      <c r="A33" s="2">
        <v>2020</v>
      </c>
      <c r="B33" s="3">
        <v>8</v>
      </c>
      <c r="C33" s="3">
        <v>102.01</v>
      </c>
      <c r="D33" s="3">
        <v>-4.5999999999999996</v>
      </c>
      <c r="E33" s="3">
        <v>-1.1555331275284955</v>
      </c>
      <c r="F33" s="3">
        <v>98.078000000000003</v>
      </c>
      <c r="G33" s="3">
        <v>-5.5</v>
      </c>
      <c r="H33" s="3">
        <v>-0.51092806312206573</v>
      </c>
    </row>
    <row r="34" spans="1:8" x14ac:dyDescent="0.3">
      <c r="A34" s="2">
        <v>2020</v>
      </c>
      <c r="B34" s="3">
        <v>9</v>
      </c>
      <c r="C34" s="3">
        <v>100.754</v>
      </c>
      <c r="D34" s="3">
        <v>-5</v>
      </c>
      <c r="E34" s="3">
        <v>-1.1314185130559988</v>
      </c>
      <c r="F34" s="3">
        <v>98.893000000000001</v>
      </c>
      <c r="G34" s="3">
        <v>-5.3</v>
      </c>
      <c r="H34" s="3">
        <v>-0.47005769834724104</v>
      </c>
    </row>
    <row r="35" spans="1:8" x14ac:dyDescent="0.3">
      <c r="A35" s="2">
        <v>2020</v>
      </c>
      <c r="B35" s="3">
        <v>10</v>
      </c>
      <c r="C35" s="3">
        <v>100.30200000000001</v>
      </c>
      <c r="D35" s="3">
        <v>-4.7</v>
      </c>
      <c r="E35" s="3">
        <v>-1.090283029267149</v>
      </c>
      <c r="F35" s="3">
        <v>98.685000000000002</v>
      </c>
      <c r="G35" s="3">
        <v>-5.0999999999999996</v>
      </c>
      <c r="H35" s="3">
        <v>-0.41143462124734387</v>
      </c>
    </row>
    <row r="36" spans="1:8" x14ac:dyDescent="0.3">
      <c r="A36" s="2">
        <v>2020</v>
      </c>
      <c r="B36" s="3">
        <v>11</v>
      </c>
      <c r="C36" s="3">
        <v>98.510999999999996</v>
      </c>
      <c r="D36" s="3">
        <v>-5</v>
      </c>
      <c r="E36" s="3">
        <v>-1.0329054751264544</v>
      </c>
      <c r="F36" s="3">
        <v>98.043000000000006</v>
      </c>
      <c r="G36" s="3">
        <v>-4.9000000000000004</v>
      </c>
      <c r="H36" s="3">
        <v>-0.33573895093481454</v>
      </c>
    </row>
    <row r="37" spans="1:8" x14ac:dyDescent="0.3">
      <c r="A37" s="2">
        <v>2020</v>
      </c>
      <c r="B37" s="3">
        <v>12</v>
      </c>
      <c r="C37" s="3">
        <v>97.418999999999997</v>
      </c>
      <c r="D37" s="3">
        <v>-6.3</v>
      </c>
      <c r="E37" s="3">
        <v>-0.96031532438805733</v>
      </c>
      <c r="F37" s="3">
        <v>97.819000000000003</v>
      </c>
      <c r="G37" s="3">
        <v>-4.9000000000000004</v>
      </c>
      <c r="H37" s="3">
        <v>-0.24397640134006249</v>
      </c>
    </row>
    <row r="38" spans="1:8" x14ac:dyDescent="0.3">
      <c r="A38" s="2">
        <v>2021</v>
      </c>
      <c r="B38" s="3">
        <v>1</v>
      </c>
      <c r="C38" s="3">
        <v>95.613</v>
      </c>
      <c r="D38" s="3">
        <v>-5.8</v>
      </c>
      <c r="E38" s="3">
        <v>-0.87381754348143892</v>
      </c>
      <c r="F38" s="3">
        <v>96.602000000000004</v>
      </c>
      <c r="G38" s="3">
        <v>-4.7</v>
      </c>
      <c r="H38" s="3">
        <v>-0.13746964896634883</v>
      </c>
    </row>
    <row r="39" spans="1:8" x14ac:dyDescent="0.3">
      <c r="A39" s="2">
        <v>2021</v>
      </c>
      <c r="B39" s="3">
        <v>2</v>
      </c>
      <c r="C39" s="3">
        <v>94.38</v>
      </c>
      <c r="D39" s="3">
        <v>-6.7</v>
      </c>
      <c r="E39" s="3">
        <v>-0.77508791027188628</v>
      </c>
      <c r="F39" s="3">
        <v>96.185000000000002</v>
      </c>
      <c r="G39" s="3">
        <v>-4.9000000000000004</v>
      </c>
      <c r="H39" s="3">
        <v>-1.7864705289063896E-2</v>
      </c>
    </row>
    <row r="40" spans="1:8" x14ac:dyDescent="0.3">
      <c r="A40" s="2">
        <v>2021</v>
      </c>
      <c r="B40" s="3">
        <v>3</v>
      </c>
      <c r="C40" s="3">
        <v>95.608000000000004</v>
      </c>
      <c r="D40" s="3">
        <v>-4</v>
      </c>
      <c r="E40" s="3">
        <v>-0.66614429862861124</v>
      </c>
      <c r="F40" s="3">
        <v>96.769000000000005</v>
      </c>
      <c r="G40" s="3">
        <v>-2.7</v>
      </c>
      <c r="H40" s="3">
        <v>0.11287557583091359</v>
      </c>
    </row>
    <row r="41" spans="1:8" x14ac:dyDescent="0.3">
      <c r="A41" s="2">
        <v>2021</v>
      </c>
      <c r="B41" s="3">
        <v>4</v>
      </c>
      <c r="C41" s="3">
        <v>95.91</v>
      </c>
      <c r="D41" s="3">
        <v>0.4</v>
      </c>
      <c r="E41" s="3">
        <v>-0.54941603464927891</v>
      </c>
      <c r="F41" s="3">
        <v>97.456999999999994</v>
      </c>
      <c r="G41" s="3">
        <v>1</v>
      </c>
      <c r="H41" s="3">
        <v>0.25244930335946103</v>
      </c>
    </row>
    <row r="42" spans="1:8" x14ac:dyDescent="0.3">
      <c r="A42" s="2">
        <v>2021</v>
      </c>
      <c r="B42" s="3">
        <v>5</v>
      </c>
      <c r="C42" s="3">
        <v>97.643000000000001</v>
      </c>
      <c r="D42" s="3">
        <v>2.4</v>
      </c>
      <c r="E42" s="3">
        <v>-0.42756396218859399</v>
      </c>
      <c r="F42" s="3">
        <v>98.95</v>
      </c>
      <c r="G42" s="3">
        <v>2.6</v>
      </c>
      <c r="H42" s="3">
        <v>0.39835924768080094</v>
      </c>
    </row>
    <row r="43" spans="1:8" x14ac:dyDescent="0.3">
      <c r="A43" s="2">
        <v>2021</v>
      </c>
      <c r="B43" s="3">
        <v>6</v>
      </c>
      <c r="C43" s="3">
        <v>101.238</v>
      </c>
      <c r="D43" s="3">
        <v>5.3</v>
      </c>
      <c r="E43" s="3">
        <v>-0.30318299343218846</v>
      </c>
      <c r="F43" s="3">
        <v>101.05500000000001</v>
      </c>
      <c r="G43" s="3">
        <v>4.0999999999999996</v>
      </c>
      <c r="H43" s="3">
        <v>0.54816009242197816</v>
      </c>
    </row>
    <row r="44" spans="1:8" x14ac:dyDescent="0.3">
      <c r="A44" s="2">
        <v>2021</v>
      </c>
      <c r="B44" s="3">
        <v>7</v>
      </c>
      <c r="C44" s="3">
        <v>105.018</v>
      </c>
      <c r="D44" s="3">
        <v>3.9</v>
      </c>
      <c r="E44" s="3">
        <v>-0.17867168195720892</v>
      </c>
      <c r="F44" s="3">
        <v>101.94199999999999</v>
      </c>
      <c r="G44" s="3">
        <v>3.8</v>
      </c>
      <c r="H44" s="3">
        <v>0.69955941292894863</v>
      </c>
    </row>
    <row r="45" spans="1:8" x14ac:dyDescent="0.3">
      <c r="A45" s="2">
        <v>2021</v>
      </c>
      <c r="B45" s="3">
        <v>8</v>
      </c>
      <c r="C45" s="3">
        <v>105.502</v>
      </c>
      <c r="D45" s="3">
        <v>3.4</v>
      </c>
      <c r="E45" s="3">
        <v>-5.603947141070257E-2</v>
      </c>
      <c r="F45" s="3">
        <v>101.845</v>
      </c>
      <c r="G45" s="3">
        <v>3.8</v>
      </c>
      <c r="H45" s="3">
        <v>0.85051144009680568</v>
      </c>
    </row>
    <row r="46" spans="1:8" x14ac:dyDescent="0.3">
      <c r="A46" s="2">
        <v>2021</v>
      </c>
      <c r="B46" s="3">
        <v>9</v>
      </c>
      <c r="C46" s="3">
        <v>103.47</v>
      </c>
      <c r="D46" s="3">
        <v>2.7</v>
      </c>
      <c r="E46" s="3">
        <v>6.2987435649308213E-2</v>
      </c>
      <c r="F46" s="3">
        <v>102.682</v>
      </c>
      <c r="G46" s="3">
        <v>3.8</v>
      </c>
      <c r="H46" s="3">
        <v>0.99918571319474458</v>
      </c>
    </row>
    <row r="47" spans="1:8" x14ac:dyDescent="0.3">
      <c r="A47" s="2">
        <v>2021</v>
      </c>
      <c r="B47" s="3">
        <v>10</v>
      </c>
      <c r="C47" s="3">
        <v>102.28700000000001</v>
      </c>
      <c r="D47" s="3">
        <v>2</v>
      </c>
      <c r="E47" s="3">
        <v>0.1769228394058712</v>
      </c>
      <c r="F47" s="3">
        <v>102.547</v>
      </c>
      <c r="G47" s="3">
        <v>3.9</v>
      </c>
      <c r="H47" s="3">
        <v>1.1439565970863985</v>
      </c>
    </row>
    <row r="48" spans="1:8" x14ac:dyDescent="0.3">
      <c r="A48" s="2">
        <v>2021</v>
      </c>
      <c r="B48" s="3">
        <v>11</v>
      </c>
      <c r="C48" s="3">
        <v>102.029</v>
      </c>
      <c r="D48" s="3">
        <v>3.6</v>
      </c>
      <c r="E48" s="3">
        <v>0.28446366591455852</v>
      </c>
      <c r="F48" s="3">
        <v>102.07899999999999</v>
      </c>
      <c r="G48" s="3">
        <v>4.0999999999999996</v>
      </c>
      <c r="H48" s="3">
        <v>1.28339295762754</v>
      </c>
    </row>
    <row r="49" spans="1:8" x14ac:dyDescent="0.3">
      <c r="A49" s="2">
        <v>2021</v>
      </c>
      <c r="B49" s="3">
        <v>12</v>
      </c>
      <c r="C49" s="3">
        <v>101.30200000000001</v>
      </c>
      <c r="D49" s="3">
        <v>4</v>
      </c>
      <c r="E49" s="3">
        <v>0.38443344381153916</v>
      </c>
      <c r="F49" s="3">
        <v>101.886</v>
      </c>
      <c r="G49" s="3">
        <v>4.2</v>
      </c>
      <c r="H49" s="3">
        <v>1.4162550525769217</v>
      </c>
    </row>
    <row r="50" spans="1:8" x14ac:dyDescent="0.3">
      <c r="A50" s="2">
        <v>2022</v>
      </c>
      <c r="B50" s="3">
        <v>1</v>
      </c>
      <c r="C50" s="3">
        <v>99.891999999999996</v>
      </c>
      <c r="D50" s="3">
        <v>4.5</v>
      </c>
      <c r="E50" s="3">
        <v>0.475885947311738</v>
      </c>
      <c r="F50" s="3">
        <v>100.715</v>
      </c>
      <c r="G50" s="3">
        <v>4.3</v>
      </c>
      <c r="H50" s="3">
        <v>1.5414987374045719</v>
      </c>
    </row>
    <row r="51" spans="1:8" x14ac:dyDescent="0.3">
      <c r="A51" s="2">
        <v>2022</v>
      </c>
      <c r="B51" s="3">
        <v>2</v>
      </c>
      <c r="C51" s="3">
        <v>99.311000000000007</v>
      </c>
      <c r="D51" s="3">
        <v>5.2</v>
      </c>
      <c r="E51" s="3">
        <v>0.55812603164092633</v>
      </c>
      <c r="F51" s="3">
        <v>100.661</v>
      </c>
      <c r="G51" s="3">
        <v>4.7</v>
      </c>
      <c r="H51" s="3">
        <v>1.6582731832018671</v>
      </c>
    </row>
    <row r="52" spans="1:8" x14ac:dyDescent="0.3">
      <c r="A52" s="2">
        <v>2022</v>
      </c>
      <c r="B52" s="3">
        <v>3</v>
      </c>
      <c r="C52" s="3">
        <v>101.08799999999999</v>
      </c>
      <c r="D52" s="3">
        <v>5.7</v>
      </c>
      <c r="E52" s="3">
        <v>0.63073800438964545</v>
      </c>
      <c r="F52" s="3">
        <v>101.441</v>
      </c>
      <c r="G52" s="3">
        <v>4.8</v>
      </c>
      <c r="H52" s="3">
        <v>1.7659191236478644</v>
      </c>
    </row>
    <row r="53" spans="1:8" x14ac:dyDescent="0.3">
      <c r="A53" s="2">
        <v>2022</v>
      </c>
      <c r="B53" s="3">
        <v>4</v>
      </c>
      <c r="C53" s="3">
        <v>102.10299999999999</v>
      </c>
      <c r="D53" s="3">
        <v>6.5</v>
      </c>
      <c r="E53" s="3">
        <v>0.69362852550735044</v>
      </c>
      <c r="F53" s="3">
        <v>102.79900000000001</v>
      </c>
      <c r="G53" s="3">
        <v>5.5</v>
      </c>
      <c r="H53" s="3">
        <v>1.8639885234505649</v>
      </c>
    </row>
    <row r="54" spans="1:8" x14ac:dyDescent="0.3">
      <c r="A54" s="2">
        <v>2022</v>
      </c>
      <c r="B54" s="3">
        <v>5</v>
      </c>
      <c r="C54" s="3">
        <v>102.779</v>
      </c>
      <c r="D54" s="3">
        <v>5.3</v>
      </c>
      <c r="E54" s="3">
        <v>0.74705628702652505</v>
      </c>
      <c r="F54" s="3">
        <v>104.37</v>
      </c>
      <c r="G54" s="3">
        <v>5.5</v>
      </c>
      <c r="H54" s="3">
        <v>1.9522440473788272</v>
      </c>
    </row>
    <row r="55" spans="1:8" x14ac:dyDescent="0.3">
      <c r="A55" s="2">
        <v>2022</v>
      </c>
      <c r="B55" s="3">
        <v>6</v>
      </c>
      <c r="C55" s="3">
        <v>103.812</v>
      </c>
      <c r="D55" s="3">
        <v>2.5</v>
      </c>
      <c r="E55" s="3">
        <v>0.79168320122093716</v>
      </c>
      <c r="F55" s="3">
        <v>105.23399999999999</v>
      </c>
      <c r="G55" s="3">
        <v>4.0999999999999996</v>
      </c>
      <c r="H55" s="3">
        <v>2.0307008609984925</v>
      </c>
    </row>
    <row r="56" spans="1:8" x14ac:dyDescent="0.3">
      <c r="A56" s="2">
        <v>2022</v>
      </c>
      <c r="B56" s="3">
        <v>7</v>
      </c>
      <c r="C56" s="3">
        <v>106.807</v>
      </c>
      <c r="D56" s="3">
        <v>1.7</v>
      </c>
      <c r="E56" s="3">
        <v>0.82848735701108922</v>
      </c>
      <c r="F56" s="3">
        <v>105.05200000000001</v>
      </c>
      <c r="G56" s="3">
        <v>3.1</v>
      </c>
      <c r="H56" s="3">
        <v>2.0996205018165557</v>
      </c>
    </row>
    <row r="57" spans="1:8" x14ac:dyDescent="0.3">
      <c r="A57" s="2">
        <v>2022</v>
      </c>
      <c r="B57" s="3">
        <v>8</v>
      </c>
      <c r="C57" s="3">
        <v>106.08199999999999</v>
      </c>
      <c r="D57" s="3">
        <v>0.5</v>
      </c>
      <c r="E57" s="3">
        <v>0.85856547642850989</v>
      </c>
      <c r="F57" s="3">
        <v>104.413</v>
      </c>
      <c r="G57" s="3">
        <v>2.5</v>
      </c>
      <c r="H57" s="3">
        <v>2.1594082086691091</v>
      </c>
    </row>
    <row r="58" spans="1:8" x14ac:dyDescent="0.3">
      <c r="A58" s="2">
        <v>2022</v>
      </c>
      <c r="B58" s="3">
        <v>9</v>
      </c>
      <c r="C58" s="3">
        <v>104.142</v>
      </c>
      <c r="D58" s="3">
        <v>0.6</v>
      </c>
      <c r="E58" s="3">
        <v>0.88307480321604637</v>
      </c>
      <c r="F58" s="3">
        <v>105.05800000000001</v>
      </c>
      <c r="G58" s="3">
        <v>2.2999999999999998</v>
      </c>
      <c r="H58" s="3">
        <v>2.2105386911907292</v>
      </c>
    </row>
    <row r="59" spans="1:8" x14ac:dyDescent="0.3">
      <c r="A59" s="2">
        <v>2022</v>
      </c>
      <c r="B59" s="3">
        <v>10</v>
      </c>
      <c r="C59" s="3">
        <v>102.342</v>
      </c>
      <c r="D59" s="3">
        <v>0.1</v>
      </c>
      <c r="E59" s="3">
        <v>0.90314768073623841</v>
      </c>
      <c r="F59" s="3">
        <v>104.664</v>
      </c>
      <c r="G59" s="3">
        <v>2.1</v>
      </c>
      <c r="H59" s="3">
        <v>2.2535103112237245</v>
      </c>
    </row>
    <row r="60" spans="1:8" x14ac:dyDescent="0.3">
      <c r="A60" s="2">
        <v>2022</v>
      </c>
      <c r="B60" s="3">
        <v>11</v>
      </c>
      <c r="C60" s="3">
        <v>101.012</v>
      </c>
      <c r="D60" s="3">
        <v>-1</v>
      </c>
      <c r="E60" s="3">
        <v>0.91989679437918037</v>
      </c>
      <c r="F60" s="3">
        <v>104.167</v>
      </c>
      <c r="G60" s="3">
        <v>2</v>
      </c>
      <c r="H60" s="3">
        <v>2.2888276432012931</v>
      </c>
    </row>
    <row r="61" spans="1:8" x14ac:dyDescent="0.3">
      <c r="A61" s="2">
        <v>2022</v>
      </c>
      <c r="B61" s="3">
        <v>12</v>
      </c>
      <c r="C61" s="3">
        <v>99.902000000000001</v>
      </c>
      <c r="D61" s="3">
        <v>-1.4</v>
      </c>
      <c r="E61" s="3">
        <v>0.93437905539047073</v>
      </c>
      <c r="F61" s="3">
        <v>103.783</v>
      </c>
      <c r="G61" s="3">
        <v>1.9</v>
      </c>
      <c r="H61" s="3">
        <v>2.3169846011183539</v>
      </c>
    </row>
    <row r="62" spans="1:8" x14ac:dyDescent="0.3">
      <c r="A62" s="2">
        <v>2023</v>
      </c>
      <c r="B62" s="3">
        <v>1</v>
      </c>
      <c r="C62" s="3">
        <v>98.350999999999999</v>
      </c>
      <c r="D62" s="3">
        <v>-1.5</v>
      </c>
      <c r="E62" s="3">
        <v>0.94751804884943169</v>
      </c>
      <c r="F62" s="3">
        <v>102.474</v>
      </c>
      <c r="G62" s="3">
        <v>1.7</v>
      </c>
      <c r="H62" s="3">
        <v>2.338455041494603</v>
      </c>
    </row>
    <row r="63" spans="1:8" x14ac:dyDescent="0.3">
      <c r="A63" s="2">
        <v>2023</v>
      </c>
      <c r="B63" s="3">
        <v>2</v>
      </c>
      <c r="C63" s="3">
        <v>98.649000000000001</v>
      </c>
      <c r="D63" s="3">
        <v>-0.7</v>
      </c>
      <c r="E63" s="3">
        <v>0.96007525017876094</v>
      </c>
      <c r="F63" s="3">
        <v>102.551</v>
      </c>
      <c r="G63" s="3">
        <v>1.9</v>
      </c>
      <c r="H63" s="3">
        <v>2.3536838635857698</v>
      </c>
    </row>
    <row r="64" spans="1:8" x14ac:dyDescent="0.3">
      <c r="A64" s="2">
        <v>2023</v>
      </c>
      <c r="B64" s="3">
        <v>3</v>
      </c>
      <c r="C64" s="3">
        <v>100.19</v>
      </c>
      <c r="D64" s="3">
        <v>-0.9</v>
      </c>
      <c r="E64" s="3">
        <v>0.97264216826998595</v>
      </c>
      <c r="F64" s="3">
        <v>103.64400000000001</v>
      </c>
      <c r="G64" s="3">
        <v>2.2000000000000002</v>
      </c>
      <c r="H64" s="3">
        <v>2.3630716294919241</v>
      </c>
    </row>
    <row r="65" spans="1:8" x14ac:dyDescent="0.3">
      <c r="A65" s="2">
        <v>2023</v>
      </c>
      <c r="B65" s="3">
        <v>4</v>
      </c>
      <c r="C65" s="3">
        <v>101.387</v>
      </c>
      <c r="D65" s="3">
        <v>-0.7</v>
      </c>
      <c r="E65" s="3">
        <v>0.98569502901114958</v>
      </c>
      <c r="F65" s="3">
        <v>105.15300000000001</v>
      </c>
      <c r="G65" s="3">
        <v>2.2999999999999998</v>
      </c>
      <c r="H65" s="3">
        <v>2.3669873954892759</v>
      </c>
    </row>
    <row r="66" spans="1:8" x14ac:dyDescent="0.3">
      <c r="A66" s="2">
        <v>2023</v>
      </c>
      <c r="B66" s="3">
        <v>5</v>
      </c>
      <c r="C66" s="3">
        <v>101.60899999999999</v>
      </c>
      <c r="D66" s="3">
        <v>-1.1000000000000001</v>
      </c>
      <c r="E66" s="3">
        <v>0.99958001369527572</v>
      </c>
      <c r="F66" s="3">
        <v>106.471</v>
      </c>
      <c r="G66" s="3">
        <v>2</v>
      </c>
      <c r="H66" s="3">
        <v>2.3657888934353206</v>
      </c>
    </row>
    <row r="67" spans="1:8" x14ac:dyDescent="0.3">
      <c r="A67" s="2">
        <v>2023</v>
      </c>
      <c r="B67" s="3">
        <v>6</v>
      </c>
      <c r="C67" s="3">
        <v>104.06</v>
      </c>
      <c r="D67" s="3">
        <v>0.2</v>
      </c>
      <c r="E67" s="3">
        <v>1.0145262414605958</v>
      </c>
      <c r="F67" s="3">
        <v>107.548</v>
      </c>
      <c r="G67" s="3">
        <v>2.2000000000000002</v>
      </c>
      <c r="H67" s="3">
        <v>2.3598292032850887</v>
      </c>
    </row>
    <row r="68" spans="1:8" x14ac:dyDescent="0.3">
      <c r="A68" s="2">
        <v>2023</v>
      </c>
      <c r="B68" s="3">
        <v>7</v>
      </c>
      <c r="C68" s="3">
        <v>107.038</v>
      </c>
      <c r="D68" s="3">
        <v>0.2</v>
      </c>
      <c r="E68" s="3">
        <v>1.0306170272777233</v>
      </c>
      <c r="F68" s="3">
        <v>107.3</v>
      </c>
      <c r="G68" s="3">
        <v>2.1</v>
      </c>
      <c r="H68" s="3">
        <v>2.3494360029871229</v>
      </c>
    </row>
    <row r="69" spans="1:8" x14ac:dyDescent="0.3">
      <c r="A69" s="2">
        <v>2023</v>
      </c>
      <c r="B69" s="3">
        <v>8</v>
      </c>
      <c r="C69" s="3">
        <v>106.572</v>
      </c>
      <c r="D69" s="3">
        <v>0.5</v>
      </c>
      <c r="E69" s="3">
        <v>1.0478791217949479</v>
      </c>
      <c r="F69" s="3">
        <v>106.72499999999999</v>
      </c>
      <c r="G69" s="3">
        <v>2.2000000000000002</v>
      </c>
      <c r="H69" s="3">
        <v>2.3349258712397378</v>
      </c>
    </row>
    <row r="70" spans="1:8" x14ac:dyDescent="0.3">
      <c r="A70" s="2">
        <v>2023</v>
      </c>
      <c r="B70" s="3">
        <v>9</v>
      </c>
      <c r="C70" s="3">
        <v>105.277</v>
      </c>
      <c r="D70" s="3">
        <v>1.1000000000000001</v>
      </c>
      <c r="E70" s="3">
        <v>1.0662815939225538</v>
      </c>
      <c r="F70" s="3">
        <v>107.505</v>
      </c>
      <c r="G70" s="3">
        <v>2.2999999999999998</v>
      </c>
      <c r="H70" s="3">
        <v>2.3165980647965969</v>
      </c>
    </row>
    <row r="71" spans="1:8" x14ac:dyDescent="0.3">
      <c r="A71" s="2">
        <v>2023</v>
      </c>
      <c r="B71" s="3">
        <v>10</v>
      </c>
      <c r="C71" s="3">
        <v>103.28700000000001</v>
      </c>
      <c r="D71" s="3">
        <v>0.9</v>
      </c>
      <c r="E71" s="3">
        <v>1.0857554654095896</v>
      </c>
      <c r="F71" s="3">
        <v>107.008</v>
      </c>
      <c r="G71" s="3">
        <v>2.2000000000000002</v>
      </c>
      <c r="H71" s="3">
        <v>2.2947424705591937</v>
      </c>
    </row>
    <row r="72" spans="1:8" x14ac:dyDescent="0.3">
      <c r="A72" s="2">
        <v>2023</v>
      </c>
      <c r="B72" s="3">
        <v>11</v>
      </c>
      <c r="C72" s="3">
        <v>102.128</v>
      </c>
      <c r="D72" s="3">
        <v>1.1000000000000001</v>
      </c>
      <c r="E72" s="3">
        <v>1.1062340995610813</v>
      </c>
      <c r="F72" s="3">
        <v>106.432</v>
      </c>
      <c r="G72" s="3">
        <v>2.2000000000000002</v>
      </c>
      <c r="H72" s="3">
        <v>2.2696478227856334</v>
      </c>
    </row>
    <row r="73" spans="1:8" x14ac:dyDescent="0.3">
      <c r="A73" s="2">
        <v>2023</v>
      </c>
      <c r="B73" s="3">
        <v>12</v>
      </c>
      <c r="C73" s="3">
        <v>101.19</v>
      </c>
      <c r="D73" s="3">
        <v>1.3</v>
      </c>
      <c r="E73" s="3">
        <v>1.1276379599969577</v>
      </c>
      <c r="F73" s="3">
        <v>105.827</v>
      </c>
      <c r="G73" s="3">
        <v>2</v>
      </c>
      <c r="H73" s="3">
        <v>2.241596276395788</v>
      </c>
    </row>
    <row r="74" spans="1:8" x14ac:dyDescent="0.3">
      <c r="A74" s="2">
        <v>2024</v>
      </c>
      <c r="B74" s="3">
        <v>1</v>
      </c>
      <c r="C74" s="3">
        <v>99.584000000000003</v>
      </c>
      <c r="D74" s="3">
        <v>1.3</v>
      </c>
      <c r="E74" s="3">
        <v>1.1498870774135663</v>
      </c>
      <c r="F74" s="3">
        <v>104.604</v>
      </c>
      <c r="G74" s="3">
        <v>2.1</v>
      </c>
      <c r="H74" s="3">
        <v>2.2108651496551688</v>
      </c>
    </row>
    <row r="75" spans="1:8" x14ac:dyDescent="0.3">
      <c r="A75" s="2">
        <v>2024</v>
      </c>
      <c r="B75" s="3">
        <v>2</v>
      </c>
      <c r="C75" s="3">
        <v>98.911000000000001</v>
      </c>
      <c r="D75" s="3">
        <v>0.3</v>
      </c>
      <c r="E75" s="3">
        <v>1.1729134520933659</v>
      </c>
      <c r="F75" s="3">
        <v>104.59</v>
      </c>
      <c r="G75" s="3">
        <v>2</v>
      </c>
      <c r="H75" s="3">
        <v>2.1777149833100933</v>
      </c>
    </row>
    <row r="76" spans="1:8" x14ac:dyDescent="0.3">
      <c r="A76" s="2">
        <v>2024</v>
      </c>
      <c r="B76" s="3">
        <v>3</v>
      </c>
      <c r="C76" s="3">
        <v>101.129</v>
      </c>
      <c r="D76" s="3">
        <v>0.9</v>
      </c>
      <c r="E76" s="3">
        <v>1.1966595088273284</v>
      </c>
      <c r="F76" s="3">
        <v>105.94499999999999</v>
      </c>
      <c r="G76" s="3">
        <v>2.2000000000000002</v>
      </c>
      <c r="H76" s="3">
        <v>2.1423986191381519</v>
      </c>
    </row>
    <row r="77" spans="1:8" x14ac:dyDescent="0.3">
      <c r="A77" s="2">
        <v>2024</v>
      </c>
      <c r="B77" s="3">
        <v>4</v>
      </c>
      <c r="C77" s="3">
        <v>102.45099999999999</v>
      </c>
      <c r="D77" s="3">
        <v>1</v>
      </c>
      <c r="E77" s="3">
        <v>1.2210070534166968</v>
      </c>
      <c r="F77" s="3">
        <v>107.247</v>
      </c>
      <c r="G77" s="3">
        <v>2</v>
      </c>
      <c r="H77" s="3">
        <v>2.1051565575986499</v>
      </c>
    </row>
    <row r="78" spans="1:8" x14ac:dyDescent="0.3">
      <c r="A78" s="2">
        <v>2024</v>
      </c>
      <c r="B78" s="3">
        <v>5</v>
      </c>
      <c r="C78" s="3">
        <v>104.137</v>
      </c>
      <c r="D78" s="3">
        <v>2.5</v>
      </c>
      <c r="E78" s="3">
        <v>1.2458172903079345</v>
      </c>
      <c r="F78" s="3">
        <v>108.453</v>
      </c>
      <c r="G78" s="3">
        <v>1.9</v>
      </c>
      <c r="H78" s="3">
        <v>2.0662332992467864</v>
      </c>
    </row>
    <row r="79" spans="1:8" x14ac:dyDescent="0.3">
      <c r="A79" s="2">
        <v>2024</v>
      </c>
      <c r="B79" s="3">
        <v>6</v>
      </c>
      <c r="C79" s="3">
        <v>106.134</v>
      </c>
      <c r="D79" s="3">
        <v>2</v>
      </c>
      <c r="E79" s="3">
        <v>1.2709360762354622</v>
      </c>
      <c r="F79" s="3">
        <v>109.28700000000001</v>
      </c>
      <c r="G79" s="3">
        <v>1.6</v>
      </c>
      <c r="H79" s="3">
        <v>2.0258660420990382</v>
      </c>
    </row>
    <row r="80" spans="1:8" x14ac:dyDescent="0.3">
      <c r="A80" s="2">
        <v>2024</v>
      </c>
      <c r="B80" s="3">
        <v>7</v>
      </c>
      <c r="C80" s="3">
        <v>108.58499999999999</v>
      </c>
      <c r="D80" s="3">
        <v>1.4</v>
      </c>
      <c r="E80" s="3">
        <v>1.2962963639552072</v>
      </c>
      <c r="F80" s="3">
        <v>109.19199999999999</v>
      </c>
      <c r="G80" s="3">
        <v>1.8</v>
      </c>
      <c r="H80" s="3">
        <v>1.9842804401927678</v>
      </c>
    </row>
    <row r="81" spans="1:8" x14ac:dyDescent="0.3">
      <c r="A81" s="2">
        <v>2024</v>
      </c>
      <c r="B81" s="3">
        <v>8</v>
      </c>
      <c r="C81" s="3">
        <v>107.77500000000001</v>
      </c>
      <c r="D81" s="3">
        <v>1.1000000000000001</v>
      </c>
      <c r="E81" s="3">
        <v>1.321881735662247</v>
      </c>
      <c r="F81" s="3">
        <v>108.45399999999999</v>
      </c>
      <c r="G81" s="3">
        <v>1.6</v>
      </c>
      <c r="H81" s="3">
        <v>1.9416725735346367</v>
      </c>
    </row>
    <row r="82" spans="1:8" x14ac:dyDescent="0.3">
      <c r="A82" s="2">
        <v>2024</v>
      </c>
      <c r="B82" s="3">
        <v>9</v>
      </c>
      <c r="C82" s="3">
        <v>106.072</v>
      </c>
      <c r="D82" s="3">
        <v>0.8</v>
      </c>
      <c r="E82" s="3">
        <v>1.3476829751930515</v>
      </c>
      <c r="F82" s="3">
        <v>109.254</v>
      </c>
      <c r="G82" s="3">
        <v>1.6</v>
      </c>
      <c r="H82" s="3">
        <v>1.8982257248785155</v>
      </c>
    </row>
    <row r="83" spans="1:8" x14ac:dyDescent="0.3">
      <c r="A83" s="2">
        <v>2024</v>
      </c>
      <c r="B83" s="3">
        <v>10</v>
      </c>
      <c r="C83" s="3">
        <v>104.23399999999999</v>
      </c>
      <c r="D83" s="3">
        <v>0.9</v>
      </c>
      <c r="E83" s="3">
        <v>1.3736754579302253</v>
      </c>
      <c r="F83" s="3">
        <v>108.706</v>
      </c>
      <c r="G83" s="3">
        <v>1.6</v>
      </c>
      <c r="H83" s="3">
        <v>1.8540994497162231</v>
      </c>
    </row>
    <row r="84" spans="1:8" x14ac:dyDescent="0.3">
      <c r="A84" s="2">
        <v>2024</v>
      </c>
      <c r="B84" s="3">
        <v>11</v>
      </c>
      <c r="C84" s="3">
        <v>103.2</v>
      </c>
      <c r="D84" s="3">
        <v>1</v>
      </c>
      <c r="E84" s="3">
        <v>1.3997965257164289</v>
      </c>
      <c r="F84" s="3">
        <v>108.011</v>
      </c>
      <c r="G84" s="3">
        <v>1.5</v>
      </c>
      <c r="H84" s="3">
        <v>1.8094325934197952</v>
      </c>
    </row>
    <row r="85" spans="1:8" x14ac:dyDescent="0.3">
      <c r="A85" s="2">
        <v>2024</v>
      </c>
      <c r="B85" s="3">
        <v>12</v>
      </c>
      <c r="C85" s="3">
        <v>103.04600000000001</v>
      </c>
      <c r="D85" s="3">
        <v>1.8</v>
      </c>
      <c r="E85" s="3">
        <v>1.4259506262652997</v>
      </c>
      <c r="F85" s="3">
        <v>107.60599999999999</v>
      </c>
      <c r="G85" s="3">
        <v>1.7</v>
      </c>
      <c r="H85" s="3">
        <v>1.7643463555661485</v>
      </c>
    </row>
    <row r="86" spans="1:8" x14ac:dyDescent="0.3">
      <c r="A86" s="2">
        <v>2025</v>
      </c>
      <c r="B86" s="3">
        <v>1</v>
      </c>
      <c r="C86" s="3">
        <v>100.851</v>
      </c>
      <c r="D86" s="3">
        <v>1.3</v>
      </c>
      <c r="E86" s="3">
        <v>1.4520144436428559</v>
      </c>
      <c r="F86" s="3">
        <v>106.24</v>
      </c>
      <c r="G86" s="3">
        <v>1.6</v>
      </c>
      <c r="H86" s="3">
        <v>1.7189404473576564</v>
      </c>
    </row>
    <row r="87" spans="1:8" x14ac:dyDescent="0.3">
      <c r="A87" s="2">
        <v>2025</v>
      </c>
      <c r="B87" s="3">
        <v>2</v>
      </c>
      <c r="C87" s="3">
        <v>101.902</v>
      </c>
      <c r="D87" s="3">
        <v>3</v>
      </c>
      <c r="E87" s="3">
        <v>1.4778906375660696</v>
      </c>
      <c r="F87" s="3">
        <v>106.18300000000001</v>
      </c>
      <c r="G87" s="3">
        <v>1.5</v>
      </c>
      <c r="H87" s="3">
        <v>1.6733101114997779</v>
      </c>
    </row>
    <row r="88" spans="1:8" x14ac:dyDescent="0.3">
      <c r="A88" s="2">
        <v>2025</v>
      </c>
      <c r="B88" s="3">
        <v>3</v>
      </c>
      <c r="C88" s="3">
        <v>103.599</v>
      </c>
      <c r="D88" s="3">
        <v>2.4</v>
      </c>
      <c r="E88" s="3">
        <v>1.503471311193326</v>
      </c>
      <c r="F88" s="3">
        <v>107.136</v>
      </c>
      <c r="G88" s="3">
        <v>1.1000000000000001</v>
      </c>
      <c r="H88" s="3">
        <v>1.6275423309446837</v>
      </c>
    </row>
    <row r="89" spans="1:8" x14ac:dyDescent="0.3">
      <c r="A89" s="2">
        <v>2025</v>
      </c>
      <c r="B89" s="3">
        <v>4</v>
      </c>
      <c r="C89" s="3">
        <v>104.997</v>
      </c>
      <c r="D89" s="3">
        <v>2.5</v>
      </c>
      <c r="E89" s="3">
        <v>1.5287542697220684</v>
      </c>
      <c r="F89" s="3">
        <v>108.61499999999999</v>
      </c>
      <c r="G89" s="3">
        <v>1.3</v>
      </c>
      <c r="H89" s="3">
        <v>1.5817120532201345</v>
      </c>
    </row>
    <row r="90" spans="1:8" x14ac:dyDescent="0.3">
      <c r="A90" s="2">
        <v>2025</v>
      </c>
      <c r="B90" s="3">
        <v>5</v>
      </c>
      <c r="C90" s="3">
        <v>104.998</v>
      </c>
      <c r="D90" s="3">
        <v>0.8</v>
      </c>
      <c r="E90" s="3">
        <v>1.553799577286463</v>
      </c>
      <c r="F90" s="3">
        <v>109.886</v>
      </c>
      <c r="G90" s="3">
        <v>1.3</v>
      </c>
      <c r="H90" s="3">
        <v>1.535857590969798</v>
      </c>
    </row>
    <row r="91" spans="1:8" x14ac:dyDescent="0.3">
      <c r="A91" s="2">
        <v>2025</v>
      </c>
      <c r="B91" s="3">
        <v>6</v>
      </c>
      <c r="C91" s="3">
        <v>107.236</v>
      </c>
      <c r="D91" s="3">
        <v>1</v>
      </c>
      <c r="E91" s="3">
        <v>1.5787347456408345</v>
      </c>
      <c r="F91" s="3">
        <v>110.944</v>
      </c>
      <c r="G91" s="3">
        <v>1.5</v>
      </c>
      <c r="H91" s="3">
        <v>1.4899976935003127</v>
      </c>
    </row>
    <row r="92" spans="1:8" x14ac:dyDescent="0.3">
      <c r="A92" s="2">
        <v>2025</v>
      </c>
      <c r="B92" s="3">
        <v>7</v>
      </c>
      <c r="C92" s="3">
        <v>109.77500000000001</v>
      </c>
      <c r="D92" s="3">
        <v>1.1000000000000001</v>
      </c>
      <c r="E92" s="3">
        <v>1.6036349393466403</v>
      </c>
      <c r="F92" s="3">
        <v>110.767</v>
      </c>
      <c r="G92" s="3">
        <v>1.4</v>
      </c>
      <c r="H92" s="3">
        <v>1.4441347311189443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topLeftCell="A76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152</v>
      </c>
      <c r="D1" s="2" t="s">
        <v>153</v>
      </c>
      <c r="E1" s="2" t="s">
        <v>154</v>
      </c>
      <c r="F1" s="2" t="s">
        <v>155</v>
      </c>
      <c r="G1" s="2" t="s">
        <v>156</v>
      </c>
      <c r="H1" s="2" t="s">
        <v>157</v>
      </c>
    </row>
    <row r="2" spans="1:8" x14ac:dyDescent="0.3">
      <c r="A2" s="2">
        <v>2018</v>
      </c>
      <c r="B2" s="3">
        <v>1</v>
      </c>
      <c r="C2" s="3">
        <v>98.491</v>
      </c>
      <c r="D2" s="3">
        <v>0.76321039439357641</v>
      </c>
      <c r="E2" s="3">
        <v>6.72695038032601E-3</v>
      </c>
      <c r="F2" s="3">
        <v>101.482</v>
      </c>
      <c r="G2" s="3">
        <v>2.4604977535463757</v>
      </c>
      <c r="H2" s="3">
        <v>1.3629005565291743</v>
      </c>
    </row>
    <row r="3" spans="1:8" x14ac:dyDescent="0.3">
      <c r="A3" s="2">
        <v>2018</v>
      </c>
      <c r="B3" s="3">
        <v>2</v>
      </c>
      <c r="C3" s="3">
        <v>82.516000000000005</v>
      </c>
      <c r="D3" s="3">
        <v>1.3299276706003615</v>
      </c>
      <c r="E3" s="3">
        <v>-8.9507234108089875E-2</v>
      </c>
      <c r="F3" s="3">
        <v>87.238</v>
      </c>
      <c r="G3" s="3">
        <v>2.078116589829393</v>
      </c>
      <c r="H3" s="3">
        <v>1.2581055000667802</v>
      </c>
    </row>
    <row r="4" spans="1:8" x14ac:dyDescent="0.3">
      <c r="A4" s="2">
        <v>2018</v>
      </c>
      <c r="B4" s="3">
        <v>3</v>
      </c>
      <c r="C4" s="3">
        <v>94.033000000000001</v>
      </c>
      <c r="D4" s="3">
        <v>2.5844388200384039</v>
      </c>
      <c r="E4" s="3">
        <v>-0.17894281647584717</v>
      </c>
      <c r="F4" s="3">
        <v>97.754000000000005</v>
      </c>
      <c r="G4" s="3">
        <v>1.4824657932437812</v>
      </c>
      <c r="H4" s="3">
        <v>1.1547306719939712</v>
      </c>
    </row>
    <row r="5" spans="1:8" x14ac:dyDescent="0.3">
      <c r="A5" s="2">
        <v>2018</v>
      </c>
      <c r="B5" s="3">
        <v>4</v>
      </c>
      <c r="C5" s="3">
        <v>93.686999999999998</v>
      </c>
      <c r="D5" s="3">
        <v>-1.4516078134368393</v>
      </c>
      <c r="E5" s="3">
        <v>-0.26169320075456726</v>
      </c>
      <c r="F5" s="3">
        <v>95.019000000000005</v>
      </c>
      <c r="G5" s="3">
        <v>0.76566592786622145</v>
      </c>
      <c r="H5" s="3">
        <v>1.0529685234685042</v>
      </c>
    </row>
    <row r="6" spans="1:8" x14ac:dyDescent="0.3">
      <c r="A6" s="2">
        <v>2018</v>
      </c>
      <c r="B6" s="3">
        <v>5</v>
      </c>
      <c r="C6" s="3">
        <v>95.561999999999998</v>
      </c>
      <c r="D6" s="3">
        <v>-0.13272162944538701</v>
      </c>
      <c r="E6" s="3">
        <v>-0.33767988947333583</v>
      </c>
      <c r="F6" s="3">
        <v>98.034999999999997</v>
      </c>
      <c r="G6" s="3">
        <v>-0.16599116071610576</v>
      </c>
      <c r="H6" s="3">
        <v>0.95303426503155686</v>
      </c>
    </row>
    <row r="7" spans="1:8" x14ac:dyDescent="0.3">
      <c r="A7" s="2">
        <v>2018</v>
      </c>
      <c r="B7" s="3">
        <v>6</v>
      </c>
      <c r="C7" s="3">
        <v>98.774000000000001</v>
      </c>
      <c r="D7" s="3">
        <v>-0.52269545688015118</v>
      </c>
      <c r="E7" s="3">
        <v>-0.4069070181204526</v>
      </c>
      <c r="F7" s="3">
        <v>102.28400000000001</v>
      </c>
      <c r="G7" s="3">
        <v>0.6534146821491893</v>
      </c>
      <c r="H7" s="3">
        <v>0.8551231556551675</v>
      </c>
    </row>
    <row r="8" spans="1:8" x14ac:dyDescent="0.3">
      <c r="A8" s="2">
        <v>2018</v>
      </c>
      <c r="B8" s="3">
        <v>7</v>
      </c>
      <c r="C8" s="3">
        <v>111.33</v>
      </c>
      <c r="D8" s="3">
        <v>-2.0844327176781086</v>
      </c>
      <c r="E8" s="3">
        <v>-0.46936448897171545</v>
      </c>
      <c r="F8" s="3">
        <v>107.681</v>
      </c>
      <c r="G8" s="3">
        <v>-0.69443163583378098</v>
      </c>
      <c r="H8" s="3">
        <v>0.75935274421236432</v>
      </c>
    </row>
    <row r="9" spans="1:8" x14ac:dyDescent="0.3">
      <c r="A9" s="2">
        <v>2018</v>
      </c>
      <c r="B9" s="3">
        <v>8</v>
      </c>
      <c r="C9" s="3">
        <v>115.18</v>
      </c>
      <c r="D9" s="3">
        <v>-0.57919223830609212</v>
      </c>
      <c r="E9" s="3">
        <v>-0.52505024516672505</v>
      </c>
      <c r="F9" s="3">
        <v>99.408000000000001</v>
      </c>
      <c r="G9" s="3">
        <v>0.28246307804051796</v>
      </c>
      <c r="H9" s="3">
        <v>0.66582657204329332</v>
      </c>
    </row>
    <row r="10" spans="1:8" x14ac:dyDescent="0.3">
      <c r="A10" s="2">
        <v>2018</v>
      </c>
      <c r="B10" s="3">
        <v>9</v>
      </c>
      <c r="C10" s="3">
        <v>95.488</v>
      </c>
      <c r="D10" s="3">
        <v>-4.2429226125412338</v>
      </c>
      <c r="E10" s="3">
        <v>-0.57407438736096439</v>
      </c>
      <c r="F10" s="3">
        <v>96.097999999999999</v>
      </c>
      <c r="G10" s="3">
        <v>-3.1192031615452809</v>
      </c>
      <c r="H10" s="3">
        <v>0.57454722323948604</v>
      </c>
    </row>
    <row r="11" spans="1:8" x14ac:dyDescent="0.3">
      <c r="A11" s="2">
        <v>2018</v>
      </c>
      <c r="B11" s="3">
        <v>10</v>
      </c>
      <c r="C11" s="3">
        <v>96.399000000000001</v>
      </c>
      <c r="D11" s="3">
        <v>3.7016717227134954</v>
      </c>
      <c r="E11" s="3">
        <v>-0.61655077607055109</v>
      </c>
      <c r="F11" s="3">
        <v>100.193</v>
      </c>
      <c r="G11" s="3">
        <v>4.5408541229745136</v>
      </c>
      <c r="H11" s="3">
        <v>0.4854906594276126</v>
      </c>
    </row>
    <row r="12" spans="1:8" x14ac:dyDescent="0.3">
      <c r="A12" s="2">
        <v>2018</v>
      </c>
      <c r="B12" s="3">
        <v>11</v>
      </c>
      <c r="C12" s="3">
        <v>93.74</v>
      </c>
      <c r="D12" s="3">
        <v>1.5095402074805531</v>
      </c>
      <c r="E12" s="3">
        <v>-0.65284805293835146</v>
      </c>
      <c r="F12" s="3">
        <v>99.909000000000006</v>
      </c>
      <c r="G12" s="3">
        <v>1.4520862315823724</v>
      </c>
      <c r="H12" s="3">
        <v>0.39837633179095561</v>
      </c>
    </row>
    <row r="13" spans="1:8" x14ac:dyDescent="0.3">
      <c r="A13" s="2">
        <v>2018</v>
      </c>
      <c r="B13" s="3">
        <v>12</v>
      </c>
      <c r="C13" s="3">
        <v>113.774</v>
      </c>
      <c r="D13" s="3">
        <v>0.53904068431656071</v>
      </c>
      <c r="E13" s="3">
        <v>-0.68303498304481636</v>
      </c>
      <c r="F13" s="3">
        <v>117.021</v>
      </c>
      <c r="G13" s="3">
        <v>9.2376382438219551E-2</v>
      </c>
      <c r="H13" s="3">
        <v>0.31320531397554385</v>
      </c>
    </row>
    <row r="14" spans="1:8" x14ac:dyDescent="0.3">
      <c r="A14" s="2">
        <v>2019</v>
      </c>
      <c r="B14" s="3">
        <v>1</v>
      </c>
      <c r="C14" s="3">
        <v>98.233999999999995</v>
      </c>
      <c r="D14" s="3">
        <v>-0.26093754759318744</v>
      </c>
      <c r="E14" s="3">
        <v>-0.70703016561897858</v>
      </c>
      <c r="F14" s="3">
        <v>103.24299999999999</v>
      </c>
      <c r="G14" s="3">
        <v>1.735283104392904</v>
      </c>
      <c r="H14" s="3">
        <v>0.23005185392600275</v>
      </c>
    </row>
    <row r="15" spans="1:8" x14ac:dyDescent="0.3">
      <c r="A15" s="2">
        <v>2019</v>
      </c>
      <c r="B15" s="3">
        <v>2</v>
      </c>
      <c r="C15" s="3">
        <v>82.715000000000003</v>
      </c>
      <c r="D15" s="3">
        <v>0.24116534975033854</v>
      </c>
      <c r="E15" s="3">
        <v>-0.72466733352408219</v>
      </c>
      <c r="F15" s="3">
        <v>88.751000000000005</v>
      </c>
      <c r="G15" s="3">
        <v>1.7343359545152426</v>
      </c>
      <c r="H15" s="3">
        <v>0.14897486424448986</v>
      </c>
    </row>
    <row r="16" spans="1:8" x14ac:dyDescent="0.3">
      <c r="A16" s="2">
        <v>2019</v>
      </c>
      <c r="B16" s="3">
        <v>3</v>
      </c>
      <c r="C16" s="3">
        <v>91.120999999999995</v>
      </c>
      <c r="D16" s="3">
        <v>-3.0967851711633188</v>
      </c>
      <c r="E16" s="3">
        <v>-0.73574924096934158</v>
      </c>
      <c r="F16" s="3">
        <v>97.838999999999999</v>
      </c>
      <c r="G16" s="3">
        <v>8.6952963561581775E-2</v>
      </c>
      <c r="H16" s="3">
        <v>7.0137787481111866E-2</v>
      </c>
    </row>
    <row r="17" spans="1:8" x14ac:dyDescent="0.3">
      <c r="A17" s="2">
        <v>2019</v>
      </c>
      <c r="B17" s="3">
        <v>4</v>
      </c>
      <c r="C17" s="3">
        <v>92.765000000000001</v>
      </c>
      <c r="D17" s="3">
        <v>-0.98412800068312656</v>
      </c>
      <c r="E17" s="3">
        <v>-0.74001157044985488</v>
      </c>
      <c r="F17" s="3">
        <v>96.91</v>
      </c>
      <c r="G17" s="3">
        <v>1.9901282901314321</v>
      </c>
      <c r="H17" s="3">
        <v>-6.1858392938668409E-3</v>
      </c>
    </row>
    <row r="18" spans="1:8" x14ac:dyDescent="0.3">
      <c r="A18" s="2">
        <v>2019</v>
      </c>
      <c r="B18" s="3">
        <v>5</v>
      </c>
      <c r="C18" s="3">
        <v>95.968000000000004</v>
      </c>
      <c r="D18" s="3">
        <v>0.42485506791403171</v>
      </c>
      <c r="E18" s="3">
        <v>-0.73735396528920594</v>
      </c>
      <c r="F18" s="3">
        <v>101.068</v>
      </c>
      <c r="G18" s="3">
        <v>3.0937930331004226</v>
      </c>
      <c r="H18" s="3">
        <v>-7.9721311289620747E-2</v>
      </c>
    </row>
    <row r="19" spans="1:8" x14ac:dyDescent="0.3">
      <c r="A19" s="2">
        <v>2019</v>
      </c>
      <c r="B19" s="3">
        <v>6</v>
      </c>
      <c r="C19" s="3">
        <v>97.62</v>
      </c>
      <c r="D19" s="3">
        <v>-1.1683236479235415</v>
      </c>
      <c r="E19" s="3">
        <v>-0.72769302134085623</v>
      </c>
      <c r="F19" s="3">
        <v>102.685</v>
      </c>
      <c r="G19" s="3">
        <v>0.39204567674318014</v>
      </c>
      <c r="H19" s="3">
        <v>-0.15005529078966981</v>
      </c>
    </row>
    <row r="20" spans="1:8" x14ac:dyDescent="0.3">
      <c r="A20" s="2">
        <v>2019</v>
      </c>
      <c r="B20" s="3">
        <v>7</v>
      </c>
      <c r="C20" s="3">
        <v>115.511</v>
      </c>
      <c r="D20" s="3">
        <v>3.7555016617264014</v>
      </c>
      <c r="E20" s="3">
        <v>-0.71086462549762808</v>
      </c>
      <c r="F20" s="3">
        <v>112.816</v>
      </c>
      <c r="G20" s="3">
        <v>4.7687150007893697</v>
      </c>
      <c r="H20" s="3">
        <v>-0.21655405713695133</v>
      </c>
    </row>
    <row r="21" spans="1:8" x14ac:dyDescent="0.3">
      <c r="A21" s="2">
        <v>2019</v>
      </c>
      <c r="B21" s="3">
        <v>8</v>
      </c>
      <c r="C21" s="3">
        <v>115.645</v>
      </c>
      <c r="D21" s="3">
        <v>0.40371592290326941</v>
      </c>
      <c r="E21" s="3">
        <v>-0.68673526400141194</v>
      </c>
      <c r="F21" s="3">
        <v>102.68899999999999</v>
      </c>
      <c r="G21" s="3">
        <v>3.3005391920167382</v>
      </c>
      <c r="H21" s="3">
        <v>-0.27854624377387949</v>
      </c>
    </row>
    <row r="22" spans="1:8" x14ac:dyDescent="0.3">
      <c r="A22" s="2">
        <v>2019</v>
      </c>
      <c r="B22" s="3">
        <v>9</v>
      </c>
      <c r="C22" s="3">
        <v>97.277000000000001</v>
      </c>
      <c r="D22" s="3">
        <v>1.8735338471849827</v>
      </c>
      <c r="E22" s="3">
        <v>-0.65486125876859658</v>
      </c>
      <c r="F22" s="3">
        <v>99.600999999999999</v>
      </c>
      <c r="G22" s="3">
        <v>3.6452371537389006</v>
      </c>
      <c r="H22" s="3">
        <v>-0.33501428490273472</v>
      </c>
    </row>
    <row r="23" spans="1:8" x14ac:dyDescent="0.3">
      <c r="A23" s="2">
        <v>2019</v>
      </c>
      <c r="B23" s="3">
        <v>10</v>
      </c>
      <c r="C23" s="3">
        <v>97.994</v>
      </c>
      <c r="D23" s="3">
        <v>1.6545814790609903</v>
      </c>
      <c r="E23" s="3">
        <v>-0.61472320593870267</v>
      </c>
      <c r="F23" s="3">
        <v>102.783</v>
      </c>
      <c r="G23" s="3">
        <v>2.5850109289072165</v>
      </c>
      <c r="H23" s="3">
        <v>-0.38469206712608983</v>
      </c>
    </row>
    <row r="24" spans="1:8" x14ac:dyDescent="0.3">
      <c r="A24" s="2">
        <v>2019</v>
      </c>
      <c r="B24" s="3">
        <v>11</v>
      </c>
      <c r="C24" s="3">
        <v>97.245000000000005</v>
      </c>
      <c r="D24" s="3">
        <v>3.7390655003200379</v>
      </c>
      <c r="E24" s="3">
        <v>-0.56562611865778178</v>
      </c>
      <c r="F24" s="3">
        <v>102.949</v>
      </c>
      <c r="G24" s="3">
        <v>3.0427689197169316</v>
      </c>
      <c r="H24" s="3">
        <v>-0.42603707069661195</v>
      </c>
    </row>
    <row r="25" spans="1:8" x14ac:dyDescent="0.3">
      <c r="A25" s="2">
        <v>2019</v>
      </c>
      <c r="B25" s="3">
        <v>12</v>
      </c>
      <c r="C25" s="3">
        <v>113.96899999999999</v>
      </c>
      <c r="D25" s="3">
        <v>0.17139240951358214</v>
      </c>
      <c r="E25" s="3">
        <v>-0.50671741946876048</v>
      </c>
      <c r="F25" s="3">
        <v>119.36</v>
      </c>
      <c r="G25" s="3">
        <v>1.9987865425863616</v>
      </c>
      <c r="H25" s="3">
        <v>-0.45730054649224361</v>
      </c>
    </row>
    <row r="26" spans="1:8" x14ac:dyDescent="0.3">
      <c r="A26" s="2">
        <v>2020</v>
      </c>
      <c r="B26" s="3">
        <v>1</v>
      </c>
      <c r="C26" s="3">
        <v>99.781000000000006</v>
      </c>
      <c r="D26" s="3">
        <v>1.5748111651770369</v>
      </c>
      <c r="E26" s="3">
        <v>-0.43684559399658074</v>
      </c>
      <c r="F26" s="3">
        <v>104.17100000000001</v>
      </c>
      <c r="G26" s="3">
        <v>0.89885028524936406</v>
      </c>
      <c r="H26" s="3">
        <v>-0.47649285608603759</v>
      </c>
    </row>
    <row r="27" spans="1:8" x14ac:dyDescent="0.3">
      <c r="A27" s="2">
        <v>2020</v>
      </c>
      <c r="B27" s="3">
        <v>2</v>
      </c>
      <c r="C27" s="3">
        <v>88.23</v>
      </c>
      <c r="D27" s="3">
        <v>6.6674726470410395</v>
      </c>
      <c r="E27" s="3">
        <v>-0.35481203690583857</v>
      </c>
      <c r="F27" s="3">
        <v>93.736999999999995</v>
      </c>
      <c r="G27" s="3">
        <v>5.6179648680014793</v>
      </c>
      <c r="H27" s="3">
        <v>-0.48145379944763839</v>
      </c>
    </row>
    <row r="28" spans="1:8" x14ac:dyDescent="0.3">
      <c r="A28" s="2">
        <v>2020</v>
      </c>
      <c r="B28" s="3">
        <v>3</v>
      </c>
      <c r="C28" s="3">
        <v>80.117999999999995</v>
      </c>
      <c r="D28" s="3">
        <v>-12.075152818779422</v>
      </c>
      <c r="E28" s="3">
        <v>-0.25927844447507625</v>
      </c>
      <c r="F28" s="3">
        <v>84.608999999999995</v>
      </c>
      <c r="G28" s="3">
        <v>-13.522215067611077</v>
      </c>
      <c r="H28" s="3">
        <v>-0.46992766660631996</v>
      </c>
    </row>
    <row r="29" spans="1:8" x14ac:dyDescent="0.3">
      <c r="A29" s="2">
        <v>2020</v>
      </c>
      <c r="B29" s="3">
        <v>4</v>
      </c>
      <c r="C29" s="3">
        <v>65.317999999999998</v>
      </c>
      <c r="D29" s="3">
        <v>-29.587667762625991</v>
      </c>
      <c r="E29" s="3">
        <v>-0.14841885432422872</v>
      </c>
      <c r="F29" s="3">
        <v>68.031999999999996</v>
      </c>
      <c r="G29" s="3">
        <v>-29.798782375399856</v>
      </c>
      <c r="H29" s="3">
        <v>-0.43923517685056129</v>
      </c>
    </row>
    <row r="30" spans="1:8" x14ac:dyDescent="0.3">
      <c r="A30" s="2">
        <v>2020</v>
      </c>
      <c r="B30" s="3">
        <v>5</v>
      </c>
      <c r="C30" s="3">
        <v>77.289000000000001</v>
      </c>
      <c r="D30" s="3">
        <v>-19.463779593197739</v>
      </c>
      <c r="E30" s="3">
        <v>-2.1227850904779796E-2</v>
      </c>
      <c r="F30" s="3">
        <v>81.83</v>
      </c>
      <c r="G30" s="3">
        <v>-19.034709304626585</v>
      </c>
      <c r="H30" s="3">
        <v>-0.38760345831613335</v>
      </c>
    </row>
    <row r="31" spans="1:8" x14ac:dyDescent="0.3">
      <c r="A31" s="2">
        <v>2020</v>
      </c>
      <c r="B31" s="3">
        <v>6</v>
      </c>
      <c r="C31" s="3">
        <v>95.671999999999997</v>
      </c>
      <c r="D31" s="3">
        <v>-1.9954927269002276</v>
      </c>
      <c r="E31" s="3">
        <v>0.12125558904648796</v>
      </c>
      <c r="F31" s="3">
        <v>99.570999999999998</v>
      </c>
      <c r="G31" s="3">
        <v>-3.0325753518040677</v>
      </c>
      <c r="H31" s="3">
        <v>-0.31529849658315084</v>
      </c>
    </row>
    <row r="32" spans="1:8" x14ac:dyDescent="0.3">
      <c r="A32" s="2">
        <v>2020</v>
      </c>
      <c r="B32" s="3">
        <v>7</v>
      </c>
      <c r="C32" s="3">
        <v>114.20399999999999</v>
      </c>
      <c r="D32" s="3">
        <v>-1.1314939702712357</v>
      </c>
      <c r="E32" s="3">
        <v>0.27664231158846614</v>
      </c>
      <c r="F32" s="3">
        <v>108.88</v>
      </c>
      <c r="G32" s="3">
        <v>-3.488866827400372</v>
      </c>
      <c r="H32" s="3">
        <v>-0.22388121513772227</v>
      </c>
    </row>
    <row r="33" spans="1:8" x14ac:dyDescent="0.3">
      <c r="A33" s="2">
        <v>2020</v>
      </c>
      <c r="B33" s="3">
        <v>8</v>
      </c>
      <c r="C33" s="3">
        <v>114.986</v>
      </c>
      <c r="D33" s="3">
        <v>-0.56984737775086503</v>
      </c>
      <c r="E33" s="3">
        <v>0.44239616636921664</v>
      </c>
      <c r="F33" s="3">
        <v>98.066999999999993</v>
      </c>
      <c r="G33" s="3">
        <v>-4.5009689450671413</v>
      </c>
      <c r="H33" s="3">
        <v>-0.11510123724756861</v>
      </c>
    </row>
    <row r="34" spans="1:8" x14ac:dyDescent="0.3">
      <c r="A34" s="2">
        <v>2020</v>
      </c>
      <c r="B34" s="3">
        <v>9</v>
      </c>
      <c r="C34" s="3">
        <v>99.671999999999997</v>
      </c>
      <c r="D34" s="3">
        <v>2.4620413869671065</v>
      </c>
      <c r="E34" s="3">
        <v>0.6158832157950056</v>
      </c>
      <c r="F34" s="3">
        <v>97.697999999999993</v>
      </c>
      <c r="G34" s="3">
        <v>-1.9106233873153911</v>
      </c>
      <c r="H34" s="3">
        <v>9.0650787076263992E-3</v>
      </c>
    </row>
    <row r="35" spans="1:8" x14ac:dyDescent="0.3">
      <c r="A35" s="2">
        <v>2020</v>
      </c>
      <c r="B35" s="3">
        <v>10</v>
      </c>
      <c r="C35" s="3">
        <v>99.555000000000007</v>
      </c>
      <c r="D35" s="3">
        <v>1.5929546706941355</v>
      </c>
      <c r="E35" s="3">
        <v>0.79439922758153525</v>
      </c>
      <c r="F35" s="3">
        <v>100.715</v>
      </c>
      <c r="G35" s="3">
        <v>-2.0120058764581672</v>
      </c>
      <c r="H35" s="3">
        <v>0.14633680020180267</v>
      </c>
    </row>
    <row r="36" spans="1:8" x14ac:dyDescent="0.3">
      <c r="A36" s="2">
        <v>2020</v>
      </c>
      <c r="B36" s="3">
        <v>11</v>
      </c>
      <c r="C36" s="3">
        <v>91.474999999999994</v>
      </c>
      <c r="D36" s="3">
        <v>-5.9334670162990433</v>
      </c>
      <c r="E36" s="3">
        <v>0.97536817487306149</v>
      </c>
      <c r="F36" s="3">
        <v>97.245999999999995</v>
      </c>
      <c r="G36" s="3">
        <v>-5.5396361305112274</v>
      </c>
      <c r="H36" s="3">
        <v>0.29429968300987075</v>
      </c>
    </row>
    <row r="37" spans="1:8" x14ac:dyDescent="0.3">
      <c r="A37" s="2">
        <v>2020</v>
      </c>
      <c r="B37" s="3">
        <v>12</v>
      </c>
      <c r="C37" s="3">
        <v>116.148</v>
      </c>
      <c r="D37" s="3">
        <v>1.9119234177715105</v>
      </c>
      <c r="E37" s="3">
        <v>1.1562694860529452</v>
      </c>
      <c r="F37" s="3">
        <v>119.09099999999999</v>
      </c>
      <c r="G37" s="3">
        <v>-0.22536863270777863</v>
      </c>
      <c r="H37" s="3">
        <v>0.45038959799863976</v>
      </c>
    </row>
    <row r="38" spans="1:8" x14ac:dyDescent="0.3">
      <c r="A38" s="2">
        <v>2021</v>
      </c>
      <c r="B38" s="3">
        <v>1</v>
      </c>
      <c r="C38" s="3">
        <v>93.763999999999996</v>
      </c>
      <c r="D38" s="3">
        <v>-6.0302061514717291</v>
      </c>
      <c r="E38" s="3">
        <v>1.3341028092829381</v>
      </c>
      <c r="F38" s="3">
        <v>93.823999999999998</v>
      </c>
      <c r="G38" s="3">
        <v>-9.9327067993971507</v>
      </c>
      <c r="H38" s="3">
        <v>0.61163728160342434</v>
      </c>
    </row>
    <row r="39" spans="1:8" x14ac:dyDescent="0.3">
      <c r="A39" s="2">
        <v>2021</v>
      </c>
      <c r="B39" s="3">
        <v>2</v>
      </c>
      <c r="C39" s="3">
        <v>83.968000000000004</v>
      </c>
      <c r="D39" s="3">
        <v>-4.8305565000566713</v>
      </c>
      <c r="E39" s="3">
        <v>1.5059202686922719</v>
      </c>
      <c r="F39" s="3">
        <v>84.587999999999994</v>
      </c>
      <c r="G39" s="3">
        <v>-9.7602867597640248</v>
      </c>
      <c r="H39" s="3">
        <v>0.77502654260462889</v>
      </c>
    </row>
    <row r="40" spans="1:8" x14ac:dyDescent="0.3">
      <c r="A40" s="2">
        <v>2021</v>
      </c>
      <c r="B40" s="3">
        <v>3</v>
      </c>
      <c r="C40" s="3">
        <v>95.290999999999997</v>
      </c>
      <c r="D40" s="3">
        <v>18.938315983923726</v>
      </c>
      <c r="E40" s="3">
        <v>1.6682625780656812</v>
      </c>
      <c r="F40" s="3">
        <v>98.454999999999998</v>
      </c>
      <c r="G40" s="3">
        <v>16.364689335649874</v>
      </c>
      <c r="H40" s="3">
        <v>0.93680894366592138</v>
      </c>
    </row>
    <row r="41" spans="1:8" x14ac:dyDescent="0.3">
      <c r="A41" s="2">
        <v>2021</v>
      </c>
      <c r="B41" s="3">
        <v>4</v>
      </c>
      <c r="C41" s="3">
        <v>89.698999999999998</v>
      </c>
      <c r="D41" s="3">
        <v>37.326617471447385</v>
      </c>
      <c r="E41" s="3">
        <v>1.81723041807896</v>
      </c>
      <c r="F41" s="3">
        <v>92.539000000000001</v>
      </c>
      <c r="G41" s="3">
        <v>36.022753998118539</v>
      </c>
      <c r="H41" s="3">
        <v>1.0925044284716388</v>
      </c>
    </row>
    <row r="42" spans="1:8" x14ac:dyDescent="0.3">
      <c r="A42" s="2">
        <v>2021</v>
      </c>
      <c r="B42" s="3">
        <v>5</v>
      </c>
      <c r="C42" s="3">
        <v>93.09</v>
      </c>
      <c r="D42" s="3">
        <v>20.444047665256381</v>
      </c>
      <c r="E42" s="3">
        <v>1.9501237786721977</v>
      </c>
      <c r="F42" s="3">
        <v>96.641999999999996</v>
      </c>
      <c r="G42" s="3">
        <v>18.100940975192458</v>
      </c>
      <c r="H42" s="3">
        <v>1.2387043212888946</v>
      </c>
    </row>
    <row r="43" spans="1:8" x14ac:dyDescent="0.3">
      <c r="A43" s="2">
        <v>2021</v>
      </c>
      <c r="B43" s="3">
        <v>6</v>
      </c>
      <c r="C43" s="3">
        <v>100.489</v>
      </c>
      <c r="D43" s="3">
        <v>5.0349109457312524</v>
      </c>
      <c r="E43" s="3">
        <v>2.066708579441968</v>
      </c>
      <c r="F43" s="3">
        <v>101.774</v>
      </c>
      <c r="G43" s="3">
        <v>2.2124915889164543</v>
      </c>
      <c r="H43" s="3">
        <v>1.3744256581604726</v>
      </c>
    </row>
    <row r="44" spans="1:8" x14ac:dyDescent="0.3">
      <c r="A44" s="2">
        <v>2021</v>
      </c>
      <c r="B44" s="3">
        <v>7</v>
      </c>
      <c r="C44" s="3">
        <v>114.923</v>
      </c>
      <c r="D44" s="3">
        <v>0.62957514622956623</v>
      </c>
      <c r="E44" s="3">
        <v>2.1680350402547459</v>
      </c>
      <c r="F44" s="3">
        <v>109.482</v>
      </c>
      <c r="G44" s="3">
        <v>0.55290227773696632</v>
      </c>
      <c r="H44" s="3">
        <v>1.4998564637856773</v>
      </c>
    </row>
    <row r="45" spans="1:8" x14ac:dyDescent="0.3">
      <c r="A45" s="2">
        <v>2021</v>
      </c>
      <c r="B45" s="3">
        <v>8</v>
      </c>
      <c r="C45" s="3">
        <v>114.973</v>
      </c>
      <c r="D45" s="3">
        <v>-1.1305724175125764E-2</v>
      </c>
      <c r="E45" s="3">
        <v>2.2553595061413323</v>
      </c>
      <c r="F45" s="3">
        <v>99.058000000000007</v>
      </c>
      <c r="G45" s="3">
        <v>1.0105336147735899</v>
      </c>
      <c r="H45" s="3">
        <v>1.6152429618867825</v>
      </c>
    </row>
    <row r="46" spans="1:8" x14ac:dyDescent="0.3">
      <c r="A46" s="2">
        <v>2021</v>
      </c>
      <c r="B46" s="3">
        <v>9</v>
      </c>
      <c r="C46" s="3">
        <v>99.397000000000006</v>
      </c>
      <c r="D46" s="3">
        <v>-0.27590496829600353</v>
      </c>
      <c r="E46" s="3">
        <v>2.3298314846398873</v>
      </c>
      <c r="F46" s="3">
        <v>99.290999999999997</v>
      </c>
      <c r="G46" s="3">
        <v>1.6305349137136993</v>
      </c>
      <c r="H46" s="3">
        <v>1.7207656154786977</v>
      </c>
    </row>
    <row r="47" spans="1:8" x14ac:dyDescent="0.3">
      <c r="A47" s="2">
        <v>2021</v>
      </c>
      <c r="B47" s="3">
        <v>10</v>
      </c>
      <c r="C47" s="3">
        <v>98.864999999999995</v>
      </c>
      <c r="D47" s="3">
        <v>-0.69308422480037768</v>
      </c>
      <c r="E47" s="3">
        <v>2.392443075980911</v>
      </c>
      <c r="F47" s="3">
        <v>100.544</v>
      </c>
      <c r="G47" s="3">
        <v>-0.16978602988632074</v>
      </c>
      <c r="H47" s="3">
        <v>1.8165628938716718</v>
      </c>
    </row>
    <row r="48" spans="1:8" x14ac:dyDescent="0.3">
      <c r="A48" s="2">
        <v>2021</v>
      </c>
      <c r="B48" s="3">
        <v>11</v>
      </c>
      <c r="C48" s="3">
        <v>99.162999999999997</v>
      </c>
      <c r="D48" s="3">
        <v>8.4044820989341407</v>
      </c>
      <c r="E48" s="3">
        <v>2.4440054264745608</v>
      </c>
      <c r="F48" s="3">
        <v>104.747</v>
      </c>
      <c r="G48" s="3">
        <v>7.7134278016576463</v>
      </c>
      <c r="H48" s="3">
        <v>1.9027670003549984</v>
      </c>
    </row>
    <row r="49" spans="1:8" x14ac:dyDescent="0.3">
      <c r="A49" s="2">
        <v>2021</v>
      </c>
      <c r="B49" s="3">
        <v>12</v>
      </c>
      <c r="C49" s="3">
        <v>116.379</v>
      </c>
      <c r="D49" s="3">
        <v>0.1988841822502474</v>
      </c>
      <c r="E49" s="3">
        <v>2.4851154097017738</v>
      </c>
      <c r="F49" s="3">
        <v>119.056</v>
      </c>
      <c r="G49" s="3">
        <v>-2.9389290542525259E-2</v>
      </c>
      <c r="H49" s="3">
        <v>1.9793721973204879</v>
      </c>
    </row>
    <row r="50" spans="1:8" x14ac:dyDescent="0.3">
      <c r="A50" s="2">
        <v>2022</v>
      </c>
      <c r="B50" s="3">
        <v>1</v>
      </c>
      <c r="C50" s="3">
        <v>98.948999999999998</v>
      </c>
      <c r="D50" s="3">
        <v>5.5298408770956931</v>
      </c>
      <c r="E50" s="3">
        <v>2.5167838212346303</v>
      </c>
      <c r="F50" s="3">
        <v>99.480999999999995</v>
      </c>
      <c r="G50" s="3">
        <v>6.0293741473397056</v>
      </c>
      <c r="H50" s="3">
        <v>2.0467762652711525</v>
      </c>
    </row>
    <row r="51" spans="1:8" x14ac:dyDescent="0.3">
      <c r="A51" s="2">
        <v>2022</v>
      </c>
      <c r="B51" s="3">
        <v>2</v>
      </c>
      <c r="C51" s="3">
        <v>87.933999999999997</v>
      </c>
      <c r="D51" s="3">
        <v>4.7232278963414531</v>
      </c>
      <c r="E51" s="3">
        <v>2.5398626905877482</v>
      </c>
      <c r="F51" s="3">
        <v>89.271000000000001</v>
      </c>
      <c r="G51" s="3">
        <v>5.5362462760675468</v>
      </c>
      <c r="H51" s="3">
        <v>2.1052374873844584</v>
      </c>
    </row>
    <row r="52" spans="1:8" x14ac:dyDescent="0.3">
      <c r="A52" s="2">
        <v>2022</v>
      </c>
      <c r="B52" s="3">
        <v>3</v>
      </c>
      <c r="C52" s="3">
        <v>95.075000000000003</v>
      </c>
      <c r="D52" s="3">
        <v>-0.22667408254714028</v>
      </c>
      <c r="E52" s="3">
        <v>2.5554132873490691</v>
      </c>
      <c r="F52" s="3">
        <v>97.751000000000005</v>
      </c>
      <c r="G52" s="3">
        <v>-0.71504748362195558</v>
      </c>
      <c r="H52" s="3">
        <v>2.1552907161352373</v>
      </c>
    </row>
    <row r="53" spans="1:8" x14ac:dyDescent="0.3">
      <c r="A53" s="2">
        <v>2022</v>
      </c>
      <c r="B53" s="3">
        <v>4</v>
      </c>
      <c r="C53" s="3">
        <v>97.375</v>
      </c>
      <c r="D53" s="3">
        <v>8.5575090023300113</v>
      </c>
      <c r="E53" s="3">
        <v>2.5646485036902678</v>
      </c>
      <c r="F53" s="3">
        <v>97.512</v>
      </c>
      <c r="G53" s="3">
        <v>5.3739504425161178</v>
      </c>
      <c r="H53" s="3">
        <v>2.1977090684975349</v>
      </c>
    </row>
    <row r="54" spans="1:8" x14ac:dyDescent="0.3">
      <c r="A54" s="2">
        <v>2022</v>
      </c>
      <c r="B54" s="3">
        <v>5</v>
      </c>
      <c r="C54" s="3">
        <v>97.382000000000005</v>
      </c>
      <c r="D54" s="3">
        <v>4.6105919003115226</v>
      </c>
      <c r="E54" s="3">
        <v>2.5685880312712204</v>
      </c>
      <c r="F54" s="3">
        <v>101.161</v>
      </c>
      <c r="G54" s="3">
        <v>4.6760207777156948</v>
      </c>
      <c r="H54" s="3">
        <v>2.2330663324037476</v>
      </c>
    </row>
    <row r="55" spans="1:8" x14ac:dyDescent="0.3">
      <c r="A55" s="2">
        <v>2022</v>
      </c>
      <c r="B55" s="3">
        <v>6</v>
      </c>
      <c r="C55" s="3">
        <v>100.438</v>
      </c>
      <c r="D55" s="3">
        <v>-5.0751823582684263E-2</v>
      </c>
      <c r="E55" s="3">
        <v>2.5686677326197649</v>
      </c>
      <c r="F55" s="3">
        <v>103.861</v>
      </c>
      <c r="G55" s="3">
        <v>2.050621966317534</v>
      </c>
      <c r="H55" s="3">
        <v>2.2621568681039124</v>
      </c>
    </row>
    <row r="56" spans="1:8" x14ac:dyDescent="0.3">
      <c r="A56" s="2">
        <v>2022</v>
      </c>
      <c r="B56" s="3">
        <v>7</v>
      </c>
      <c r="C56" s="3">
        <v>113.512</v>
      </c>
      <c r="D56" s="3">
        <v>-1.2277785995840729</v>
      </c>
      <c r="E56" s="3">
        <v>2.5664652760879787</v>
      </c>
      <c r="F56" s="3">
        <v>109.111</v>
      </c>
      <c r="G56" s="3">
        <v>-0.33886848979740591</v>
      </c>
      <c r="H56" s="3">
        <v>2.285944685462324</v>
      </c>
    </row>
    <row r="57" spans="1:8" x14ac:dyDescent="0.3">
      <c r="A57" s="2">
        <v>2022</v>
      </c>
      <c r="B57" s="3">
        <v>8</v>
      </c>
      <c r="C57" s="3">
        <v>121.31</v>
      </c>
      <c r="D57" s="3">
        <v>5.5117288406843379</v>
      </c>
      <c r="E57" s="3">
        <v>2.5633764258920912</v>
      </c>
      <c r="F57" s="3">
        <v>102.994</v>
      </c>
      <c r="G57" s="3">
        <v>3.9734297078479308</v>
      </c>
      <c r="H57" s="3">
        <v>2.3053791044195422</v>
      </c>
    </row>
    <row r="58" spans="1:8" x14ac:dyDescent="0.3">
      <c r="A58" s="2">
        <v>2022</v>
      </c>
      <c r="B58" s="3">
        <v>9</v>
      </c>
      <c r="C58" s="3">
        <v>100.517</v>
      </c>
      <c r="D58" s="3">
        <v>1.126794571264722</v>
      </c>
      <c r="E58" s="3">
        <v>2.5605334570902989</v>
      </c>
      <c r="F58" s="3">
        <v>101.056</v>
      </c>
      <c r="G58" s="3">
        <v>1.7776032067357672</v>
      </c>
      <c r="H58" s="3">
        <v>2.3212271662233999</v>
      </c>
    </row>
    <row r="59" spans="1:8" x14ac:dyDescent="0.3">
      <c r="A59" s="2">
        <v>2022</v>
      </c>
      <c r="B59" s="3">
        <v>10</v>
      </c>
      <c r="C59" s="3">
        <v>96.238</v>
      </c>
      <c r="D59" s="3">
        <v>-2.6571587518332995</v>
      </c>
      <c r="E59" s="3">
        <v>2.5592733914362702</v>
      </c>
      <c r="F59" s="3">
        <v>100.53</v>
      </c>
      <c r="G59" s="3">
        <v>-1.3924252068742149E-2</v>
      </c>
      <c r="H59" s="3">
        <v>2.3343717489691906</v>
      </c>
    </row>
    <row r="60" spans="1:8" x14ac:dyDescent="0.3">
      <c r="A60" s="2">
        <v>2022</v>
      </c>
      <c r="B60" s="3">
        <v>11</v>
      </c>
      <c r="C60" s="3">
        <v>97.543999999999997</v>
      </c>
      <c r="D60" s="3">
        <v>-1.6326654094773296</v>
      </c>
      <c r="E60" s="3">
        <v>2.5608336854832694</v>
      </c>
      <c r="F60" s="3">
        <v>102.446</v>
      </c>
      <c r="G60" s="3">
        <v>-2.1967216244856647</v>
      </c>
      <c r="H60" s="3">
        <v>2.3456579790883549</v>
      </c>
    </row>
    <row r="61" spans="1:8" x14ac:dyDescent="0.3">
      <c r="A61" s="2">
        <v>2022</v>
      </c>
      <c r="B61" s="3">
        <v>12</v>
      </c>
      <c r="C61" s="3">
        <v>117.932</v>
      </c>
      <c r="D61" s="3">
        <v>1.3344331881181226</v>
      </c>
      <c r="E61" s="3">
        <v>2.5660895435523887</v>
      </c>
      <c r="F61" s="3">
        <v>120.033</v>
      </c>
      <c r="G61" s="3">
        <v>0.82062222819514474</v>
      </c>
      <c r="H61" s="3">
        <v>2.3557679069011495</v>
      </c>
    </row>
    <row r="62" spans="1:8" x14ac:dyDescent="0.3">
      <c r="A62" s="2">
        <v>2023</v>
      </c>
      <c r="B62" s="3">
        <v>1</v>
      </c>
      <c r="C62" s="3">
        <v>100.57299999999999</v>
      </c>
      <c r="D62" s="3">
        <v>1.6412495325874854</v>
      </c>
      <c r="E62" s="3">
        <v>2.575624954749792</v>
      </c>
      <c r="F62" s="3">
        <v>102.337</v>
      </c>
      <c r="G62" s="3">
        <v>2.870899970848706</v>
      </c>
      <c r="H62" s="3">
        <v>2.365068139699805</v>
      </c>
    </row>
    <row r="63" spans="1:8" x14ac:dyDescent="0.3">
      <c r="A63" s="2">
        <v>2023</v>
      </c>
      <c r="B63" s="3">
        <v>2</v>
      </c>
      <c r="C63" s="3">
        <v>86.99</v>
      </c>
      <c r="D63" s="3">
        <v>-1.0735324220438103</v>
      </c>
      <c r="E63" s="3">
        <v>2.5899383764902937</v>
      </c>
      <c r="F63" s="3">
        <v>89.646000000000001</v>
      </c>
      <c r="G63" s="3">
        <v>0.42006922740867036</v>
      </c>
      <c r="H63" s="3">
        <v>2.373818677437753</v>
      </c>
    </row>
    <row r="64" spans="1:8" x14ac:dyDescent="0.3">
      <c r="A64" s="2">
        <v>2023</v>
      </c>
      <c r="B64" s="3">
        <v>3</v>
      </c>
      <c r="C64" s="3">
        <v>96.554000000000002</v>
      </c>
      <c r="D64" s="3">
        <v>1.5556139889560949</v>
      </c>
      <c r="E64" s="3">
        <v>2.6094633790066131</v>
      </c>
      <c r="F64" s="3">
        <v>101.985</v>
      </c>
      <c r="G64" s="3">
        <v>4.3314134893760681</v>
      </c>
      <c r="H64" s="3">
        <v>2.3823146472789207</v>
      </c>
    </row>
    <row r="65" spans="1:8" x14ac:dyDescent="0.3">
      <c r="A65" s="2">
        <v>2023</v>
      </c>
      <c r="B65" s="3">
        <v>4</v>
      </c>
      <c r="C65" s="3">
        <v>96.494</v>
      </c>
      <c r="D65" s="3">
        <v>-0.90474967907573367</v>
      </c>
      <c r="E65" s="3">
        <v>2.6343791248371264</v>
      </c>
      <c r="F65" s="3">
        <v>99.07</v>
      </c>
      <c r="G65" s="3">
        <v>1.5977520715399152</v>
      </c>
      <c r="H65" s="3">
        <v>2.3907154993420945</v>
      </c>
    </row>
    <row r="66" spans="1:8" x14ac:dyDescent="0.3">
      <c r="A66" s="2">
        <v>2023</v>
      </c>
      <c r="B66" s="3">
        <v>5</v>
      </c>
      <c r="C66" s="3">
        <v>98.844999999999999</v>
      </c>
      <c r="D66" s="3">
        <v>1.5023310262676892</v>
      </c>
      <c r="E66" s="3">
        <v>2.6647915925347903</v>
      </c>
      <c r="F66" s="3">
        <v>104.651</v>
      </c>
      <c r="G66" s="3">
        <v>3.4499461254831276</v>
      </c>
      <c r="H66" s="3">
        <v>2.3993160378323175</v>
      </c>
    </row>
    <row r="67" spans="1:8" x14ac:dyDescent="0.3">
      <c r="A67" s="2">
        <v>2023</v>
      </c>
      <c r="B67" s="3">
        <v>6</v>
      </c>
      <c r="C67" s="3">
        <v>103.74</v>
      </c>
      <c r="D67" s="3">
        <v>3.2876003106393936</v>
      </c>
      <c r="E67" s="3">
        <v>2.7005609878189554</v>
      </c>
      <c r="F67" s="3">
        <v>107.48399999999999</v>
      </c>
      <c r="G67" s="3">
        <v>3.4883161148072883</v>
      </c>
      <c r="H67" s="3">
        <v>2.408356000049924</v>
      </c>
    </row>
    <row r="68" spans="1:8" x14ac:dyDescent="0.3">
      <c r="A68" s="2">
        <v>2023</v>
      </c>
      <c r="B68" s="3">
        <v>7</v>
      </c>
      <c r="C68" s="3">
        <v>117.77500000000001</v>
      </c>
      <c r="D68" s="3">
        <v>3.7555500740009906</v>
      </c>
      <c r="E68" s="3">
        <v>2.741466789980759</v>
      </c>
      <c r="F68" s="3">
        <v>112.446</v>
      </c>
      <c r="G68" s="3">
        <v>3.0565204241552069</v>
      </c>
      <c r="H68" s="3">
        <v>2.4181480837180014</v>
      </c>
    </row>
    <row r="69" spans="1:8" x14ac:dyDescent="0.3">
      <c r="A69" s="2">
        <v>2023</v>
      </c>
      <c r="B69" s="3">
        <v>8</v>
      </c>
      <c r="C69" s="3">
        <v>122.697</v>
      </c>
      <c r="D69" s="3">
        <v>1.1433517434671581</v>
      </c>
      <c r="E69" s="3">
        <v>2.7873292449309783</v>
      </c>
      <c r="F69" s="3">
        <v>104.142</v>
      </c>
      <c r="G69" s="3">
        <v>1.1146280365846417</v>
      </c>
      <c r="H69" s="3">
        <v>2.429079983789828</v>
      </c>
    </row>
    <row r="70" spans="1:8" x14ac:dyDescent="0.3">
      <c r="A70" s="2">
        <v>2023</v>
      </c>
      <c r="B70" s="3">
        <v>9</v>
      </c>
      <c r="C70" s="3">
        <v>101.152</v>
      </c>
      <c r="D70" s="3">
        <v>0.63173393555320256</v>
      </c>
      <c r="E70" s="3">
        <v>2.8380390210306694</v>
      </c>
      <c r="F70" s="3">
        <v>102.651</v>
      </c>
      <c r="G70" s="3">
        <v>1.5783328055731571</v>
      </c>
      <c r="H70" s="3">
        <v>2.4415837266312121</v>
      </c>
    </row>
    <row r="71" spans="1:8" x14ac:dyDescent="0.3">
      <c r="A71" s="2">
        <v>2023</v>
      </c>
      <c r="B71" s="3">
        <v>10</v>
      </c>
      <c r="C71" s="3">
        <v>99.313999999999993</v>
      </c>
      <c r="D71" s="3">
        <v>3.1962426484340778</v>
      </c>
      <c r="E71" s="3">
        <v>2.8933726215366202</v>
      </c>
      <c r="F71" s="3">
        <v>102.31</v>
      </c>
      <c r="G71" s="3">
        <v>1.7706157365960484</v>
      </c>
      <c r="H71" s="3">
        <v>2.4560000572227403</v>
      </c>
    </row>
    <row r="72" spans="1:8" x14ac:dyDescent="0.3">
      <c r="A72" s="2">
        <v>2023</v>
      </c>
      <c r="B72" s="3">
        <v>11</v>
      </c>
      <c r="C72" s="3">
        <v>102.242</v>
      </c>
      <c r="D72" s="3">
        <v>4.8162880341179548</v>
      </c>
      <c r="E72" s="3">
        <v>2.9529533340746834</v>
      </c>
      <c r="F72" s="3">
        <v>106.286</v>
      </c>
      <c r="G72" s="3">
        <v>3.7483161860882852</v>
      </c>
      <c r="H72" s="3">
        <v>2.4726097725643696</v>
      </c>
    </row>
    <row r="73" spans="1:8" x14ac:dyDescent="0.3">
      <c r="A73" s="2">
        <v>2023</v>
      </c>
      <c r="B73" s="3">
        <v>12</v>
      </c>
      <c r="C73" s="3">
        <v>120.596</v>
      </c>
      <c r="D73" s="3">
        <v>2.2589288742665303</v>
      </c>
      <c r="E73" s="3">
        <v>3.0164254789114682</v>
      </c>
      <c r="F73" s="3">
        <v>121.34399999999999</v>
      </c>
      <c r="G73" s="3">
        <v>1.0921996450975913</v>
      </c>
      <c r="H73" s="3">
        <v>2.4916460735226811</v>
      </c>
    </row>
    <row r="74" spans="1:8" x14ac:dyDescent="0.3">
      <c r="A74" s="2">
        <v>2024</v>
      </c>
      <c r="B74" s="3">
        <v>1</v>
      </c>
      <c r="C74" s="3">
        <v>103.816</v>
      </c>
      <c r="D74" s="3">
        <v>3.2245234804569867</v>
      </c>
      <c r="E74" s="3">
        <v>3.0835627745566421</v>
      </c>
      <c r="F74" s="3">
        <v>104.64100000000001</v>
      </c>
      <c r="G74" s="3">
        <v>2.2513851295230536</v>
      </c>
      <c r="H74" s="3">
        <v>2.5134307516874164</v>
      </c>
    </row>
    <row r="75" spans="1:8" x14ac:dyDescent="0.3">
      <c r="A75" s="2">
        <v>2024</v>
      </c>
      <c r="B75" s="3">
        <v>2</v>
      </c>
      <c r="C75" s="3">
        <v>93.16</v>
      </c>
      <c r="D75" s="3">
        <v>7.0927692838257395</v>
      </c>
      <c r="E75" s="3">
        <v>3.1540863355889939</v>
      </c>
      <c r="F75" s="3">
        <v>94.016999999999996</v>
      </c>
      <c r="G75" s="3">
        <v>4.8758449902951639</v>
      </c>
      <c r="H75" s="3">
        <v>2.5381884148685652</v>
      </c>
    </row>
    <row r="76" spans="1:8" x14ac:dyDescent="0.3">
      <c r="A76" s="2">
        <v>2024</v>
      </c>
      <c r="B76" s="3">
        <v>3</v>
      </c>
      <c r="C76" s="3">
        <v>100.699</v>
      </c>
      <c r="D76" s="3">
        <v>4.2929345236862204</v>
      </c>
      <c r="E76" s="3">
        <v>3.2277270655252224</v>
      </c>
      <c r="F76" s="3">
        <v>100.52500000000001</v>
      </c>
      <c r="G76" s="3">
        <v>-1.431583075942533</v>
      </c>
      <c r="H76" s="3">
        <v>2.5661254732634671</v>
      </c>
    </row>
    <row r="77" spans="1:8" x14ac:dyDescent="0.3">
      <c r="A77" s="2">
        <v>2024</v>
      </c>
      <c r="B77" s="3">
        <v>4</v>
      </c>
      <c r="C77" s="3">
        <v>99.391999999999996</v>
      </c>
      <c r="D77" s="3">
        <v>3.0032955416916973</v>
      </c>
      <c r="E77" s="3">
        <v>3.3044893875312096</v>
      </c>
      <c r="F77" s="3">
        <v>101.794</v>
      </c>
      <c r="G77" s="3">
        <v>2.7495710103967008</v>
      </c>
      <c r="H77" s="3">
        <v>2.5976106743316438</v>
      </c>
    </row>
    <row r="78" spans="1:8" x14ac:dyDescent="0.3">
      <c r="A78" s="2">
        <v>2024</v>
      </c>
      <c r="B78" s="3">
        <v>5</v>
      </c>
      <c r="C78" s="3">
        <v>101.416</v>
      </c>
      <c r="D78" s="3">
        <v>2.6010420355101482</v>
      </c>
      <c r="E78" s="3">
        <v>3.3844516975129877</v>
      </c>
      <c r="F78" s="3">
        <v>105.074</v>
      </c>
      <c r="G78" s="3">
        <v>0.40420062875654583</v>
      </c>
      <c r="H78" s="3">
        <v>2.6327351468833671</v>
      </c>
    </row>
    <row r="79" spans="1:8" x14ac:dyDescent="0.3">
      <c r="A79" s="2">
        <v>2024</v>
      </c>
      <c r="B79" s="3">
        <v>6</v>
      </c>
      <c r="C79" s="3">
        <v>102.178</v>
      </c>
      <c r="D79" s="3">
        <v>-1.5056872951609734</v>
      </c>
      <c r="E79" s="3">
        <v>3.4676714751372941</v>
      </c>
      <c r="F79" s="3">
        <v>106.01300000000001</v>
      </c>
      <c r="G79" s="3">
        <v>-1.3685757880242511</v>
      </c>
      <c r="H79" s="3">
        <v>2.671600572530024</v>
      </c>
    </row>
    <row r="80" spans="1:8" x14ac:dyDescent="0.3">
      <c r="A80" s="2">
        <v>2024</v>
      </c>
      <c r="B80" s="3">
        <v>7</v>
      </c>
      <c r="C80" s="3">
        <v>123.571</v>
      </c>
      <c r="D80" s="3">
        <v>4.921248142644874</v>
      </c>
      <c r="E80" s="3">
        <v>3.5541517966221172</v>
      </c>
      <c r="F80" s="3">
        <v>115.66</v>
      </c>
      <c r="G80" s="3">
        <v>2.8582608540988597</v>
      </c>
      <c r="H80" s="3">
        <v>2.7141538735414654</v>
      </c>
    </row>
    <row r="81" spans="1:8" x14ac:dyDescent="0.3">
      <c r="A81" s="2">
        <v>2024</v>
      </c>
      <c r="B81" s="3">
        <v>8</v>
      </c>
      <c r="C81" s="3">
        <v>129.00899999999999</v>
      </c>
      <c r="D81" s="3">
        <v>5.1443800581921106</v>
      </c>
      <c r="E81" s="3">
        <v>3.6435503660486193</v>
      </c>
      <c r="F81" s="3">
        <v>107.40300000000001</v>
      </c>
      <c r="G81" s="3">
        <v>3.1313014921933613</v>
      </c>
      <c r="H81" s="3">
        <v>2.7600614043847265</v>
      </c>
    </row>
    <row r="82" spans="1:8" x14ac:dyDescent="0.3">
      <c r="A82" s="2">
        <v>2024</v>
      </c>
      <c r="B82" s="3">
        <v>9</v>
      </c>
      <c r="C82" s="3">
        <v>104.22199999999999</v>
      </c>
      <c r="D82" s="3">
        <v>3.0350363808921088</v>
      </c>
      <c r="E82" s="3">
        <v>3.7356198247442145</v>
      </c>
      <c r="F82" s="3">
        <v>104.482</v>
      </c>
      <c r="G82" s="3">
        <v>1.7837137485265719</v>
      </c>
      <c r="H82" s="3">
        <v>2.8089995269560482</v>
      </c>
    </row>
    <row r="83" spans="1:8" x14ac:dyDescent="0.3">
      <c r="A83" s="2">
        <v>2024</v>
      </c>
      <c r="B83" s="3">
        <v>10</v>
      </c>
      <c r="C83" s="3">
        <v>104.559</v>
      </c>
      <c r="D83" s="3">
        <v>5.2812292325352006</v>
      </c>
      <c r="E83" s="3">
        <v>3.8302170383204936</v>
      </c>
      <c r="F83" s="3">
        <v>107.85299999999999</v>
      </c>
      <c r="G83" s="3">
        <v>5.4178477177206474</v>
      </c>
      <c r="H83" s="3">
        <v>2.8606703837133245</v>
      </c>
    </row>
    <row r="84" spans="1:8" x14ac:dyDescent="0.3">
      <c r="A84" s="2">
        <v>2024</v>
      </c>
      <c r="B84" s="3">
        <v>11</v>
      </c>
      <c r="C84" s="3">
        <v>105.41800000000001</v>
      </c>
      <c r="D84" s="3">
        <v>3.1063555094775097</v>
      </c>
      <c r="E84" s="3">
        <v>3.9271502207610025</v>
      </c>
      <c r="F84" s="3">
        <v>108.212</v>
      </c>
      <c r="G84" s="3">
        <v>1.8120919029787519</v>
      </c>
      <c r="H84" s="3">
        <v>2.9147049167131698</v>
      </c>
    </row>
    <row r="85" spans="1:8" x14ac:dyDescent="0.3">
      <c r="A85" s="2">
        <v>2024</v>
      </c>
      <c r="B85" s="3">
        <v>12</v>
      </c>
      <c r="C85" s="3">
        <v>124.979</v>
      </c>
      <c r="D85" s="3">
        <v>3.6344489037779093</v>
      </c>
      <c r="E85" s="3">
        <v>4.0263283507849961</v>
      </c>
      <c r="F85" s="3">
        <v>125.82299999999999</v>
      </c>
      <c r="G85" s="3">
        <v>3.6911590189873333</v>
      </c>
      <c r="H85" s="3">
        <v>2.9709116497715047</v>
      </c>
    </row>
    <row r="86" spans="1:8" x14ac:dyDescent="0.3">
      <c r="A86" s="2">
        <v>2025</v>
      </c>
      <c r="B86" s="3">
        <v>1</v>
      </c>
      <c r="C86" s="3">
        <v>107.339</v>
      </c>
      <c r="D86" s="3">
        <v>3.393503891500349</v>
      </c>
      <c r="E86" s="3">
        <v>4.1276034074790005</v>
      </c>
      <c r="F86" s="3">
        <v>106.982</v>
      </c>
      <c r="G86" s="3">
        <v>2.2371728098928623</v>
      </c>
      <c r="H86" s="3">
        <v>3.0290225363560732</v>
      </c>
    </row>
    <row r="87" spans="1:8" x14ac:dyDescent="0.3">
      <c r="A87" s="2">
        <v>2025</v>
      </c>
      <c r="B87" s="3">
        <v>2</v>
      </c>
      <c r="C87" s="3">
        <v>93.546000000000006</v>
      </c>
      <c r="D87" s="3">
        <v>0.41434091884930968</v>
      </c>
      <c r="E87" s="3">
        <v>4.2308001560790558</v>
      </c>
      <c r="F87" s="3">
        <v>94.734999999999999</v>
      </c>
      <c r="G87" s="3">
        <v>0.76369167278258487</v>
      </c>
      <c r="H87" s="3">
        <v>3.0888195471130375</v>
      </c>
    </row>
    <row r="88" spans="1:8" x14ac:dyDescent="0.3">
      <c r="A88" s="2">
        <v>2025</v>
      </c>
      <c r="B88" s="3">
        <v>3</v>
      </c>
      <c r="C88" s="3">
        <v>103.672</v>
      </c>
      <c r="D88" s="3">
        <v>2.9523629827505671</v>
      </c>
      <c r="E88" s="3">
        <v>4.3356923826881468</v>
      </c>
      <c r="F88" s="3">
        <v>104.376</v>
      </c>
      <c r="G88" s="3">
        <v>3.8308878388460643</v>
      </c>
      <c r="H88" s="3">
        <v>3.1500296631242208</v>
      </c>
    </row>
    <row r="89" spans="1:8" x14ac:dyDescent="0.3">
      <c r="A89" s="2">
        <v>2025</v>
      </c>
      <c r="B89" s="3">
        <v>4</v>
      </c>
      <c r="C89" s="3">
        <v>106.072</v>
      </c>
      <c r="D89" s="3">
        <v>6.7208628461043141</v>
      </c>
      <c r="E89" s="3">
        <v>4.4417888415177842</v>
      </c>
      <c r="F89" s="3">
        <v>105.535</v>
      </c>
      <c r="G89" s="3">
        <v>3.6750692575200805</v>
      </c>
      <c r="H89" s="3">
        <v>3.2122183982579515</v>
      </c>
    </row>
    <row r="90" spans="1:8" x14ac:dyDescent="0.3">
      <c r="A90" s="2">
        <v>2025</v>
      </c>
      <c r="B90" s="3">
        <v>5</v>
      </c>
      <c r="C90" s="3">
        <v>109.146</v>
      </c>
      <c r="D90" s="3">
        <v>7.6220714680129475</v>
      </c>
      <c r="E90" s="3">
        <v>4.5485022222378166</v>
      </c>
      <c r="F90" s="3">
        <v>110.327</v>
      </c>
      <c r="G90" s="3">
        <v>4.9993338028437195</v>
      </c>
      <c r="H90" s="3">
        <v>3.2749985482003168</v>
      </c>
    </row>
    <row r="91" spans="1:8" x14ac:dyDescent="0.3">
      <c r="A91" s="2">
        <v>2025</v>
      </c>
      <c r="B91" s="3">
        <v>6</v>
      </c>
      <c r="C91" s="3">
        <v>109.64400000000001</v>
      </c>
      <c r="D91" s="3">
        <v>7.3068566619037378</v>
      </c>
      <c r="E91" s="3">
        <v>4.6554034835461904</v>
      </c>
      <c r="F91" s="3">
        <v>112.652</v>
      </c>
      <c r="G91" s="3">
        <v>6.2624395121352983</v>
      </c>
      <c r="H91" s="3">
        <v>3.3380150510581865</v>
      </c>
    </row>
    <row r="92" spans="1:8" x14ac:dyDescent="0.3">
      <c r="A92" s="2">
        <v>2025</v>
      </c>
      <c r="B92" s="3">
        <v>7</v>
      </c>
      <c r="C92" s="3">
        <v>131.06899999999999</v>
      </c>
      <c r="D92" s="3">
        <v>6.0677667090174747</v>
      </c>
      <c r="E92" s="3">
        <v>4.7622770264495857</v>
      </c>
      <c r="F92" s="3">
        <v>120.65</v>
      </c>
      <c r="G92" s="3">
        <v>4.3143697043057427</v>
      </c>
      <c r="H92" s="3">
        <v>3.4010325904422252</v>
      </c>
    </row>
    <row r="93" spans="1:8" x14ac:dyDescent="0.3">
      <c r="A93" s="2">
        <v>2025</v>
      </c>
      <c r="B93" s="3">
        <v>8</v>
      </c>
      <c r="C93" s="3">
        <v>134.191</v>
      </c>
      <c r="D93" s="3">
        <v>4.016774023517744</v>
      </c>
      <c r="E93" s="3">
        <v>4.8690913806476246</v>
      </c>
      <c r="F93" s="3">
        <v>110.64100000000001</v>
      </c>
      <c r="G93" s="3">
        <v>3.0148133664795296</v>
      </c>
      <c r="H93" s="3">
        <v>3.4640189349951167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97"/>
  <sheetViews>
    <sheetView topLeftCell="A82" workbookViewId="0">
      <selection activeCell="C94" sqref="C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158</v>
      </c>
      <c r="D1" s="2" t="s">
        <v>159</v>
      </c>
      <c r="E1" s="2" t="s">
        <v>160</v>
      </c>
      <c r="F1" s="2" t="s">
        <v>161</v>
      </c>
      <c r="G1" s="2" t="s">
        <v>162</v>
      </c>
      <c r="H1" s="2" t="s">
        <v>163</v>
      </c>
    </row>
    <row r="2" spans="1:8" x14ac:dyDescent="0.3">
      <c r="A2" s="2">
        <v>2018</v>
      </c>
      <c r="B2" s="3">
        <v>1</v>
      </c>
      <c r="C2" s="3">
        <v>99.272000000000006</v>
      </c>
      <c r="D2" s="3">
        <v>0.1</v>
      </c>
      <c r="E2" s="3">
        <v>0.48425539531303857</v>
      </c>
      <c r="F2" s="3">
        <v>99.489000000000004</v>
      </c>
      <c r="G2" s="3">
        <v>0.9</v>
      </c>
      <c r="H2" s="3">
        <v>1.0578305923846301</v>
      </c>
    </row>
    <row r="3" spans="1:8" x14ac:dyDescent="0.3">
      <c r="A3" s="2">
        <v>2018</v>
      </c>
      <c r="B3" s="3">
        <v>2</v>
      </c>
      <c r="C3" s="3">
        <v>98.733000000000004</v>
      </c>
      <c r="D3" s="3">
        <v>0.4</v>
      </c>
      <c r="E3" s="3">
        <v>0.45197888907642675</v>
      </c>
      <c r="F3" s="3">
        <v>98.899000000000001</v>
      </c>
      <c r="G3" s="3">
        <v>0.9</v>
      </c>
      <c r="H3" s="3">
        <v>1.0135488106189527</v>
      </c>
    </row>
    <row r="4" spans="1:8" x14ac:dyDescent="0.3">
      <c r="A4" s="2">
        <v>2018</v>
      </c>
      <c r="B4" s="3">
        <v>3</v>
      </c>
      <c r="C4" s="3">
        <v>99.274000000000001</v>
      </c>
      <c r="D4" s="3">
        <v>1.2</v>
      </c>
      <c r="E4" s="3">
        <v>0.42077643124200564</v>
      </c>
      <c r="F4" s="3">
        <v>99.343000000000004</v>
      </c>
      <c r="G4" s="3">
        <v>1</v>
      </c>
      <c r="H4" s="3">
        <v>0.96763362026951671</v>
      </c>
    </row>
    <row r="5" spans="1:8" x14ac:dyDescent="0.3">
      <c r="A5" s="2">
        <v>2018</v>
      </c>
      <c r="B5" s="3">
        <v>4</v>
      </c>
      <c r="C5" s="3">
        <v>99.2</v>
      </c>
      <c r="D5" s="3">
        <v>1</v>
      </c>
      <c r="E5" s="3">
        <v>0.39036834414381527</v>
      </c>
      <c r="F5" s="3">
        <v>99.471999999999994</v>
      </c>
      <c r="G5" s="3">
        <v>0.7</v>
      </c>
      <c r="H5" s="3">
        <v>0.92012285740175148</v>
      </c>
    </row>
    <row r="6" spans="1:8" x14ac:dyDescent="0.3">
      <c r="A6" s="2">
        <v>2018</v>
      </c>
      <c r="B6" s="3">
        <v>5</v>
      </c>
      <c r="C6" s="3">
        <v>99.501000000000005</v>
      </c>
      <c r="D6" s="3">
        <v>0.8</v>
      </c>
      <c r="E6" s="3">
        <v>0.3605290628637261</v>
      </c>
      <c r="F6" s="3">
        <v>99.938999999999993</v>
      </c>
      <c r="G6" s="3">
        <v>0.8</v>
      </c>
      <c r="H6" s="3">
        <v>0.87105660574634591</v>
      </c>
    </row>
    <row r="7" spans="1:8" x14ac:dyDescent="0.3">
      <c r="A7" s="2">
        <v>2018</v>
      </c>
      <c r="B7" s="3">
        <v>6</v>
      </c>
      <c r="C7" s="3">
        <v>100.902</v>
      </c>
      <c r="D7" s="3">
        <v>0</v>
      </c>
      <c r="E7" s="3">
        <v>0.33107535801526522</v>
      </c>
      <c r="F7" s="3">
        <v>101.69199999999999</v>
      </c>
      <c r="G7" s="3">
        <v>0.8</v>
      </c>
      <c r="H7" s="3">
        <v>0.82045966272444704</v>
      </c>
    </row>
    <row r="8" spans="1:8" x14ac:dyDescent="0.3">
      <c r="A8" s="2">
        <v>2018</v>
      </c>
      <c r="B8" s="3">
        <v>7</v>
      </c>
      <c r="C8" s="3">
        <v>102.66200000000001</v>
      </c>
      <c r="D8" s="3">
        <v>0.7</v>
      </c>
      <c r="E8" s="3">
        <v>0.30185451902703875</v>
      </c>
      <c r="F8" s="3">
        <v>102.44199999999999</v>
      </c>
      <c r="G8" s="3">
        <v>1.1000000000000001</v>
      </c>
      <c r="H8" s="3">
        <v>0.76835189127069181</v>
      </c>
    </row>
    <row r="9" spans="1:8" x14ac:dyDescent="0.3">
      <c r="A9" s="2">
        <v>2018</v>
      </c>
      <c r="B9" s="3">
        <v>8</v>
      </c>
      <c r="C9" s="3">
        <v>102.831</v>
      </c>
      <c r="D9" s="3">
        <v>0.5</v>
      </c>
      <c r="E9" s="3">
        <v>0.2726908439833462</v>
      </c>
      <c r="F9" s="3">
        <v>102.1</v>
      </c>
      <c r="G9" s="3">
        <v>0.9</v>
      </c>
      <c r="H9" s="3">
        <v>0.71475173350980592</v>
      </c>
    </row>
    <row r="10" spans="1:8" x14ac:dyDescent="0.3">
      <c r="A10" s="2">
        <v>2018</v>
      </c>
      <c r="B10" s="3">
        <v>9</v>
      </c>
      <c r="C10" s="3">
        <v>100.867</v>
      </c>
      <c r="D10" s="3">
        <v>0.3</v>
      </c>
      <c r="E10" s="3">
        <v>0.24343627996022124</v>
      </c>
      <c r="F10" s="3">
        <v>100.986</v>
      </c>
      <c r="G10" s="3">
        <v>0.9</v>
      </c>
      <c r="H10" s="3">
        <v>0.65970066268517658</v>
      </c>
    </row>
    <row r="11" spans="1:8" x14ac:dyDescent="0.3">
      <c r="A11" s="2">
        <v>2018</v>
      </c>
      <c r="B11" s="3">
        <v>10</v>
      </c>
      <c r="C11" s="3">
        <v>100.221</v>
      </c>
      <c r="D11" s="3">
        <v>0.9</v>
      </c>
      <c r="E11" s="3">
        <v>0.21395855939175429</v>
      </c>
      <c r="F11" s="3">
        <v>100.836</v>
      </c>
      <c r="G11" s="3">
        <v>1.1000000000000001</v>
      </c>
      <c r="H11" s="3">
        <v>0.60325301650314167</v>
      </c>
    </row>
    <row r="12" spans="1:8" x14ac:dyDescent="0.3">
      <c r="A12" s="2">
        <v>2018</v>
      </c>
      <c r="B12" s="3">
        <v>11</v>
      </c>
      <c r="C12" s="3">
        <v>101.13800000000001</v>
      </c>
      <c r="D12" s="3">
        <v>1.3</v>
      </c>
      <c r="E12" s="3">
        <v>0.18412934274814965</v>
      </c>
      <c r="F12" s="3">
        <v>101.544</v>
      </c>
      <c r="G12" s="3">
        <v>1.2</v>
      </c>
      <c r="H12" s="3">
        <v>0.54547982012401952</v>
      </c>
    </row>
    <row r="13" spans="1:8" x14ac:dyDescent="0.3">
      <c r="A13" s="2">
        <v>2018</v>
      </c>
      <c r="B13" s="3">
        <v>12</v>
      </c>
      <c r="C13" s="3">
        <v>102.15</v>
      </c>
      <c r="D13" s="3">
        <v>1.1000000000000001</v>
      </c>
      <c r="E13" s="3">
        <v>0.15386793226632056</v>
      </c>
      <c r="F13" s="3">
        <v>102.61199999999999</v>
      </c>
      <c r="G13" s="3">
        <v>1</v>
      </c>
      <c r="H13" s="3">
        <v>0.48648659502642677</v>
      </c>
    </row>
    <row r="14" spans="1:8" x14ac:dyDescent="0.3">
      <c r="A14" s="2">
        <v>2019</v>
      </c>
      <c r="B14" s="3">
        <v>1</v>
      </c>
      <c r="C14" s="3">
        <v>100.092</v>
      </c>
      <c r="D14" s="3">
        <v>0.8</v>
      </c>
      <c r="E14" s="3">
        <v>0.12317112120104494</v>
      </c>
      <c r="F14" s="3">
        <v>100.607</v>
      </c>
      <c r="G14" s="3">
        <v>1.1000000000000001</v>
      </c>
      <c r="H14" s="3">
        <v>0.42642431547924925</v>
      </c>
    </row>
    <row r="15" spans="1:8" x14ac:dyDescent="0.3">
      <c r="A15" s="2">
        <v>2019</v>
      </c>
      <c r="B15" s="3">
        <v>2</v>
      </c>
      <c r="C15" s="3">
        <v>99.691000000000003</v>
      </c>
      <c r="D15" s="3">
        <v>1</v>
      </c>
      <c r="E15" s="3">
        <v>9.2101406422915588E-2</v>
      </c>
      <c r="F15" s="3">
        <v>100.124</v>
      </c>
      <c r="G15" s="3">
        <v>1.2</v>
      </c>
      <c r="H15" s="3">
        <v>0.36547961640449605</v>
      </c>
    </row>
    <row r="16" spans="1:8" x14ac:dyDescent="0.3">
      <c r="A16" s="2">
        <v>2019</v>
      </c>
      <c r="B16" s="3">
        <v>3</v>
      </c>
      <c r="C16" s="3">
        <v>99.2</v>
      </c>
      <c r="D16" s="3">
        <v>-0.1</v>
      </c>
      <c r="E16" s="3">
        <v>6.0768286807997451E-2</v>
      </c>
      <c r="F16" s="3">
        <v>100.08199999999999</v>
      </c>
      <c r="G16" s="3">
        <v>0.7</v>
      </c>
      <c r="H16" s="3">
        <v>0.30388590881337907</v>
      </c>
    </row>
    <row r="17" spans="1:8" x14ac:dyDescent="0.3">
      <c r="A17" s="2">
        <v>2019</v>
      </c>
      <c r="B17" s="3">
        <v>4</v>
      </c>
      <c r="C17" s="3">
        <v>99.52</v>
      </c>
      <c r="D17" s="3">
        <v>0.3</v>
      </c>
      <c r="E17" s="3">
        <v>2.9344309745798314E-2</v>
      </c>
      <c r="F17" s="3">
        <v>100.553</v>
      </c>
      <c r="G17" s="3">
        <v>1</v>
      </c>
      <c r="H17" s="3">
        <v>0.24193455652152657</v>
      </c>
    </row>
    <row r="18" spans="1:8" x14ac:dyDescent="0.3">
      <c r="A18" s="2">
        <v>2019</v>
      </c>
      <c r="B18" s="3">
        <v>5</v>
      </c>
      <c r="C18" s="3">
        <v>99.97</v>
      </c>
      <c r="D18" s="3">
        <v>0.5</v>
      </c>
      <c r="E18" s="3">
        <v>-2.0091418385356852E-3</v>
      </c>
      <c r="F18" s="3">
        <v>101.002</v>
      </c>
      <c r="G18" s="3">
        <v>1</v>
      </c>
      <c r="H18" s="3">
        <v>0.17994443126756587</v>
      </c>
    </row>
    <row r="19" spans="1:8" x14ac:dyDescent="0.3">
      <c r="A19" s="2">
        <v>2019</v>
      </c>
      <c r="B19" s="3">
        <v>6</v>
      </c>
      <c r="C19" s="3">
        <v>101.66500000000001</v>
      </c>
      <c r="D19" s="3">
        <v>0.8</v>
      </c>
      <c r="E19" s="3">
        <v>-3.3111889485812972E-2</v>
      </c>
      <c r="F19" s="3">
        <v>102.779</v>
      </c>
      <c r="G19" s="3">
        <v>1</v>
      </c>
      <c r="H19" s="3">
        <v>0.1182870482236993</v>
      </c>
    </row>
    <row r="20" spans="1:8" x14ac:dyDescent="0.3">
      <c r="A20" s="2">
        <v>2019</v>
      </c>
      <c r="B20" s="3">
        <v>7</v>
      </c>
      <c r="C20" s="3">
        <v>104.03700000000001</v>
      </c>
      <c r="D20" s="3">
        <v>1.3</v>
      </c>
      <c r="E20" s="3">
        <v>-6.3748892990880962E-2</v>
      </c>
      <c r="F20" s="3">
        <v>103.538</v>
      </c>
      <c r="G20" s="3">
        <v>1</v>
      </c>
      <c r="H20" s="3">
        <v>5.7390870865513359E-2</v>
      </c>
    </row>
    <row r="21" spans="1:8" x14ac:dyDescent="0.3">
      <c r="A21" s="2">
        <v>2019</v>
      </c>
      <c r="B21" s="3">
        <v>8</v>
      </c>
      <c r="C21" s="3">
        <v>103.92100000000001</v>
      </c>
      <c r="D21" s="3">
        <v>1.1000000000000001</v>
      </c>
      <c r="E21" s="3">
        <v>-9.3647257156261668E-2</v>
      </c>
      <c r="F21" s="3">
        <v>103.16800000000001</v>
      </c>
      <c r="G21" s="3">
        <v>1</v>
      </c>
      <c r="H21" s="3">
        <v>-2.2544072653098942E-3</v>
      </c>
    </row>
    <row r="22" spans="1:8" x14ac:dyDescent="0.3">
      <c r="A22" s="2">
        <v>2019</v>
      </c>
      <c r="B22" s="3">
        <v>9</v>
      </c>
      <c r="C22" s="3">
        <v>101.42700000000001</v>
      </c>
      <c r="D22" s="3">
        <v>0.6</v>
      </c>
      <c r="E22" s="3">
        <v>-0.12243938200024164</v>
      </c>
      <c r="F22" s="3">
        <v>101.836</v>
      </c>
      <c r="G22" s="3">
        <v>0.8</v>
      </c>
      <c r="H22" s="3">
        <v>-6.0093633659787392E-2</v>
      </c>
    </row>
    <row r="23" spans="1:8" x14ac:dyDescent="0.3">
      <c r="A23" s="2">
        <v>2019</v>
      </c>
      <c r="B23" s="3">
        <v>10</v>
      </c>
      <c r="C23" s="3">
        <v>102.211</v>
      </c>
      <c r="D23" s="3">
        <v>2</v>
      </c>
      <c r="E23" s="3">
        <v>-0.14967477537047158</v>
      </c>
      <c r="F23" s="3">
        <v>101.628</v>
      </c>
      <c r="G23" s="3">
        <v>0.8</v>
      </c>
      <c r="H23" s="3">
        <v>-0.11550205480843154</v>
      </c>
    </row>
    <row r="24" spans="1:8" x14ac:dyDescent="0.3">
      <c r="A24" s="2">
        <v>2019</v>
      </c>
      <c r="B24" s="3">
        <v>11</v>
      </c>
      <c r="C24" s="3">
        <v>101.32599999999999</v>
      </c>
      <c r="D24" s="3">
        <v>0.2</v>
      </c>
      <c r="E24" s="3">
        <v>-0.17485277571307439</v>
      </c>
      <c r="F24" s="3">
        <v>102.32599999999999</v>
      </c>
      <c r="G24" s="3">
        <v>0.7</v>
      </c>
      <c r="H24" s="3">
        <v>-0.16779518847719502</v>
      </c>
    </row>
    <row r="25" spans="1:8" x14ac:dyDescent="0.3">
      <c r="A25" s="2">
        <v>2019</v>
      </c>
      <c r="B25" s="3">
        <v>12</v>
      </c>
      <c r="C25" s="3">
        <v>102.307</v>
      </c>
      <c r="D25" s="3">
        <v>0.2</v>
      </c>
      <c r="E25" s="3">
        <v>-0.19732343850366116</v>
      </c>
      <c r="F25" s="3">
        <v>103.535</v>
      </c>
      <c r="G25" s="3">
        <v>0.9</v>
      </c>
      <c r="H25" s="3">
        <v>-0.21622497590044659</v>
      </c>
    </row>
    <row r="26" spans="1:8" x14ac:dyDescent="0.3">
      <c r="A26" s="2">
        <v>2020</v>
      </c>
      <c r="B26" s="3">
        <v>1</v>
      </c>
      <c r="C26" s="3">
        <v>99.998000000000005</v>
      </c>
      <c r="D26" s="3">
        <v>-0.1</v>
      </c>
      <c r="E26" s="3">
        <v>-0.21641078777508507</v>
      </c>
      <c r="F26" s="3">
        <v>101.444</v>
      </c>
      <c r="G26" s="3">
        <v>0.8</v>
      </c>
      <c r="H26" s="3">
        <v>-0.25998309475779968</v>
      </c>
    </row>
    <row r="27" spans="1:8" x14ac:dyDescent="0.3">
      <c r="A27" s="2">
        <v>2020</v>
      </c>
      <c r="B27" s="3">
        <v>2</v>
      </c>
      <c r="C27" s="3">
        <v>99.603999999999999</v>
      </c>
      <c r="D27" s="3">
        <v>-0.1</v>
      </c>
      <c r="E27" s="3">
        <v>-0.23141125565474771</v>
      </c>
      <c r="F27" s="3">
        <v>100.788</v>
      </c>
      <c r="G27" s="3">
        <v>0.6</v>
      </c>
      <c r="H27" s="3">
        <v>-0.29818370710554126</v>
      </c>
    </row>
    <row r="28" spans="1:8" x14ac:dyDescent="0.3">
      <c r="A28" s="2">
        <v>2020</v>
      </c>
      <c r="B28" s="3">
        <v>3</v>
      </c>
      <c r="C28" s="3">
        <v>98.293000000000006</v>
      </c>
      <c r="D28" s="3">
        <v>-0.9</v>
      </c>
      <c r="E28" s="3">
        <v>-0.24161319018756627</v>
      </c>
      <c r="F28" s="3">
        <v>99.656999999999996</v>
      </c>
      <c r="G28" s="3">
        <v>-0.5</v>
      </c>
      <c r="H28" s="3">
        <v>-0.32986736506282233</v>
      </c>
    </row>
    <row r="29" spans="1:8" x14ac:dyDescent="0.3">
      <c r="A29" s="2">
        <v>2020</v>
      </c>
      <c r="B29" s="3">
        <v>4</v>
      </c>
      <c r="C29" s="3">
        <v>97.152000000000001</v>
      </c>
      <c r="D29" s="3">
        <v>-2.4</v>
      </c>
      <c r="E29" s="3">
        <v>-0.24629581363681527</v>
      </c>
      <c r="F29" s="3">
        <v>98.093999999999994</v>
      </c>
      <c r="G29" s="3">
        <v>-2.5</v>
      </c>
      <c r="H29" s="3">
        <v>-0.35401224688024491</v>
      </c>
    </row>
    <row r="30" spans="1:8" x14ac:dyDescent="0.3">
      <c r="A30" s="2">
        <v>2020</v>
      </c>
      <c r="B30" s="3">
        <v>5</v>
      </c>
      <c r="C30" s="3">
        <v>96.989000000000004</v>
      </c>
      <c r="D30" s="3">
        <v>-3</v>
      </c>
      <c r="E30" s="3">
        <v>-0.24478406957200621</v>
      </c>
      <c r="F30" s="3">
        <v>97.347999999999999</v>
      </c>
      <c r="G30" s="3">
        <v>-3.6</v>
      </c>
      <c r="H30" s="3">
        <v>-0.36960834557472616</v>
      </c>
    </row>
    <row r="31" spans="1:8" x14ac:dyDescent="0.3">
      <c r="A31" s="2">
        <v>2020</v>
      </c>
      <c r="B31" s="3">
        <v>6</v>
      </c>
      <c r="C31" s="3">
        <v>98.64</v>
      </c>
      <c r="D31" s="3">
        <v>-3</v>
      </c>
      <c r="E31" s="3">
        <v>-0.2365524643533703</v>
      </c>
      <c r="F31" s="3">
        <v>98.953999999999994</v>
      </c>
      <c r="G31" s="3">
        <v>-3.7</v>
      </c>
      <c r="H31" s="3">
        <v>-0.37579468109048325</v>
      </c>
    </row>
    <row r="32" spans="1:8" x14ac:dyDescent="0.3">
      <c r="A32" s="2">
        <v>2020</v>
      </c>
      <c r="B32" s="3">
        <v>7</v>
      </c>
      <c r="C32" s="3">
        <v>101.825</v>
      </c>
      <c r="D32" s="3">
        <v>-2.1</v>
      </c>
      <c r="E32" s="3">
        <v>-0.22126683878075176</v>
      </c>
      <c r="F32" s="3">
        <v>99.977000000000004</v>
      </c>
      <c r="G32" s="3">
        <v>-3.4</v>
      </c>
      <c r="H32" s="3">
        <v>-0.37193460612551288</v>
      </c>
    </row>
    <row r="33" spans="1:8" x14ac:dyDescent="0.3">
      <c r="A33" s="2">
        <v>2020</v>
      </c>
      <c r="B33" s="3">
        <v>8</v>
      </c>
      <c r="C33" s="3">
        <v>102.297</v>
      </c>
      <c r="D33" s="3">
        <v>-1.6</v>
      </c>
      <c r="E33" s="3">
        <v>-0.19878493973285918</v>
      </c>
      <c r="F33" s="3">
        <v>99.738</v>
      </c>
      <c r="G33" s="3">
        <v>-3.3</v>
      </c>
      <c r="H33" s="3">
        <v>-0.35762232096940266</v>
      </c>
    </row>
    <row r="34" spans="1:8" x14ac:dyDescent="0.3">
      <c r="A34" s="2">
        <v>2020</v>
      </c>
      <c r="B34" s="3">
        <v>9</v>
      </c>
      <c r="C34" s="3">
        <v>100.01600000000001</v>
      </c>
      <c r="D34" s="3">
        <v>-1.4</v>
      </c>
      <c r="E34" s="3">
        <v>-0.16909498166904138</v>
      </c>
      <c r="F34" s="3">
        <v>98.813000000000002</v>
      </c>
      <c r="G34" s="3">
        <v>-2.9</v>
      </c>
      <c r="H34" s="3">
        <v>-0.33266230823075932</v>
      </c>
    </row>
    <row r="35" spans="1:8" x14ac:dyDescent="0.3">
      <c r="A35" s="2">
        <v>2020</v>
      </c>
      <c r="B35" s="3">
        <v>10</v>
      </c>
      <c r="C35" s="3">
        <v>100.783</v>
      </c>
      <c r="D35" s="3">
        <v>-1.4</v>
      </c>
      <c r="E35" s="3">
        <v>-0.1322824856500546</v>
      </c>
      <c r="F35" s="3">
        <v>98.626999999999995</v>
      </c>
      <c r="G35" s="3">
        <v>-2.9</v>
      </c>
      <c r="H35" s="3">
        <v>-0.29706338230145551</v>
      </c>
    </row>
    <row r="36" spans="1:8" x14ac:dyDescent="0.3">
      <c r="A36" s="2">
        <v>2020</v>
      </c>
      <c r="B36" s="3">
        <v>11</v>
      </c>
      <c r="C36" s="3">
        <v>99.14</v>
      </c>
      <c r="D36" s="3">
        <v>-2.2000000000000002</v>
      </c>
      <c r="E36" s="3">
        <v>-8.8518452251816995E-2</v>
      </c>
      <c r="F36" s="3">
        <v>98.813000000000002</v>
      </c>
      <c r="G36" s="3">
        <v>-3.4</v>
      </c>
      <c r="H36" s="3">
        <v>-0.25101264491307024</v>
      </c>
    </row>
    <row r="37" spans="1:8" x14ac:dyDescent="0.3">
      <c r="A37" s="2">
        <v>2020</v>
      </c>
      <c r="B37" s="3">
        <v>12</v>
      </c>
      <c r="C37" s="3">
        <v>99.257999999999996</v>
      </c>
      <c r="D37" s="3">
        <v>-3</v>
      </c>
      <c r="E37" s="3">
        <v>-3.8061917988743213E-2</v>
      </c>
      <c r="F37" s="3">
        <v>99.787000000000006</v>
      </c>
      <c r="G37" s="3">
        <v>-3.6</v>
      </c>
      <c r="H37" s="3">
        <v>-0.19487795728452253</v>
      </c>
    </row>
    <row r="38" spans="1:8" x14ac:dyDescent="0.3">
      <c r="A38" s="2">
        <v>2021</v>
      </c>
      <c r="B38" s="3">
        <v>1</v>
      </c>
      <c r="C38" s="3">
        <v>96.897000000000006</v>
      </c>
      <c r="D38" s="3">
        <v>-3.1</v>
      </c>
      <c r="E38" s="3">
        <v>1.8681449961714027E-2</v>
      </c>
      <c r="F38" s="3">
        <v>98.028999999999996</v>
      </c>
      <c r="G38" s="3">
        <v>-3.3</v>
      </c>
      <c r="H38" s="3">
        <v>-0.12924586031216806</v>
      </c>
    </row>
    <row r="39" spans="1:8" x14ac:dyDescent="0.3">
      <c r="A39" s="2">
        <v>2021</v>
      </c>
      <c r="B39" s="3">
        <v>2</v>
      </c>
      <c r="C39" s="3">
        <v>95.846000000000004</v>
      </c>
      <c r="D39" s="3">
        <v>-3.8</v>
      </c>
      <c r="E39" s="3">
        <v>8.1100294277517901E-2</v>
      </c>
      <c r="F39" s="3">
        <v>97.391999999999996</v>
      </c>
      <c r="G39" s="3">
        <v>-3.3</v>
      </c>
      <c r="H39" s="3">
        <v>-5.493936170088435E-2</v>
      </c>
    </row>
    <row r="40" spans="1:8" x14ac:dyDescent="0.3">
      <c r="A40" s="2">
        <v>2021</v>
      </c>
      <c r="B40" s="3">
        <v>3</v>
      </c>
      <c r="C40" s="3">
        <v>96.36</v>
      </c>
      <c r="D40" s="3">
        <v>-2</v>
      </c>
      <c r="E40" s="3">
        <v>0.14836668253593979</v>
      </c>
      <c r="F40" s="3">
        <v>97.632000000000005</v>
      </c>
      <c r="G40" s="3">
        <v>-2</v>
      </c>
      <c r="H40" s="3">
        <v>2.699833958475056E-2</v>
      </c>
    </row>
    <row r="41" spans="1:8" x14ac:dyDescent="0.3">
      <c r="A41" s="2">
        <v>2021</v>
      </c>
      <c r="B41" s="3">
        <v>4</v>
      </c>
      <c r="C41" s="3">
        <v>97.358000000000004</v>
      </c>
      <c r="D41" s="3">
        <v>0.2</v>
      </c>
      <c r="E41" s="3">
        <v>0.21938316146048181</v>
      </c>
      <c r="F41" s="3">
        <v>98.195999999999998</v>
      </c>
      <c r="G41" s="3">
        <v>0.2</v>
      </c>
      <c r="H41" s="3">
        <v>0.11529869314694342</v>
      </c>
    </row>
    <row r="42" spans="1:8" x14ac:dyDescent="0.3">
      <c r="A42" s="2">
        <v>2021</v>
      </c>
      <c r="B42" s="3">
        <v>5</v>
      </c>
      <c r="C42" s="3">
        <v>98.29</v>
      </c>
      <c r="D42" s="3">
        <v>1.3</v>
      </c>
      <c r="E42" s="3">
        <v>0.29290308564391443</v>
      </c>
      <c r="F42" s="3">
        <v>99.03</v>
      </c>
      <c r="G42" s="3">
        <v>1.8</v>
      </c>
      <c r="H42" s="3">
        <v>0.20855238481431873</v>
      </c>
    </row>
    <row r="43" spans="1:8" x14ac:dyDescent="0.3">
      <c r="A43" s="2">
        <v>2021</v>
      </c>
      <c r="B43" s="3">
        <v>6</v>
      </c>
      <c r="C43" s="3">
        <v>100.482</v>
      </c>
      <c r="D43" s="3">
        <v>1.9</v>
      </c>
      <c r="E43" s="3">
        <v>0.36767846362612894</v>
      </c>
      <c r="F43" s="3">
        <v>100.777</v>
      </c>
      <c r="G43" s="3">
        <v>1.9</v>
      </c>
      <c r="H43" s="3">
        <v>0.30535598245069911</v>
      </c>
    </row>
    <row r="44" spans="1:8" x14ac:dyDescent="0.3">
      <c r="A44" s="2">
        <v>2021</v>
      </c>
      <c r="B44" s="3">
        <v>7</v>
      </c>
      <c r="C44" s="3">
        <v>103.55200000000001</v>
      </c>
      <c r="D44" s="3">
        <v>1.7</v>
      </c>
      <c r="E44" s="3">
        <v>0.44253124123273574</v>
      </c>
      <c r="F44" s="3">
        <v>102.126</v>
      </c>
      <c r="G44" s="3">
        <v>2.2000000000000002</v>
      </c>
      <c r="H44" s="3">
        <v>0.40441657111540619</v>
      </c>
    </row>
    <row r="45" spans="1:8" x14ac:dyDescent="0.3">
      <c r="A45" s="2">
        <v>2021</v>
      </c>
      <c r="B45" s="3">
        <v>8</v>
      </c>
      <c r="C45" s="3">
        <v>103.542</v>
      </c>
      <c r="D45" s="3">
        <v>1.2</v>
      </c>
      <c r="E45" s="3">
        <v>0.51638977550714904</v>
      </c>
      <c r="F45" s="3">
        <v>101.67700000000001</v>
      </c>
      <c r="G45" s="3">
        <v>1.9</v>
      </c>
      <c r="H45" s="3">
        <v>0.50455197503564697</v>
      </c>
    </row>
    <row r="46" spans="1:8" x14ac:dyDescent="0.3">
      <c r="A46" s="2">
        <v>2021</v>
      </c>
      <c r="B46" s="3">
        <v>9</v>
      </c>
      <c r="C46" s="3">
        <v>101.771</v>
      </c>
      <c r="D46" s="3">
        <v>1.8</v>
      </c>
      <c r="E46" s="3">
        <v>0.58826974771214191</v>
      </c>
      <c r="F46" s="3">
        <v>100.83499999999999</v>
      </c>
      <c r="G46" s="3">
        <v>2</v>
      </c>
      <c r="H46" s="3">
        <v>0.604704711732301</v>
      </c>
    </row>
    <row r="47" spans="1:8" x14ac:dyDescent="0.3">
      <c r="A47" s="2">
        <v>2021</v>
      </c>
      <c r="B47" s="3">
        <v>10</v>
      </c>
      <c r="C47" s="3">
        <v>101.756</v>
      </c>
      <c r="D47" s="3">
        <v>1</v>
      </c>
      <c r="E47" s="3">
        <v>0.65723431204274396</v>
      </c>
      <c r="F47" s="3">
        <v>100.605</v>
      </c>
      <c r="G47" s="3">
        <v>2</v>
      </c>
      <c r="H47" s="3">
        <v>0.70391420483909262</v>
      </c>
    </row>
    <row r="48" spans="1:8" x14ac:dyDescent="0.3">
      <c r="A48" s="2">
        <v>2021</v>
      </c>
      <c r="B48" s="3">
        <v>11</v>
      </c>
      <c r="C48" s="3">
        <v>101.696</v>
      </c>
      <c r="D48" s="3">
        <v>2.6</v>
      </c>
      <c r="E48" s="3">
        <v>0.72243077062817151</v>
      </c>
      <c r="F48" s="3">
        <v>101.324</v>
      </c>
      <c r="G48" s="3">
        <v>2.5</v>
      </c>
      <c r="H48" s="3">
        <v>0.80131677349587604</v>
      </c>
    </row>
    <row r="49" spans="1:8" x14ac:dyDescent="0.3">
      <c r="A49" s="2">
        <v>2021</v>
      </c>
      <c r="B49" s="3">
        <v>12</v>
      </c>
      <c r="C49" s="3">
        <v>102.449</v>
      </c>
      <c r="D49" s="3">
        <v>3.2</v>
      </c>
      <c r="E49" s="3">
        <v>0.78303022877041584</v>
      </c>
      <c r="F49" s="3">
        <v>102.376</v>
      </c>
      <c r="G49" s="3">
        <v>2.6</v>
      </c>
      <c r="H49" s="3">
        <v>0.89613874280050287</v>
      </c>
    </row>
    <row r="50" spans="1:8" x14ac:dyDescent="0.3">
      <c r="A50" s="2">
        <v>2022</v>
      </c>
      <c r="B50" s="3">
        <v>1</v>
      </c>
      <c r="C50" s="3">
        <v>100.929</v>
      </c>
      <c r="D50" s="3">
        <v>4.2</v>
      </c>
      <c r="E50" s="3">
        <v>0.83833417852350789</v>
      </c>
      <c r="F50" s="3">
        <v>101.09699999999999</v>
      </c>
      <c r="G50" s="3">
        <v>3.1</v>
      </c>
      <c r="H50" s="3">
        <v>0.98772440196377642</v>
      </c>
    </row>
    <row r="51" spans="1:8" x14ac:dyDescent="0.3">
      <c r="A51" s="2">
        <v>2022</v>
      </c>
      <c r="B51" s="3">
        <v>2</v>
      </c>
      <c r="C51" s="3">
        <v>100.224</v>
      </c>
      <c r="D51" s="3">
        <v>4.5999999999999996</v>
      </c>
      <c r="E51" s="3">
        <v>0.88781195706448057</v>
      </c>
      <c r="F51" s="3">
        <v>99.998999999999995</v>
      </c>
      <c r="G51" s="3">
        <v>2.7</v>
      </c>
      <c r="H51" s="3">
        <v>1.0755363638949165</v>
      </c>
    </row>
    <row r="52" spans="1:8" x14ac:dyDescent="0.3">
      <c r="A52" s="2">
        <v>2022</v>
      </c>
      <c r="B52" s="3">
        <v>3</v>
      </c>
      <c r="C52" s="3">
        <v>100.245</v>
      </c>
      <c r="D52" s="3">
        <v>4</v>
      </c>
      <c r="E52" s="3">
        <v>0.93116635058574726</v>
      </c>
      <c r="F52" s="3">
        <v>100.009</v>
      </c>
      <c r="G52" s="3">
        <v>2.4</v>
      </c>
      <c r="H52" s="3">
        <v>1.159183927308562</v>
      </c>
    </row>
    <row r="53" spans="1:8" x14ac:dyDescent="0.3">
      <c r="A53" s="2">
        <v>2022</v>
      </c>
      <c r="B53" s="3">
        <v>4</v>
      </c>
      <c r="C53" s="3">
        <v>100.693</v>
      </c>
      <c r="D53" s="3">
        <v>3.4</v>
      </c>
      <c r="E53" s="3">
        <v>0.96835793611603616</v>
      </c>
      <c r="F53" s="3">
        <v>100.423</v>
      </c>
      <c r="G53" s="3">
        <v>2.2000000000000002</v>
      </c>
      <c r="H53" s="3">
        <v>1.2383892008940816</v>
      </c>
    </row>
    <row r="54" spans="1:8" x14ac:dyDescent="0.3">
      <c r="A54" s="2">
        <v>2022</v>
      </c>
      <c r="B54" s="3">
        <v>5</v>
      </c>
      <c r="C54" s="3">
        <v>100.584</v>
      </c>
      <c r="D54" s="3">
        <v>2.2999999999999998</v>
      </c>
      <c r="E54" s="3">
        <v>0.99956040413195157</v>
      </c>
      <c r="F54" s="3">
        <v>101.30200000000001</v>
      </c>
      <c r="G54" s="3">
        <v>2.2000000000000002</v>
      </c>
      <c r="H54" s="3">
        <v>1.3129604611236696</v>
      </c>
    </row>
    <row r="55" spans="1:8" x14ac:dyDescent="0.3">
      <c r="A55" s="2">
        <v>2022</v>
      </c>
      <c r="B55" s="3">
        <v>6</v>
      </c>
      <c r="C55" s="3">
        <v>101.977</v>
      </c>
      <c r="D55" s="3">
        <v>1.5</v>
      </c>
      <c r="E55" s="3">
        <v>1.0251163091423121</v>
      </c>
      <c r="F55" s="3">
        <v>103.441</v>
      </c>
      <c r="G55" s="3">
        <v>2.6</v>
      </c>
      <c r="H55" s="3">
        <v>1.3827727629972364</v>
      </c>
    </row>
    <row r="56" spans="1:8" x14ac:dyDescent="0.3">
      <c r="A56" s="2">
        <v>2022</v>
      </c>
      <c r="B56" s="3">
        <v>7</v>
      </c>
      <c r="C56" s="3">
        <v>105.84</v>
      </c>
      <c r="D56" s="3">
        <v>2.2000000000000002</v>
      </c>
      <c r="E56" s="3">
        <v>1.0454585139612051</v>
      </c>
      <c r="F56" s="3">
        <v>104.93899999999999</v>
      </c>
      <c r="G56" s="3">
        <v>2.7</v>
      </c>
      <c r="H56" s="3">
        <v>1.44776276148267</v>
      </c>
    </row>
    <row r="57" spans="1:8" x14ac:dyDescent="0.3">
      <c r="A57" s="2">
        <v>2022</v>
      </c>
      <c r="B57" s="3">
        <v>8</v>
      </c>
      <c r="C57" s="3">
        <v>105.238</v>
      </c>
      <c r="D57" s="3">
        <v>1.6</v>
      </c>
      <c r="E57" s="3">
        <v>1.0610528594368054</v>
      </c>
      <c r="F57" s="3">
        <v>104.468</v>
      </c>
      <c r="G57" s="3">
        <v>2.7</v>
      </c>
      <c r="H57" s="3">
        <v>1.5079516412170948</v>
      </c>
    </row>
    <row r="58" spans="1:8" x14ac:dyDescent="0.3">
      <c r="A58" s="2">
        <v>2022</v>
      </c>
      <c r="B58" s="3">
        <v>9</v>
      </c>
      <c r="C58" s="3">
        <v>102.771</v>
      </c>
      <c r="D58" s="3">
        <v>1</v>
      </c>
      <c r="E58" s="3">
        <v>1.0724453629093733</v>
      </c>
      <c r="F58" s="3">
        <v>103.03400000000001</v>
      </c>
      <c r="G58" s="3">
        <v>2.2000000000000002</v>
      </c>
      <c r="H58" s="3">
        <v>1.5634475477569763</v>
      </c>
    </row>
    <row r="59" spans="1:8" x14ac:dyDescent="0.3">
      <c r="A59" s="2">
        <v>2022</v>
      </c>
      <c r="B59" s="3">
        <v>10</v>
      </c>
      <c r="C59" s="3">
        <v>102.61</v>
      </c>
      <c r="D59" s="3">
        <v>0.8</v>
      </c>
      <c r="E59" s="3">
        <v>1.080219468603931</v>
      </c>
      <c r="F59" s="3">
        <v>102.348</v>
      </c>
      <c r="G59" s="3">
        <v>1.7</v>
      </c>
      <c r="H59" s="3">
        <v>1.6144414077948066</v>
      </c>
    </row>
    <row r="60" spans="1:8" x14ac:dyDescent="0.3">
      <c r="A60" s="2">
        <v>2022</v>
      </c>
      <c r="B60" s="3">
        <v>11</v>
      </c>
      <c r="C60" s="3">
        <v>100.95399999999999</v>
      </c>
      <c r="D60" s="3">
        <v>-0.7</v>
      </c>
      <c r="E60" s="3">
        <v>1.0849535898175207</v>
      </c>
      <c r="F60" s="3">
        <v>102.491</v>
      </c>
      <c r="G60" s="3">
        <v>1.1000000000000001</v>
      </c>
      <c r="H60" s="3">
        <v>1.6611683530544841</v>
      </c>
    </row>
    <row r="61" spans="1:8" x14ac:dyDescent="0.3">
      <c r="A61" s="2">
        <v>2022</v>
      </c>
      <c r="B61" s="3">
        <v>12</v>
      </c>
      <c r="C61" s="3">
        <v>101.649</v>
      </c>
      <c r="D61" s="3">
        <v>-0.8</v>
      </c>
      <c r="E61" s="3">
        <v>1.0872066801618647</v>
      </c>
      <c r="F61" s="3">
        <v>103.264</v>
      </c>
      <c r="G61" s="3">
        <v>0.8</v>
      </c>
      <c r="H61" s="3">
        <v>1.7038694568288097</v>
      </c>
    </row>
    <row r="62" spans="1:8" x14ac:dyDescent="0.3">
      <c r="A62" s="2">
        <v>2023</v>
      </c>
      <c r="B62" s="3">
        <v>1</v>
      </c>
      <c r="C62" s="3">
        <v>100.651</v>
      </c>
      <c r="D62" s="3">
        <v>-0.3</v>
      </c>
      <c r="E62" s="3">
        <v>1.0874137381382813</v>
      </c>
      <c r="F62" s="3">
        <v>102.19799999999999</v>
      </c>
      <c r="G62" s="3">
        <v>1.1000000000000001</v>
      </c>
      <c r="H62" s="3">
        <v>1.7427468223860667</v>
      </c>
    </row>
    <row r="63" spans="1:8" x14ac:dyDescent="0.3">
      <c r="A63" s="2">
        <v>2023</v>
      </c>
      <c r="B63" s="3">
        <v>2</v>
      </c>
      <c r="C63" s="3">
        <v>99.564999999999998</v>
      </c>
      <c r="D63" s="3">
        <v>-0.7</v>
      </c>
      <c r="E63" s="3">
        <v>1.085878706228633</v>
      </c>
      <c r="F63" s="3">
        <v>101.34099999999999</v>
      </c>
      <c r="G63" s="3">
        <v>1.3</v>
      </c>
      <c r="H63" s="3">
        <v>1.7779397842822582</v>
      </c>
    </row>
    <row r="64" spans="1:8" x14ac:dyDescent="0.3">
      <c r="A64" s="2">
        <v>2023</v>
      </c>
      <c r="B64" s="3">
        <v>3</v>
      </c>
      <c r="C64" s="3">
        <v>100.23</v>
      </c>
      <c r="D64" s="3">
        <v>0</v>
      </c>
      <c r="E64" s="3">
        <v>1.0828091787385226</v>
      </c>
      <c r="F64" s="3">
        <v>101.908</v>
      </c>
      <c r="G64" s="3">
        <v>1.9</v>
      </c>
      <c r="H64" s="3">
        <v>1.8095430418773883</v>
      </c>
    </row>
    <row r="65" spans="1:8" x14ac:dyDescent="0.3">
      <c r="A65" s="2">
        <v>2023</v>
      </c>
      <c r="B65" s="3">
        <v>4</v>
      </c>
      <c r="C65" s="3">
        <v>101.51</v>
      </c>
      <c r="D65" s="3">
        <v>0.8</v>
      </c>
      <c r="E65" s="3">
        <v>1.0782887306189535</v>
      </c>
      <c r="F65" s="3">
        <v>102.596</v>
      </c>
      <c r="G65" s="3">
        <v>2.2000000000000002</v>
      </c>
      <c r="H65" s="3">
        <v>1.8376181042686637</v>
      </c>
    </row>
    <row r="66" spans="1:8" x14ac:dyDescent="0.3">
      <c r="A66" s="2">
        <v>2023</v>
      </c>
      <c r="B66" s="3">
        <v>5</v>
      </c>
      <c r="C66" s="3">
        <v>101.708</v>
      </c>
      <c r="D66" s="3">
        <v>1.1000000000000001</v>
      </c>
      <c r="E66" s="3">
        <v>1.0723257417390721</v>
      </c>
      <c r="F66" s="3">
        <v>103.52</v>
      </c>
      <c r="G66" s="3">
        <v>2.2000000000000002</v>
      </c>
      <c r="H66" s="3">
        <v>1.8622327622864934</v>
      </c>
    </row>
    <row r="67" spans="1:8" x14ac:dyDescent="0.3">
      <c r="A67" s="2">
        <v>2023</v>
      </c>
      <c r="B67" s="3">
        <v>6</v>
      </c>
      <c r="C67" s="3">
        <v>103.89700000000001</v>
      </c>
      <c r="D67" s="3">
        <v>1.9</v>
      </c>
      <c r="E67" s="3">
        <v>1.0649092663617321</v>
      </c>
      <c r="F67" s="3">
        <v>105.833</v>
      </c>
      <c r="G67" s="3">
        <v>2.2999999999999998</v>
      </c>
      <c r="H67" s="3">
        <v>1.8834799721707125</v>
      </c>
    </row>
    <row r="68" spans="1:8" x14ac:dyDescent="0.3">
      <c r="A68" s="2">
        <v>2023</v>
      </c>
      <c r="B68" s="3">
        <v>7</v>
      </c>
      <c r="C68" s="3">
        <v>107.88500000000001</v>
      </c>
      <c r="D68" s="3">
        <v>1.9</v>
      </c>
      <c r="E68" s="3">
        <v>1.0560302805732769</v>
      </c>
      <c r="F68" s="3">
        <v>107.096</v>
      </c>
      <c r="G68" s="3">
        <v>2.1</v>
      </c>
      <c r="H68" s="3">
        <v>1.9014761462193301</v>
      </c>
    </row>
    <row r="69" spans="1:8" x14ac:dyDescent="0.3">
      <c r="A69" s="2">
        <v>2023</v>
      </c>
      <c r="B69" s="3">
        <v>8</v>
      </c>
      <c r="C69" s="3">
        <v>108.104</v>
      </c>
      <c r="D69" s="3">
        <v>2.7</v>
      </c>
      <c r="E69" s="3">
        <v>1.0457377528721081</v>
      </c>
      <c r="F69" s="3">
        <v>106.49299999999999</v>
      </c>
      <c r="G69" s="3">
        <v>1.9</v>
      </c>
      <c r="H69" s="3">
        <v>1.9163666217322877</v>
      </c>
    </row>
    <row r="70" spans="1:8" x14ac:dyDescent="0.3">
      <c r="A70" s="2">
        <v>2023</v>
      </c>
      <c r="B70" s="3">
        <v>9</v>
      </c>
      <c r="C70" s="3">
        <v>103.94</v>
      </c>
      <c r="D70" s="3">
        <v>1.1000000000000001</v>
      </c>
      <c r="E70" s="3">
        <v>1.0341392607649207</v>
      </c>
      <c r="F70" s="3">
        <v>105.03100000000001</v>
      </c>
      <c r="G70" s="3">
        <v>1.9</v>
      </c>
      <c r="H70" s="3">
        <v>1.9283105223882611</v>
      </c>
    </row>
    <row r="71" spans="1:8" x14ac:dyDescent="0.3">
      <c r="A71" s="2">
        <v>2023</v>
      </c>
      <c r="B71" s="3">
        <v>10</v>
      </c>
      <c r="C71" s="3">
        <v>103.45399999999999</v>
      </c>
      <c r="D71" s="3">
        <v>0.8</v>
      </c>
      <c r="E71" s="3">
        <v>1.021457261081127</v>
      </c>
      <c r="F71" s="3">
        <v>104.17700000000001</v>
      </c>
      <c r="G71" s="3">
        <v>1.8</v>
      </c>
      <c r="H71" s="3">
        <v>1.937465835294973</v>
      </c>
    </row>
    <row r="72" spans="1:8" x14ac:dyDescent="0.3">
      <c r="A72" s="2">
        <v>2023</v>
      </c>
      <c r="B72" s="3">
        <v>11</v>
      </c>
      <c r="C72" s="3">
        <v>102.925</v>
      </c>
      <c r="D72" s="3">
        <v>2</v>
      </c>
      <c r="E72" s="3">
        <v>1.0079187843125863</v>
      </c>
      <c r="F72" s="3">
        <v>104.821</v>
      </c>
      <c r="G72" s="3">
        <v>2.2999999999999998</v>
      </c>
      <c r="H72" s="3">
        <v>1.9439885815516469</v>
      </c>
    </row>
    <row r="73" spans="1:8" x14ac:dyDescent="0.3">
      <c r="A73" s="2">
        <v>2023</v>
      </c>
      <c r="B73" s="3">
        <v>12</v>
      </c>
      <c r="C73" s="3">
        <v>103.077</v>
      </c>
      <c r="D73" s="3">
        <v>1.4</v>
      </c>
      <c r="E73" s="3">
        <v>0.99373548197469419</v>
      </c>
      <c r="F73" s="3">
        <v>105.553</v>
      </c>
      <c r="G73" s="3">
        <v>2.2000000000000002</v>
      </c>
      <c r="H73" s="3">
        <v>1.9480252360189445</v>
      </c>
    </row>
    <row r="74" spans="1:8" x14ac:dyDescent="0.3">
      <c r="A74" s="2">
        <v>2024</v>
      </c>
      <c r="B74" s="3">
        <v>1</v>
      </c>
      <c r="C74" s="3">
        <v>100.998</v>
      </c>
      <c r="D74" s="3">
        <v>0.3</v>
      </c>
      <c r="E74" s="3">
        <v>0.97918790011171319</v>
      </c>
      <c r="F74" s="3">
        <v>104.158</v>
      </c>
      <c r="G74" s="3">
        <v>1.9</v>
      </c>
      <c r="H74" s="3">
        <v>1.949746996572697</v>
      </c>
    </row>
    <row r="75" spans="1:8" x14ac:dyDescent="0.3">
      <c r="A75" s="2">
        <v>2024</v>
      </c>
      <c r="B75" s="3">
        <v>2</v>
      </c>
      <c r="C75" s="3">
        <v>100.55800000000001</v>
      </c>
      <c r="D75" s="3">
        <v>1</v>
      </c>
      <c r="E75" s="3">
        <v>0.96458479758165738</v>
      </c>
      <c r="F75" s="3">
        <v>103.523</v>
      </c>
      <c r="G75" s="3">
        <v>2.2000000000000002</v>
      </c>
      <c r="H75" s="3">
        <v>1.9493425593362341</v>
      </c>
    </row>
    <row r="76" spans="1:8" x14ac:dyDescent="0.3">
      <c r="A76" s="2">
        <v>2024</v>
      </c>
      <c r="B76" s="3">
        <v>3</v>
      </c>
      <c r="C76" s="3">
        <v>101.657</v>
      </c>
      <c r="D76" s="3">
        <v>1.4</v>
      </c>
      <c r="E76" s="3">
        <v>0.95018776741614419</v>
      </c>
      <c r="F76" s="3">
        <v>104.16500000000001</v>
      </c>
      <c r="G76" s="3">
        <v>2.2000000000000002</v>
      </c>
      <c r="H76" s="3">
        <v>1.946997165780346</v>
      </c>
    </row>
    <row r="77" spans="1:8" x14ac:dyDescent="0.3">
      <c r="A77" s="2">
        <v>2024</v>
      </c>
      <c r="B77" s="3">
        <v>4</v>
      </c>
      <c r="C77" s="3">
        <v>101.521</v>
      </c>
      <c r="D77" s="3">
        <v>0</v>
      </c>
      <c r="E77" s="3">
        <v>0.93626086203584791</v>
      </c>
      <c r="F77" s="3">
        <v>104.43</v>
      </c>
      <c r="G77" s="3">
        <v>1.8</v>
      </c>
      <c r="H77" s="3">
        <v>1.9429134641425352</v>
      </c>
    </row>
    <row r="78" spans="1:8" x14ac:dyDescent="0.3">
      <c r="A78" s="2">
        <v>2024</v>
      </c>
      <c r="B78" s="3">
        <v>5</v>
      </c>
      <c r="C78" s="3">
        <v>101.708</v>
      </c>
      <c r="D78" s="3">
        <v>0</v>
      </c>
      <c r="E78" s="3">
        <v>0.92309937082203908</v>
      </c>
      <c r="F78" s="3">
        <v>105.29</v>
      </c>
      <c r="G78" s="3">
        <v>1.7</v>
      </c>
      <c r="H78" s="3">
        <v>1.93731167230157</v>
      </c>
    </row>
    <row r="79" spans="1:8" x14ac:dyDescent="0.3">
      <c r="A79" s="2">
        <v>2024</v>
      </c>
      <c r="B79" s="3">
        <v>6</v>
      </c>
      <c r="C79" s="3">
        <v>104.239</v>
      </c>
      <c r="D79" s="3">
        <v>0.3</v>
      </c>
      <c r="E79" s="3">
        <v>0.91093356504056899</v>
      </c>
      <c r="F79" s="3">
        <v>107.54300000000001</v>
      </c>
      <c r="G79" s="3">
        <v>1.6</v>
      </c>
      <c r="H79" s="3">
        <v>1.9304020835900975</v>
      </c>
    </row>
    <row r="80" spans="1:8" x14ac:dyDescent="0.3">
      <c r="A80" s="2">
        <v>2024</v>
      </c>
      <c r="B80" s="3">
        <v>7</v>
      </c>
      <c r="C80" s="3">
        <v>107.649</v>
      </c>
      <c r="D80" s="3">
        <v>-0.2</v>
      </c>
      <c r="E80" s="3">
        <v>0.8999296118343153</v>
      </c>
      <c r="F80" s="3">
        <v>109.163</v>
      </c>
      <c r="G80" s="3">
        <v>1.9</v>
      </c>
      <c r="H80" s="3">
        <v>1.9223785113635219</v>
      </c>
    </row>
    <row r="81" spans="1:8" x14ac:dyDescent="0.3">
      <c r="A81" s="2">
        <v>2024</v>
      </c>
      <c r="B81" s="3">
        <v>8</v>
      </c>
      <c r="C81" s="3">
        <v>107.70399999999999</v>
      </c>
      <c r="D81" s="3">
        <v>-0.4</v>
      </c>
      <c r="E81" s="3">
        <v>0.89021125240413912</v>
      </c>
      <c r="F81" s="3">
        <v>108.572</v>
      </c>
      <c r="G81" s="3">
        <v>2</v>
      </c>
      <c r="H81" s="3">
        <v>1.9134118243881095</v>
      </c>
    </row>
    <row r="82" spans="1:8" x14ac:dyDescent="0.3">
      <c r="A82" s="2">
        <v>2024</v>
      </c>
      <c r="B82" s="3">
        <v>9</v>
      </c>
      <c r="C82" s="3">
        <v>104.108</v>
      </c>
      <c r="D82" s="3">
        <v>0.2</v>
      </c>
      <c r="E82" s="3">
        <v>0.8818258439500799</v>
      </c>
      <c r="F82" s="3">
        <v>106.72</v>
      </c>
      <c r="G82" s="3">
        <v>1.6</v>
      </c>
      <c r="H82" s="3">
        <v>1.9036713373668377</v>
      </c>
    </row>
    <row r="83" spans="1:8" x14ac:dyDescent="0.3">
      <c r="A83" s="2">
        <v>2024</v>
      </c>
      <c r="B83" s="3">
        <v>10</v>
      </c>
      <c r="C83" s="3">
        <v>103.354</v>
      </c>
      <c r="D83" s="3">
        <v>-0.1</v>
      </c>
      <c r="E83" s="3">
        <v>0.87473114566853793</v>
      </c>
      <c r="F83" s="3">
        <v>106.01300000000001</v>
      </c>
      <c r="G83" s="3">
        <v>1.8</v>
      </c>
      <c r="H83" s="3">
        <v>1.8933323780704348</v>
      </c>
    </row>
    <row r="84" spans="1:8" x14ac:dyDescent="0.3">
      <c r="A84" s="2">
        <v>2024</v>
      </c>
      <c r="B84" s="3">
        <v>11</v>
      </c>
      <c r="C84" s="3">
        <v>103.378</v>
      </c>
      <c r="D84" s="3">
        <v>0.4</v>
      </c>
      <c r="E84" s="3">
        <v>0.86883756773897236</v>
      </c>
      <c r="F84" s="3">
        <v>106.815</v>
      </c>
      <c r="G84" s="3">
        <v>1.9</v>
      </c>
      <c r="H84" s="3">
        <v>1.8825491859823118</v>
      </c>
    </row>
    <row r="85" spans="1:8" x14ac:dyDescent="0.3">
      <c r="A85" s="2">
        <v>2024</v>
      </c>
      <c r="B85" s="3">
        <v>12</v>
      </c>
      <c r="C85" s="3">
        <v>103.884</v>
      </c>
      <c r="D85" s="3">
        <v>0.8</v>
      </c>
      <c r="E85" s="3">
        <v>0.86398783067794882</v>
      </c>
      <c r="F85" s="3">
        <v>107.35599999999999</v>
      </c>
      <c r="G85" s="3">
        <v>1.7</v>
      </c>
      <c r="H85" s="3">
        <v>1.8714695191707362</v>
      </c>
    </row>
    <row r="86" spans="1:8" x14ac:dyDescent="0.3">
      <c r="A86" s="2">
        <v>2025</v>
      </c>
      <c r="B86" s="3">
        <v>1</v>
      </c>
      <c r="C86" s="3">
        <v>101.721</v>
      </c>
      <c r="D86" s="3">
        <v>0.7</v>
      </c>
      <c r="E86" s="3">
        <v>0.85999209683760647</v>
      </c>
      <c r="F86" s="3">
        <v>105.52</v>
      </c>
      <c r="G86" s="3">
        <v>1.3</v>
      </c>
      <c r="H86" s="3">
        <v>1.8602423475660597</v>
      </c>
    </row>
    <row r="87" spans="1:8" x14ac:dyDescent="0.3">
      <c r="A87" s="2">
        <v>2025</v>
      </c>
      <c r="B87" s="3">
        <v>2</v>
      </c>
      <c r="C87" s="3">
        <v>102.09699999999999</v>
      </c>
      <c r="D87" s="3">
        <v>1.5</v>
      </c>
      <c r="E87" s="3">
        <v>0.85665608497073187</v>
      </c>
      <c r="F87" s="3">
        <v>104.851</v>
      </c>
      <c r="G87" s="3">
        <v>1.3</v>
      </c>
      <c r="H87" s="3">
        <v>1.8490047334931359</v>
      </c>
    </row>
    <row r="88" spans="1:8" x14ac:dyDescent="0.3">
      <c r="A88" s="2">
        <v>2025</v>
      </c>
      <c r="B88" s="3">
        <v>3</v>
      </c>
      <c r="C88" s="3">
        <v>102.65600000000001</v>
      </c>
      <c r="D88" s="3">
        <v>1</v>
      </c>
      <c r="E88" s="3">
        <v>0.85377440326783094</v>
      </c>
      <c r="F88" s="3">
        <v>105.21299999999999</v>
      </c>
      <c r="G88" s="3">
        <v>1</v>
      </c>
      <c r="H88" s="3">
        <v>1.837854833558237</v>
      </c>
    </row>
    <row r="89" spans="1:8" x14ac:dyDescent="0.3">
      <c r="A89" s="2">
        <v>2025</v>
      </c>
      <c r="B89" s="3">
        <v>4</v>
      </c>
      <c r="C89" s="3">
        <v>103.482</v>
      </c>
      <c r="D89" s="3">
        <v>1.9</v>
      </c>
      <c r="E89" s="3">
        <v>0.85118633658017562</v>
      </c>
      <c r="F89" s="3">
        <v>105.791</v>
      </c>
      <c r="G89" s="3">
        <v>1.3</v>
      </c>
      <c r="H89" s="3">
        <v>1.8268526790389206</v>
      </c>
    </row>
    <row r="90" spans="1:8" x14ac:dyDescent="0.3">
      <c r="A90" s="2">
        <v>2025</v>
      </c>
      <c r="B90" s="3">
        <v>5</v>
      </c>
      <c r="C90" s="3">
        <v>103.041</v>
      </c>
      <c r="D90" s="3">
        <v>1.3</v>
      </c>
      <c r="E90" s="3">
        <v>0.84874132431436666</v>
      </c>
      <c r="F90" s="3">
        <v>106.789</v>
      </c>
      <c r="G90" s="3">
        <v>1.4</v>
      </c>
      <c r="H90" s="3">
        <v>1.816000116849303</v>
      </c>
    </row>
    <row r="91" spans="1:8" x14ac:dyDescent="0.3">
      <c r="A91" s="2">
        <v>2025</v>
      </c>
      <c r="B91" s="3">
        <v>6</v>
      </c>
      <c r="C91" s="3">
        <v>105.40600000000001</v>
      </c>
      <c r="D91" s="3">
        <v>1.2</v>
      </c>
      <c r="E91" s="3">
        <v>0.84636164015918669</v>
      </c>
      <c r="F91" s="3">
        <v>109.889</v>
      </c>
      <c r="G91" s="3">
        <v>2.2000000000000002</v>
      </c>
      <c r="H91" s="3">
        <v>1.8052624069119008</v>
      </c>
    </row>
    <row r="92" spans="1:8" x14ac:dyDescent="0.3">
      <c r="A92" s="2">
        <v>2025</v>
      </c>
      <c r="B92" s="3">
        <v>7</v>
      </c>
      <c r="C92" s="3">
        <v>108.922</v>
      </c>
      <c r="D92" s="3">
        <v>1.2</v>
      </c>
      <c r="E92" s="3">
        <v>0.84400089521145205</v>
      </c>
      <c r="F92" s="3">
        <v>111.393</v>
      </c>
      <c r="G92" s="3">
        <v>2.1</v>
      </c>
      <c r="H92" s="3">
        <v>1.7945759202522271</v>
      </c>
    </row>
    <row r="93" spans="1:8" x14ac:dyDescent="0.3">
      <c r="A93" s="2">
        <v>2025</v>
      </c>
      <c r="B93" s="3">
        <v>8</v>
      </c>
      <c r="C93" s="3">
        <v>108.547</v>
      </c>
      <c r="D93" s="3">
        <v>0.8</v>
      </c>
      <c r="E93" s="3">
        <v>0.84163725878741269</v>
      </c>
      <c r="F93" s="3">
        <v>110.73699999999999</v>
      </c>
      <c r="G93" s="3">
        <v>2</v>
      </c>
      <c r="H93" s="3">
        <v>1.7839044402286488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H97"/>
  <sheetViews>
    <sheetView topLeftCell="A79" workbookViewId="0">
      <selection activeCell="A2" sqref="A2:H91"/>
    </sheetView>
  </sheetViews>
  <sheetFormatPr baseColWidth="10" defaultColWidth="11.42578125" defaultRowHeight="13.5" x14ac:dyDescent="0.3"/>
  <cols>
    <col min="1" max="1" width="4.42578125" style="2" bestFit="1" customWidth="1"/>
    <col min="2" max="2" width="8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855468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164</v>
      </c>
      <c r="D1" s="2" t="s">
        <v>165</v>
      </c>
      <c r="E1" s="2" t="s">
        <v>166</v>
      </c>
      <c r="F1" s="2" t="s">
        <v>167</v>
      </c>
      <c r="G1" s="2" t="s">
        <v>168</v>
      </c>
      <c r="H1" s="2" t="s">
        <v>169</v>
      </c>
    </row>
    <row r="2" spans="1:8" x14ac:dyDescent="0.3">
      <c r="A2" s="2">
        <v>2018</v>
      </c>
      <c r="B2" s="3">
        <v>1</v>
      </c>
      <c r="C2" s="3">
        <v>185994.14048999999</v>
      </c>
      <c r="D2" s="3">
        <v>2.7670136939521583</v>
      </c>
      <c r="E2" s="3">
        <v>3.8077801935548585</v>
      </c>
      <c r="F2" s="3">
        <v>22829627.808120038</v>
      </c>
      <c r="G2" s="3">
        <v>6.4810928347234897</v>
      </c>
      <c r="H2" s="3">
        <v>3.6001970050447993</v>
      </c>
    </row>
    <row r="3" spans="1:8" x14ac:dyDescent="0.3">
      <c r="A3" s="2">
        <v>2018</v>
      </c>
      <c r="B3" s="3">
        <v>2</v>
      </c>
      <c r="C3" s="3">
        <v>197321.14300000001</v>
      </c>
      <c r="D3" s="3">
        <v>2.6103346157528851</v>
      </c>
      <c r="E3" s="3">
        <v>3.9283380630566884</v>
      </c>
      <c r="F3" s="3">
        <v>22589523.721459996</v>
      </c>
      <c r="G3" s="3">
        <v>2.3278738827444689</v>
      </c>
      <c r="H3" s="3">
        <v>3.4386669754816661</v>
      </c>
    </row>
    <row r="4" spans="1:8" x14ac:dyDescent="0.3">
      <c r="A4" s="2">
        <v>2018</v>
      </c>
      <c r="B4" s="3">
        <v>3</v>
      </c>
      <c r="C4" s="3">
        <v>225905.14053</v>
      </c>
      <c r="D4" s="3">
        <v>-7.6173467790465965</v>
      </c>
      <c r="E4" s="3">
        <v>4.0338900529700545</v>
      </c>
      <c r="F4" s="3">
        <v>25605526.83364002</v>
      </c>
      <c r="G4" s="3">
        <v>-2.3651944212244924</v>
      </c>
      <c r="H4" s="3">
        <v>3.2711738851170611</v>
      </c>
    </row>
    <row r="5" spans="1:8" x14ac:dyDescent="0.3">
      <c r="A5" s="2">
        <v>2018</v>
      </c>
      <c r="B5" s="3">
        <v>4</v>
      </c>
      <c r="C5" s="3">
        <v>231765.78724999999</v>
      </c>
      <c r="D5" s="3">
        <v>14.563697194258696</v>
      </c>
      <c r="E5" s="3">
        <v>4.124299860189093</v>
      </c>
      <c r="F5" s="3">
        <v>23858353.655670028</v>
      </c>
      <c r="G5" s="3">
        <v>9.4610074514720033</v>
      </c>
      <c r="H5" s="3">
        <v>3.0998835506598406</v>
      </c>
    </row>
    <row r="6" spans="1:8" x14ac:dyDescent="0.3">
      <c r="A6" s="2">
        <v>2018</v>
      </c>
      <c r="B6" s="3">
        <v>5</v>
      </c>
      <c r="C6" s="3">
        <v>218763.50692000001</v>
      </c>
      <c r="D6" s="3">
        <v>-2.7152144044952919</v>
      </c>
      <c r="E6" s="3">
        <v>4.1986220679390502</v>
      </c>
      <c r="F6" s="3">
        <v>25309319.606359996</v>
      </c>
      <c r="G6" s="3">
        <v>-0.19623776540104165</v>
      </c>
      <c r="H6" s="3">
        <v>2.9265703743531435</v>
      </c>
    </row>
    <row r="7" spans="1:8" x14ac:dyDescent="0.3">
      <c r="A7" s="2">
        <v>2018</v>
      </c>
      <c r="B7" s="3">
        <v>6</v>
      </c>
      <c r="C7" s="3">
        <v>222829.92141000001</v>
      </c>
      <c r="D7" s="3">
        <v>0.69315762590353991</v>
      </c>
      <c r="E7" s="3">
        <v>4.256636217593373</v>
      </c>
      <c r="F7" s="3">
        <v>24724040.73133003</v>
      </c>
      <c r="G7" s="3">
        <v>3.1086286138920061</v>
      </c>
      <c r="H7" s="3">
        <v>2.753450503155443</v>
      </c>
    </row>
    <row r="8" spans="1:8" x14ac:dyDescent="0.3">
      <c r="A8" s="2">
        <v>2018</v>
      </c>
      <c r="B8" s="3">
        <v>7</v>
      </c>
      <c r="C8" s="3">
        <v>233461.76023000001</v>
      </c>
      <c r="D8" s="3">
        <v>48.545510002663093</v>
      </c>
      <c r="E8" s="3">
        <v>4.2976417229927</v>
      </c>
      <c r="F8" s="3">
        <v>24354883.864849966</v>
      </c>
      <c r="G8" s="3">
        <v>9.7609160509094082</v>
      </c>
      <c r="H8" s="3">
        <v>2.5825232223488417</v>
      </c>
    </row>
    <row r="9" spans="1:8" x14ac:dyDescent="0.3">
      <c r="A9" s="2">
        <v>2018</v>
      </c>
      <c r="B9" s="3">
        <v>8</v>
      </c>
      <c r="C9" s="3">
        <v>181405.86407000001</v>
      </c>
      <c r="D9" s="3">
        <v>-6.3741628714195979</v>
      </c>
      <c r="E9" s="3">
        <v>4.3206905341865811</v>
      </c>
      <c r="F9" s="3">
        <v>20714785.097650032</v>
      </c>
      <c r="G9" s="3">
        <v>7.6782941425479923</v>
      </c>
      <c r="H9" s="3">
        <v>2.41581248236202</v>
      </c>
    </row>
    <row r="10" spans="1:8" x14ac:dyDescent="0.3">
      <c r="A10" s="2">
        <v>2018</v>
      </c>
      <c r="B10" s="3">
        <v>9</v>
      </c>
      <c r="C10" s="3">
        <v>220115.74223</v>
      </c>
      <c r="D10" s="3">
        <v>9.7285754297054439</v>
      </c>
      <c r="E10" s="3">
        <v>4.3279073698550974</v>
      </c>
      <c r="F10" s="3">
        <v>22176855.842539951</v>
      </c>
      <c r="G10" s="3">
        <v>-4.6464302746944792</v>
      </c>
      <c r="H10" s="3">
        <v>2.2558407331256416</v>
      </c>
    </row>
    <row r="11" spans="1:8" x14ac:dyDescent="0.3">
      <c r="A11" s="2">
        <v>2018</v>
      </c>
      <c r="B11" s="3">
        <v>10</v>
      </c>
      <c r="C11" s="3">
        <v>248808.0226</v>
      </c>
      <c r="D11" s="3">
        <v>15.675835775741632</v>
      </c>
      <c r="E11" s="3">
        <v>4.3206742505251636</v>
      </c>
      <c r="F11" s="3">
        <v>26413344.610279996</v>
      </c>
      <c r="G11" s="3">
        <v>8.9620020597592998</v>
      </c>
      <c r="H11" s="3">
        <v>2.1054958746856616</v>
      </c>
    </row>
    <row r="12" spans="1:8" x14ac:dyDescent="0.3">
      <c r="A12" s="2">
        <v>2018</v>
      </c>
      <c r="B12" s="3">
        <v>11</v>
      </c>
      <c r="C12" s="3">
        <v>229049.11949000001</v>
      </c>
      <c r="D12" s="3">
        <v>7.931144811497548</v>
      </c>
      <c r="E12" s="3">
        <v>4.3007482431167396</v>
      </c>
      <c r="F12" s="3">
        <v>25280962.697820004</v>
      </c>
      <c r="G12" s="3">
        <v>-0.29015209177515322</v>
      </c>
      <c r="H12" s="3">
        <v>1.9671864827124914</v>
      </c>
    </row>
    <row r="13" spans="1:8" x14ac:dyDescent="0.3">
      <c r="A13" s="2">
        <v>2018</v>
      </c>
      <c r="B13" s="3">
        <v>12</v>
      </c>
      <c r="C13" s="3">
        <v>189144.33986000001</v>
      </c>
      <c r="D13" s="3">
        <v>8.1845119230922858</v>
      </c>
      <c r="E13" s="3">
        <v>4.2706749674334805</v>
      </c>
      <c r="F13" s="3">
        <v>21166697.926720001</v>
      </c>
      <c r="G13" s="3">
        <v>-3.6593515213272809</v>
      </c>
      <c r="H13" s="3">
        <v>1.8437972791393948</v>
      </c>
    </row>
    <row r="14" spans="1:8" x14ac:dyDescent="0.3">
      <c r="A14" s="2">
        <v>2019</v>
      </c>
      <c r="B14" s="3">
        <v>1</v>
      </c>
      <c r="C14" s="3">
        <v>228809.28056000001</v>
      </c>
      <c r="D14" s="3">
        <v>23.019617691828298</v>
      </c>
      <c r="E14" s="3">
        <v>4.2332521541518453</v>
      </c>
      <c r="F14" s="3">
        <v>22525343.531439986</v>
      </c>
      <c r="G14" s="3">
        <v>-1.3328481709711681</v>
      </c>
      <c r="H14" s="3">
        <v>1.7380562262764074</v>
      </c>
    </row>
    <row r="15" spans="1:8" x14ac:dyDescent="0.3">
      <c r="A15" s="2">
        <v>2019</v>
      </c>
      <c r="B15" s="3">
        <v>2</v>
      </c>
      <c r="C15" s="3">
        <v>196567.89634000001</v>
      </c>
      <c r="D15" s="3">
        <v>-0.38173641635554922</v>
      </c>
      <c r="E15" s="3">
        <v>4.1915493281813241</v>
      </c>
      <c r="F15" s="3">
        <v>23018840.082270019</v>
      </c>
      <c r="G15" s="3">
        <v>1.9005109009986532</v>
      </c>
      <c r="H15" s="3">
        <v>1.6523091233224207</v>
      </c>
    </row>
    <row r="16" spans="1:8" x14ac:dyDescent="0.3">
      <c r="A16" s="2">
        <v>2019</v>
      </c>
      <c r="B16" s="3">
        <v>3</v>
      </c>
      <c r="C16" s="3">
        <v>295060.79168000002</v>
      </c>
      <c r="D16" s="3">
        <v>30.612694774343229</v>
      </c>
      <c r="E16" s="3">
        <v>4.149940623149301</v>
      </c>
      <c r="F16" s="3">
        <v>25469239.802170008</v>
      </c>
      <c r="G16" s="3">
        <v>-0.53225630683357839</v>
      </c>
      <c r="H16" s="3">
        <v>1.5886885122265173</v>
      </c>
    </row>
    <row r="17" spans="1:8" x14ac:dyDescent="0.3">
      <c r="A17" s="2">
        <v>2019</v>
      </c>
      <c r="B17" s="3">
        <v>4</v>
      </c>
      <c r="C17" s="3">
        <v>240194.15315999999</v>
      </c>
      <c r="D17" s="3">
        <v>3.6365876128682029</v>
      </c>
      <c r="E17" s="3">
        <v>4.1124825833953444</v>
      </c>
      <c r="F17" s="3">
        <v>24764584.76129004</v>
      </c>
      <c r="G17" s="3">
        <v>3.7983807210630438</v>
      </c>
      <c r="H17" s="3">
        <v>1.5493441711723404</v>
      </c>
    </row>
    <row r="18" spans="1:8" x14ac:dyDescent="0.3">
      <c r="A18" s="2">
        <v>2019</v>
      </c>
      <c r="B18" s="3">
        <v>5</v>
      </c>
      <c r="C18" s="3">
        <v>245674.76586000001</v>
      </c>
      <c r="D18" s="3">
        <v>12.301530231841284</v>
      </c>
      <c r="E18" s="3">
        <v>4.0850694445195224</v>
      </c>
      <c r="F18" s="3">
        <v>26691544.401869942</v>
      </c>
      <c r="G18" s="3">
        <v>5.4613273569100729</v>
      </c>
      <c r="H18" s="3">
        <v>1.5362785905088761</v>
      </c>
    </row>
    <row r="19" spans="1:8" x14ac:dyDescent="0.3">
      <c r="A19" s="2">
        <v>2019</v>
      </c>
      <c r="B19" s="3">
        <v>6</v>
      </c>
      <c r="C19" s="3">
        <v>219300.51785</v>
      </c>
      <c r="D19" s="3">
        <v>-1.5839001951205689</v>
      </c>
      <c r="E19" s="3">
        <v>4.07356239386006</v>
      </c>
      <c r="F19" s="3">
        <v>24938661.088479996</v>
      </c>
      <c r="G19" s="3">
        <v>0.86806343462297875</v>
      </c>
      <c r="H19" s="3">
        <v>1.551650443678853</v>
      </c>
    </row>
    <row r="20" spans="1:8" x14ac:dyDescent="0.3">
      <c r="A20" s="2">
        <v>2019</v>
      </c>
      <c r="B20" s="3">
        <v>7</v>
      </c>
      <c r="C20" s="3">
        <v>228501.74948</v>
      </c>
      <c r="D20" s="3">
        <v>-2.1245495386968516</v>
      </c>
      <c r="E20" s="3">
        <v>4.0843932063098567</v>
      </c>
      <c r="F20" s="3">
        <v>25286753.77191006</v>
      </c>
      <c r="G20" s="3">
        <v>3.8262137164407184</v>
      </c>
      <c r="H20" s="3">
        <v>1.5978909769559992</v>
      </c>
    </row>
    <row r="21" spans="1:8" x14ac:dyDescent="0.3">
      <c r="A21" s="2">
        <v>2019</v>
      </c>
      <c r="B21" s="3">
        <v>8</v>
      </c>
      <c r="C21" s="3">
        <v>177326.96174</v>
      </c>
      <c r="D21" s="3">
        <v>-2.2484953013570008</v>
      </c>
      <c r="E21" s="3">
        <v>4.1236007774153549</v>
      </c>
      <c r="F21" s="3">
        <v>19436253.855720006</v>
      </c>
      <c r="G21" s="3">
        <v>-6.1720709913378187</v>
      </c>
      <c r="H21" s="3">
        <v>1.6773839652939697</v>
      </c>
    </row>
    <row r="22" spans="1:8" x14ac:dyDescent="0.3">
      <c r="A22" s="2">
        <v>2019</v>
      </c>
      <c r="B22" s="3">
        <v>9</v>
      </c>
      <c r="C22" s="3">
        <v>203476.70464000001</v>
      </c>
      <c r="D22" s="3">
        <v>-7.5592219899537128</v>
      </c>
      <c r="E22" s="3">
        <v>4.1967928261434819</v>
      </c>
      <c r="F22" s="3">
        <v>23468753.241380028</v>
      </c>
      <c r="G22" s="3">
        <v>5.8254308366019192</v>
      </c>
      <c r="H22" s="3">
        <v>1.7926679282811051</v>
      </c>
    </row>
    <row r="23" spans="1:8" x14ac:dyDescent="0.3">
      <c r="A23" s="2">
        <v>2019</v>
      </c>
      <c r="B23" s="3">
        <v>10</v>
      </c>
      <c r="C23" s="3">
        <v>227515.17905000001</v>
      </c>
      <c r="D23" s="3">
        <v>-8.5579409086144143</v>
      </c>
      <c r="E23" s="3">
        <v>4.3091345647890282</v>
      </c>
      <c r="F23" s="3">
        <v>26861399.679109901</v>
      </c>
      <c r="G23" s="3">
        <v>1.6963208387305917</v>
      </c>
      <c r="H23" s="3">
        <v>1.9457362844670916</v>
      </c>
    </row>
    <row r="24" spans="1:8" x14ac:dyDescent="0.3">
      <c r="A24" s="2">
        <v>2019</v>
      </c>
      <c r="B24" s="3">
        <v>11</v>
      </c>
      <c r="C24" s="3">
        <v>203305.08932</v>
      </c>
      <c r="D24" s="3">
        <v>-11.239523743781065</v>
      </c>
      <c r="E24" s="3">
        <v>4.4649748157290006</v>
      </c>
      <c r="F24" s="3">
        <v>25061368.328079998</v>
      </c>
      <c r="G24" s="3">
        <v>-0.86861553638122313</v>
      </c>
      <c r="H24" s="3">
        <v>2.1388625053813599</v>
      </c>
    </row>
    <row r="25" spans="1:8" x14ac:dyDescent="0.3">
      <c r="A25" s="2">
        <v>2019</v>
      </c>
      <c r="B25" s="3">
        <v>12</v>
      </c>
      <c r="C25" s="3">
        <v>156293.27364999999</v>
      </c>
      <c r="D25" s="3">
        <v>-17.368252327463551</v>
      </c>
      <c r="E25" s="3">
        <v>4.6677688544325306</v>
      </c>
      <c r="F25" s="3">
        <v>22566331.539349999</v>
      </c>
      <c r="G25" s="3">
        <v>6.6124324988034999</v>
      </c>
      <c r="H25" s="3">
        <v>2.3743027420362761</v>
      </c>
    </row>
    <row r="26" spans="1:8" x14ac:dyDescent="0.3">
      <c r="A26" s="2">
        <v>2020</v>
      </c>
      <c r="B26" s="3">
        <v>1</v>
      </c>
      <c r="C26" s="3">
        <v>244876.81400000001</v>
      </c>
      <c r="D26" s="3">
        <v>7.0222385213901672</v>
      </c>
      <c r="E26" s="3">
        <v>4.9198813661910057</v>
      </c>
      <c r="F26" s="3">
        <v>23142387.829999998</v>
      </c>
      <c r="G26" s="3">
        <v>2.7393335764170024</v>
      </c>
      <c r="H26" s="3">
        <v>2.6541042928024168</v>
      </c>
    </row>
    <row r="27" spans="1:8" x14ac:dyDescent="0.3">
      <c r="A27" s="2">
        <v>2020</v>
      </c>
      <c r="B27" s="3">
        <v>2</v>
      </c>
      <c r="C27" s="3">
        <v>189639.17662000001</v>
      </c>
      <c r="D27" s="3">
        <v>-3.5248480799812354</v>
      </c>
      <c r="E27" s="3">
        <v>5.222146757047069</v>
      </c>
      <c r="F27" s="3">
        <v>23992357.129999999</v>
      </c>
      <c r="G27" s="3">
        <v>4.229218519484923</v>
      </c>
      <c r="H27" s="3">
        <v>2.9806087706167999</v>
      </c>
    </row>
    <row r="28" spans="1:8" x14ac:dyDescent="0.3">
      <c r="A28" s="2">
        <v>2020</v>
      </c>
      <c r="B28" s="3">
        <v>3</v>
      </c>
      <c r="C28" s="3">
        <v>223691.54678999999</v>
      </c>
      <c r="D28" s="3">
        <v>-24.187979868027188</v>
      </c>
      <c r="E28" s="3">
        <v>5.5755454300680318</v>
      </c>
      <c r="F28" s="3">
        <v>21769151.440000001</v>
      </c>
      <c r="G28" s="3">
        <v>-14.527674916527166</v>
      </c>
      <c r="H28" s="3">
        <v>3.356163707116695</v>
      </c>
    </row>
    <row r="29" spans="1:8" x14ac:dyDescent="0.3">
      <c r="A29" s="2">
        <v>2020</v>
      </c>
      <c r="B29" s="3">
        <v>4</v>
      </c>
      <c r="C29" s="3">
        <v>144546.20694</v>
      </c>
      <c r="D29" s="3">
        <v>-39.821096792596045</v>
      </c>
      <c r="E29" s="3">
        <v>5.9804503581241883</v>
      </c>
      <c r="F29" s="3">
        <v>15042773.1</v>
      </c>
      <c r="G29" s="3">
        <v>-39.256913673296779</v>
      </c>
      <c r="H29" s="3">
        <v>3.7832033429497094</v>
      </c>
    </row>
    <row r="30" spans="1:8" x14ac:dyDescent="0.3">
      <c r="A30" s="2">
        <v>2020</v>
      </c>
      <c r="B30" s="3">
        <v>5</v>
      </c>
      <c r="C30" s="3">
        <v>161907.34787999999</v>
      </c>
      <c r="D30" s="3">
        <v>-34.096875064383148</v>
      </c>
      <c r="E30" s="3">
        <v>6.435167602606799</v>
      </c>
      <c r="F30" s="3">
        <v>17514828.839999996</v>
      </c>
      <c r="G30" s="3">
        <v>-34.380609168598909</v>
      </c>
      <c r="H30" s="3">
        <v>4.2629199855256976</v>
      </c>
    </row>
    <row r="31" spans="1:8" x14ac:dyDescent="0.3">
      <c r="A31" s="2">
        <v>2020</v>
      </c>
      <c r="B31" s="3">
        <v>6</v>
      </c>
      <c r="C31" s="3">
        <v>217876.37155000001</v>
      </c>
      <c r="D31" s="3">
        <v>-0.64940398406815314</v>
      </c>
      <c r="E31" s="3">
        <v>6.9348225619105461</v>
      </c>
      <c r="F31" s="3">
        <v>22639947.27</v>
      </c>
      <c r="G31" s="3">
        <v>-9.2174708590985652</v>
      </c>
      <c r="H31" s="3">
        <v>4.7935170452394971</v>
      </c>
    </row>
    <row r="32" spans="1:8" x14ac:dyDescent="0.3">
      <c r="A32" s="2">
        <v>2020</v>
      </c>
      <c r="B32" s="3">
        <v>7</v>
      </c>
      <c r="C32" s="3">
        <v>209975.323</v>
      </c>
      <c r="D32" s="3">
        <v>-8.1077832104832765</v>
      </c>
      <c r="E32" s="3">
        <v>7.4717259092449062</v>
      </c>
      <c r="F32" s="3">
        <v>23385432.23</v>
      </c>
      <c r="G32" s="3">
        <v>-7.5190416257469694</v>
      </c>
      <c r="H32" s="3">
        <v>5.3705143540724647</v>
      </c>
    </row>
    <row r="33" spans="1:8" x14ac:dyDescent="0.3">
      <c r="A33" s="2">
        <v>2020</v>
      </c>
      <c r="B33" s="3">
        <v>8</v>
      </c>
      <c r="C33" s="3">
        <v>177203.73095</v>
      </c>
      <c r="D33" s="3">
        <v>-6.9493543898124788E-2</v>
      </c>
      <c r="E33" s="3">
        <v>8.0376616354203296</v>
      </c>
      <c r="F33" s="3">
        <v>17664203.649999999</v>
      </c>
      <c r="G33" s="3">
        <v>-9.1172415161602789</v>
      </c>
      <c r="H33" s="3">
        <v>5.9884587587348239</v>
      </c>
    </row>
    <row r="34" spans="1:8" x14ac:dyDescent="0.3">
      <c r="A34" s="2">
        <v>2020</v>
      </c>
      <c r="B34" s="3">
        <v>9</v>
      </c>
      <c r="C34" s="3">
        <v>238466.67757999999</v>
      </c>
      <c r="D34" s="3">
        <v>17.19605839002838</v>
      </c>
      <c r="E34" s="3">
        <v>8.6233318208917318</v>
      </c>
      <c r="F34" s="3">
        <v>23250252.91</v>
      </c>
      <c r="G34" s="3">
        <v>-0.9310265830174913</v>
      </c>
      <c r="H34" s="3">
        <v>6.6410019978826451</v>
      </c>
    </row>
    <row r="35" spans="1:8" x14ac:dyDescent="0.3">
      <c r="A35" s="2">
        <v>2020</v>
      </c>
      <c r="B35" s="3">
        <v>10</v>
      </c>
      <c r="C35" s="3">
        <v>235387.14670000001</v>
      </c>
      <c r="D35" s="3">
        <v>3.4599747071249354</v>
      </c>
      <c r="E35" s="3">
        <v>9.2188755492265759</v>
      </c>
      <c r="F35" s="3">
        <v>25281732.719999999</v>
      </c>
      <c r="G35" s="3">
        <v>-5.8808065773966689</v>
      </c>
      <c r="H35" s="3">
        <v>7.320746803208463</v>
      </c>
    </row>
    <row r="36" spans="1:8" x14ac:dyDescent="0.3">
      <c r="A36" s="2">
        <v>2020</v>
      </c>
      <c r="B36" s="3">
        <v>11</v>
      </c>
      <c r="C36" s="3">
        <v>233680.83269000001</v>
      </c>
      <c r="D36" s="3">
        <v>14.940965556542917</v>
      </c>
      <c r="E36" s="3">
        <v>9.8150272322262921</v>
      </c>
      <c r="F36" s="3">
        <v>24730657.68</v>
      </c>
      <c r="G36" s="3">
        <v>-1.319603318344964</v>
      </c>
      <c r="H36" s="3">
        <v>8.019770071086695</v>
      </c>
    </row>
    <row r="37" spans="1:8" x14ac:dyDescent="0.3">
      <c r="A37" s="2">
        <v>2020</v>
      </c>
      <c r="B37" s="3">
        <v>12</v>
      </c>
      <c r="C37" s="3">
        <v>200689.49017</v>
      </c>
      <c r="D37" s="3">
        <v>28.405711572348281</v>
      </c>
      <c r="E37" s="3">
        <v>10.402121358022718</v>
      </c>
      <c r="F37" s="3">
        <v>22761732.91</v>
      </c>
      <c r="G37" s="3">
        <v>0.86589781023675982</v>
      </c>
      <c r="H37" s="3">
        <v>8.7292319233514384</v>
      </c>
    </row>
    <row r="38" spans="1:8" x14ac:dyDescent="0.3">
      <c r="A38" s="2">
        <v>2021</v>
      </c>
      <c r="B38" s="3">
        <v>1</v>
      </c>
      <c r="C38" s="3">
        <v>195600.09393</v>
      </c>
      <c r="D38" s="3">
        <v>-20.123064844350679</v>
      </c>
      <c r="E38" s="3">
        <v>10.970848382686883</v>
      </c>
      <c r="F38" s="3">
        <v>20497598.23</v>
      </c>
      <c r="G38" s="3">
        <v>-11.428334964516917</v>
      </c>
      <c r="H38" s="3">
        <v>9.4396439142403015</v>
      </c>
    </row>
    <row r="39" spans="1:8" x14ac:dyDescent="0.3">
      <c r="A39" s="2">
        <v>2021</v>
      </c>
      <c r="B39" s="3">
        <v>2</v>
      </c>
      <c r="C39" s="3">
        <v>228704.39666999999</v>
      </c>
      <c r="D39" s="3">
        <v>20.599762531282796</v>
      </c>
      <c r="E39" s="3">
        <v>11.513149011610253</v>
      </c>
      <c r="F39" s="3">
        <v>23541978.149999999</v>
      </c>
      <c r="G39" s="3">
        <v>-1.8771768757845253</v>
      </c>
      <c r="H39" s="3">
        <v>10.140971533121926</v>
      </c>
    </row>
    <row r="40" spans="1:8" x14ac:dyDescent="0.3">
      <c r="A40" s="2">
        <v>2021</v>
      </c>
      <c r="B40" s="3">
        <v>3</v>
      </c>
      <c r="C40" s="3">
        <v>275481.75550000003</v>
      </c>
      <c r="D40" s="3">
        <v>23.152510433762743</v>
      </c>
      <c r="E40" s="3">
        <v>12.018804650654635</v>
      </c>
      <c r="F40" s="3">
        <v>28268288.02</v>
      </c>
      <c r="G40" s="3">
        <v>29.854799797377861</v>
      </c>
      <c r="H40" s="3">
        <v>10.821731104165037</v>
      </c>
    </row>
    <row r="41" spans="1:8" x14ac:dyDescent="0.3">
      <c r="A41" s="2">
        <v>2021</v>
      </c>
      <c r="B41" s="3">
        <v>4</v>
      </c>
      <c r="C41" s="3">
        <v>241828.72553</v>
      </c>
      <c r="D41" s="3">
        <v>67.302021028044834</v>
      </c>
      <c r="E41" s="3">
        <v>12.478227720509594</v>
      </c>
      <c r="F41" s="3">
        <v>25841334.359999999</v>
      </c>
      <c r="G41" s="3">
        <v>71.7857085805542</v>
      </c>
      <c r="H41" s="3">
        <v>11.469604357898856</v>
      </c>
    </row>
    <row r="42" spans="1:8" x14ac:dyDescent="0.3">
      <c r="A42" s="2">
        <v>2021</v>
      </c>
      <c r="B42" s="3">
        <v>5</v>
      </c>
      <c r="C42" s="3">
        <v>258083.17099000001</v>
      </c>
      <c r="D42" s="3">
        <v>59.40176549694467</v>
      </c>
      <c r="E42" s="3">
        <v>12.88260381587741</v>
      </c>
      <c r="F42" s="3">
        <v>27202155.73</v>
      </c>
      <c r="G42" s="3">
        <v>55.30928665358288</v>
      </c>
      <c r="H42" s="3">
        <v>12.073594765734075</v>
      </c>
    </row>
    <row r="43" spans="1:8" x14ac:dyDescent="0.3">
      <c r="A43" s="2">
        <v>2021</v>
      </c>
      <c r="B43" s="3">
        <v>6</v>
      </c>
      <c r="C43" s="3">
        <v>258545.85678999999</v>
      </c>
      <c r="D43" s="3">
        <v>18.666312896011682</v>
      </c>
      <c r="E43" s="3">
        <v>13.226925739328946</v>
      </c>
      <c r="F43" s="3">
        <v>27609646.77</v>
      </c>
      <c r="G43" s="3">
        <v>21.951020648291465</v>
      </c>
      <c r="H43" s="3">
        <v>12.626894417430186</v>
      </c>
    </row>
    <row r="44" spans="1:8" x14ac:dyDescent="0.3">
      <c r="A44" s="2">
        <v>2021</v>
      </c>
      <c r="B44" s="3">
        <v>7</v>
      </c>
      <c r="C44" s="3">
        <v>263000.17009999999</v>
      </c>
      <c r="D44" s="3">
        <v>25.252894646100856</v>
      </c>
      <c r="E44" s="3">
        <v>13.509416790774027</v>
      </c>
      <c r="F44" s="3">
        <v>26567777.379999999</v>
      </c>
      <c r="G44" s="3">
        <v>13.608237464679096</v>
      </c>
      <c r="H44" s="3">
        <v>13.125697881350002</v>
      </c>
    </row>
    <row r="45" spans="1:8" x14ac:dyDescent="0.3">
      <c r="A45" s="2">
        <v>2021</v>
      </c>
      <c r="B45" s="3">
        <v>8</v>
      </c>
      <c r="C45" s="3">
        <v>211385.68732</v>
      </c>
      <c r="D45" s="3">
        <v>19.289636954452625</v>
      </c>
      <c r="E45" s="3">
        <v>13.728678005341694</v>
      </c>
      <c r="F45" s="3">
        <v>22097021.399999999</v>
      </c>
      <c r="G45" s="3">
        <v>25.094919860709375</v>
      </c>
      <c r="H45" s="3">
        <v>13.566847234622369</v>
      </c>
    </row>
    <row r="46" spans="1:8" x14ac:dyDescent="0.3">
      <c r="A46" s="2">
        <v>2021</v>
      </c>
      <c r="B46" s="3">
        <v>9</v>
      </c>
      <c r="C46" s="3">
        <v>272823.57841999998</v>
      </c>
      <c r="D46" s="3">
        <v>14.407422113923673</v>
      </c>
      <c r="E46" s="3">
        <v>13.884125937456496</v>
      </c>
      <c r="F46" s="3">
        <v>28336689.449999999</v>
      </c>
      <c r="G46" s="3">
        <v>21.8769084348855</v>
      </c>
      <c r="H46" s="3">
        <v>13.947218064069421</v>
      </c>
    </row>
    <row r="47" spans="1:8" x14ac:dyDescent="0.3">
      <c r="A47" s="2">
        <v>2021</v>
      </c>
      <c r="B47" s="3">
        <v>10</v>
      </c>
      <c r="C47" s="3">
        <v>272857.44426000002</v>
      </c>
      <c r="D47" s="3">
        <v>15.918582677649674</v>
      </c>
      <c r="E47" s="3">
        <v>13.975563319247778</v>
      </c>
      <c r="F47" s="3">
        <v>28719572.43</v>
      </c>
      <c r="G47" s="3">
        <v>13.598117455297576</v>
      </c>
      <c r="H47" s="3">
        <v>14.264486517112324</v>
      </c>
    </row>
    <row r="48" spans="1:8" x14ac:dyDescent="0.3">
      <c r="A48" s="2">
        <v>2021</v>
      </c>
      <c r="B48" s="3">
        <v>11</v>
      </c>
      <c r="C48" s="3">
        <v>273934.59937000001</v>
      </c>
      <c r="D48" s="3">
        <v>17.225959962835489</v>
      </c>
      <c r="E48" s="3">
        <v>14.002829222857141</v>
      </c>
      <c r="F48" s="3">
        <v>30308843.989999998</v>
      </c>
      <c r="G48" s="3">
        <v>22.555754004517038</v>
      </c>
      <c r="H48" s="3">
        <v>14.51687941411466</v>
      </c>
    </row>
    <row r="49" spans="1:8" x14ac:dyDescent="0.3">
      <c r="A49" s="2">
        <v>2021</v>
      </c>
      <c r="B49" s="3">
        <v>12</v>
      </c>
      <c r="C49" s="3">
        <v>226272.70989</v>
      </c>
      <c r="D49" s="3">
        <v>12.747662918635626</v>
      </c>
      <c r="E49" s="3">
        <v>13.965897652326076</v>
      </c>
      <c r="F49" s="3">
        <v>27618262.390000001</v>
      </c>
      <c r="G49" s="3">
        <v>21.336378469964213</v>
      </c>
      <c r="H49" s="3">
        <v>14.70257729981072</v>
      </c>
    </row>
    <row r="50" spans="1:8" x14ac:dyDescent="0.3">
      <c r="A50" s="2">
        <v>2022</v>
      </c>
      <c r="B50" s="3">
        <v>1</v>
      </c>
      <c r="C50" s="3">
        <v>265561.00069000002</v>
      </c>
      <c r="D50" s="3">
        <v>35.76731756838376</v>
      </c>
      <c r="E50" s="3">
        <v>13.86496644021968</v>
      </c>
      <c r="F50" s="3">
        <v>25542612.850000001</v>
      </c>
      <c r="G50" s="3">
        <v>24.612711027851965</v>
      </c>
      <c r="H50" s="3">
        <v>14.820318974114681</v>
      </c>
    </row>
    <row r="51" spans="1:8" x14ac:dyDescent="0.3">
      <c r="A51" s="2">
        <v>2022</v>
      </c>
      <c r="B51" s="3">
        <v>2</v>
      </c>
      <c r="C51" s="3">
        <v>301491.14886000002</v>
      </c>
      <c r="D51" s="3">
        <v>31.825689951656155</v>
      </c>
      <c r="E51" s="3">
        <v>13.700148819468769</v>
      </c>
      <c r="F51" s="3">
        <v>29920329.050000001</v>
      </c>
      <c r="G51" s="3">
        <v>27.093521450745218</v>
      </c>
      <c r="H51" s="3">
        <v>14.869303917577538</v>
      </c>
    </row>
    <row r="52" spans="1:8" x14ac:dyDescent="0.3">
      <c r="A52" s="2">
        <v>2022</v>
      </c>
      <c r="B52" s="3">
        <v>3</v>
      </c>
      <c r="C52" s="3">
        <v>294748.06050000002</v>
      </c>
      <c r="D52" s="3">
        <v>6.9936772999836583</v>
      </c>
      <c r="E52" s="3">
        <v>13.47307901961028</v>
      </c>
      <c r="F52" s="3">
        <v>33090208.02</v>
      </c>
      <c r="G52" s="3">
        <v>17.057700829241806</v>
      </c>
      <c r="H52" s="3">
        <v>14.849411637976241</v>
      </c>
    </row>
    <row r="53" spans="1:8" x14ac:dyDescent="0.3">
      <c r="A53" s="2">
        <v>2022</v>
      </c>
      <c r="B53" s="3">
        <v>4</v>
      </c>
      <c r="C53" s="3">
        <v>301348.68291999999</v>
      </c>
      <c r="D53" s="3">
        <v>24.612443066701051</v>
      </c>
      <c r="E53" s="3">
        <v>13.186649988315331</v>
      </c>
      <c r="F53" s="3">
        <v>31313206.039999999</v>
      </c>
      <c r="G53" s="3">
        <v>21.17488053739962</v>
      </c>
      <c r="H53" s="3">
        <v>14.761370547083096</v>
      </c>
    </row>
    <row r="54" spans="1:8" x14ac:dyDescent="0.3">
      <c r="A54" s="2">
        <v>2022</v>
      </c>
      <c r="B54" s="3">
        <v>5</v>
      </c>
      <c r="C54" s="3">
        <v>356163.97470000002</v>
      </c>
      <c r="D54" s="3">
        <v>38.003564251696353</v>
      </c>
      <c r="E54" s="3">
        <v>12.84330471480229</v>
      </c>
      <c r="F54" s="3">
        <v>35045106.359999999</v>
      </c>
      <c r="G54" s="3">
        <v>28.832092235066398</v>
      </c>
      <c r="H54" s="3">
        <v>14.606062410086476</v>
      </c>
    </row>
    <row r="55" spans="1:8" x14ac:dyDescent="0.3">
      <c r="A55" s="2">
        <v>2022</v>
      </c>
      <c r="B55" s="3">
        <v>6</v>
      </c>
      <c r="C55" s="3">
        <v>301036.57032</v>
      </c>
      <c r="D55" s="3">
        <v>16.43449794846741</v>
      </c>
      <c r="E55" s="3">
        <v>12.446279646142191</v>
      </c>
      <c r="F55" s="3">
        <v>34949360.142019987</v>
      </c>
      <c r="G55" s="3">
        <v>26.583872778825814</v>
      </c>
      <c r="H55" s="3">
        <v>14.384814374812969</v>
      </c>
    </row>
    <row r="56" spans="1:8" x14ac:dyDescent="0.3">
      <c r="A56" s="2">
        <v>2022</v>
      </c>
      <c r="B56" s="3">
        <v>7</v>
      </c>
      <c r="C56" s="3">
        <v>308295.91949</v>
      </c>
      <c r="D56" s="3">
        <v>17.222707260142567</v>
      </c>
      <c r="E56" s="3">
        <v>12.000558469651684</v>
      </c>
      <c r="F56" s="3">
        <v>32042097.747560117</v>
      </c>
      <c r="G56" s="3">
        <v>20.605112310528241</v>
      </c>
      <c r="H56" s="3">
        <v>14.099941507827005</v>
      </c>
    </row>
    <row r="57" spans="1:8" x14ac:dyDescent="0.3">
      <c r="A57" s="2">
        <v>2022</v>
      </c>
      <c r="B57" s="3">
        <v>8</v>
      </c>
      <c r="C57" s="3">
        <v>252412.6041</v>
      </c>
      <c r="D57" s="3">
        <v>19.408559444184426</v>
      </c>
      <c r="E57" s="3">
        <v>11.511401832251746</v>
      </c>
      <c r="F57" s="3">
        <v>29090924.129999999</v>
      </c>
      <c r="G57" s="3">
        <v>31.650884539578716</v>
      </c>
      <c r="H57" s="3">
        <v>13.754606032526626</v>
      </c>
    </row>
    <row r="58" spans="1:8" x14ac:dyDescent="0.3">
      <c r="A58" s="2">
        <v>2022</v>
      </c>
      <c r="B58" s="3">
        <v>9</v>
      </c>
      <c r="C58" s="3">
        <v>323753.59973999998</v>
      </c>
      <c r="D58" s="3">
        <v>18.667749178773498</v>
      </c>
      <c r="E58" s="3">
        <v>10.984433030084913</v>
      </c>
      <c r="F58" s="3">
        <v>34621363.619999997</v>
      </c>
      <c r="G58" s="3">
        <v>22.178575874536399</v>
      </c>
      <c r="H58" s="3">
        <v>13.352421920282282</v>
      </c>
    </row>
    <row r="59" spans="1:8" x14ac:dyDescent="0.3">
      <c r="A59" s="2">
        <v>2022</v>
      </c>
      <c r="B59" s="3">
        <v>10</v>
      </c>
      <c r="C59" s="3">
        <v>289885.91553</v>
      </c>
      <c r="D59" s="3">
        <v>6.2407940953129737</v>
      </c>
      <c r="E59" s="3">
        <v>10.425823773016777</v>
      </c>
      <c r="F59" s="3">
        <v>33057790.25</v>
      </c>
      <c r="G59" s="3">
        <v>15.105440133462334</v>
      </c>
      <c r="H59" s="3">
        <v>12.898245939582971</v>
      </c>
    </row>
    <row r="60" spans="1:8" x14ac:dyDescent="0.3">
      <c r="A60" s="2">
        <v>2022</v>
      </c>
      <c r="B60" s="3">
        <v>11</v>
      </c>
      <c r="C60" s="3">
        <v>291564.36534999998</v>
      </c>
      <c r="D60" s="3">
        <v>6.4357573013942959</v>
      </c>
      <c r="E60" s="3">
        <v>9.8422793345343624</v>
      </c>
      <c r="F60" s="3">
        <v>37379981.874499999</v>
      </c>
      <c r="G60" s="3">
        <v>23.330279065849659</v>
      </c>
      <c r="H60" s="3">
        <v>12.397547786275622</v>
      </c>
    </row>
    <row r="61" spans="1:8" x14ac:dyDescent="0.3">
      <c r="A61" s="2">
        <v>2022</v>
      </c>
      <c r="B61" s="3">
        <v>12</v>
      </c>
      <c r="C61" s="3">
        <v>239054.58366</v>
      </c>
      <c r="D61" s="3">
        <v>5.6488799626847497</v>
      </c>
      <c r="E61" s="3">
        <v>9.2402143610637424</v>
      </c>
      <c r="F61" s="3">
        <v>32097764.968249999</v>
      </c>
      <c r="G61" s="3">
        <v>16.219349772967373</v>
      </c>
      <c r="H61" s="3">
        <v>11.855950433581741</v>
      </c>
    </row>
    <row r="62" spans="1:8" x14ac:dyDescent="0.3">
      <c r="A62" s="2">
        <v>2023</v>
      </c>
      <c r="B62" s="3">
        <v>1</v>
      </c>
      <c r="C62" s="3">
        <v>268268.69611000002</v>
      </c>
      <c r="D62" s="3">
        <v>1.0196133517213157</v>
      </c>
      <c r="E62" s="3">
        <v>8.6258069350009112</v>
      </c>
      <c r="F62" s="3">
        <v>30920969.219510071</v>
      </c>
      <c r="G62" s="3">
        <v>21.056406410317852</v>
      </c>
      <c r="H62" s="3">
        <v>11.279836072172804</v>
      </c>
    </row>
    <row r="63" spans="1:8" x14ac:dyDescent="0.3">
      <c r="A63" s="2">
        <v>2023</v>
      </c>
      <c r="B63" s="3">
        <v>2</v>
      </c>
      <c r="C63" s="3">
        <v>276630.45575000002</v>
      </c>
      <c r="D63" s="3">
        <v>-8.2459114318955589</v>
      </c>
      <c r="E63" s="3">
        <v>8.0049857405197535</v>
      </c>
      <c r="F63" s="3">
        <v>32830165.110000003</v>
      </c>
      <c r="G63" s="3">
        <v>9.7252809457321288</v>
      </c>
      <c r="H63" s="3">
        <v>10.675889906563297</v>
      </c>
    </row>
    <row r="64" spans="1:8" x14ac:dyDescent="0.3">
      <c r="A64" s="2">
        <v>2023</v>
      </c>
      <c r="B64" s="3">
        <v>3</v>
      </c>
      <c r="C64" s="3">
        <v>319086.88665</v>
      </c>
      <c r="D64" s="3">
        <v>8.257501714756831</v>
      </c>
      <c r="E64" s="3">
        <v>7.3831512539064246</v>
      </c>
      <c r="F64" s="3">
        <v>38932728.484019995</v>
      </c>
      <c r="G64" s="3">
        <v>17.656342506184085</v>
      </c>
      <c r="H64" s="3">
        <v>10.051476069763412</v>
      </c>
    </row>
    <row r="65" spans="1:8" x14ac:dyDescent="0.3">
      <c r="A65" s="2">
        <v>2023</v>
      </c>
      <c r="B65" s="3">
        <v>4</v>
      </c>
      <c r="C65" s="3">
        <v>275003.88410999998</v>
      </c>
      <c r="D65" s="3">
        <v>-8.7422976449490051</v>
      </c>
      <c r="E65" s="3">
        <v>6.7645754169212173</v>
      </c>
      <c r="F65" s="3">
        <v>29342437.952280067</v>
      </c>
      <c r="G65" s="3">
        <v>-6.2937282282831131</v>
      </c>
      <c r="H65" s="3">
        <v>9.4138926802721699</v>
      </c>
    </row>
    <row r="66" spans="1:8" x14ac:dyDescent="0.3">
      <c r="A66" s="2">
        <v>2023</v>
      </c>
      <c r="B66" s="3">
        <v>5</v>
      </c>
      <c r="C66" s="3">
        <v>305775.24463999999</v>
      </c>
      <c r="D66" s="3">
        <v>-14.147621219255225</v>
      </c>
      <c r="E66" s="3">
        <v>6.153590890106428</v>
      </c>
      <c r="F66" s="3">
        <v>33942406.766280077</v>
      </c>
      <c r="G66" s="3">
        <v>-3.1465151864356389</v>
      </c>
      <c r="H66" s="3">
        <v>8.7709659723133448</v>
      </c>
    </row>
    <row r="67" spans="1:8" x14ac:dyDescent="0.3">
      <c r="A67" s="2">
        <v>2023</v>
      </c>
      <c r="B67" s="3">
        <v>6</v>
      </c>
      <c r="C67" s="3">
        <v>343407.38785</v>
      </c>
      <c r="D67" s="3">
        <v>14.074973510680145</v>
      </c>
      <c r="E67" s="3">
        <v>5.5534534678195007</v>
      </c>
      <c r="F67" s="3">
        <v>33982453.989429966</v>
      </c>
      <c r="G67" s="3">
        <v>-2.7665918593671179</v>
      </c>
      <c r="H67" s="3">
        <v>8.12943137310317</v>
      </c>
    </row>
    <row r="68" spans="1:8" x14ac:dyDescent="0.3">
      <c r="A68" s="2">
        <v>2023</v>
      </c>
      <c r="B68" s="3">
        <v>7</v>
      </c>
      <c r="C68" s="3">
        <v>268921.37322000001</v>
      </c>
      <c r="D68" s="3">
        <v>-12.771672857407756</v>
      </c>
      <c r="E68" s="3">
        <v>4.9660091380213949</v>
      </c>
      <c r="F68" s="3">
        <v>30445789.879379854</v>
      </c>
      <c r="G68" s="3">
        <v>-4.9819081158686496</v>
      </c>
      <c r="H68" s="3">
        <v>7.495196706999633</v>
      </c>
    </row>
    <row r="69" spans="1:8" x14ac:dyDescent="0.3">
      <c r="A69" s="2">
        <v>2023</v>
      </c>
      <c r="B69" s="3">
        <v>8</v>
      </c>
      <c r="C69" s="3">
        <v>230888.27101999999</v>
      </c>
      <c r="D69" s="3">
        <v>-8.5274398862715159</v>
      </c>
      <c r="E69" s="3">
        <v>4.3936956608982696</v>
      </c>
      <c r="F69" s="3">
        <v>26173676.04063008</v>
      </c>
      <c r="G69" s="3">
        <v>-10.028035123028312</v>
      </c>
      <c r="H69" s="3">
        <v>6.8734131300806878</v>
      </c>
    </row>
    <row r="70" spans="1:8" x14ac:dyDescent="0.3">
      <c r="A70" s="2">
        <v>2023</v>
      </c>
      <c r="B70" s="3">
        <v>9</v>
      </c>
      <c r="C70" s="3">
        <v>262562.69832000002</v>
      </c>
      <c r="D70" s="3">
        <v>-18.900454379238141</v>
      </c>
      <c r="E70" s="3">
        <v>3.8377190131643797</v>
      </c>
      <c r="F70" s="3">
        <v>31014884.439349964</v>
      </c>
      <c r="G70" s="3">
        <v>-10.416918352016181</v>
      </c>
      <c r="H70" s="3">
        <v>6.26836533281159</v>
      </c>
    </row>
    <row r="71" spans="1:8" x14ac:dyDescent="0.3">
      <c r="A71" s="2">
        <v>2023</v>
      </c>
      <c r="B71" s="3">
        <v>10</v>
      </c>
      <c r="C71" s="3">
        <v>301554.67901000002</v>
      </c>
      <c r="D71" s="3">
        <v>4.0252950746730631</v>
      </c>
      <c r="E71" s="3">
        <v>3.2983878704543148</v>
      </c>
      <c r="F71" s="3">
        <v>32276872.881699994</v>
      </c>
      <c r="G71" s="3">
        <v>-2.3622793973653633</v>
      </c>
      <c r="H71" s="3">
        <v>5.6831642939733511</v>
      </c>
    </row>
    <row r="72" spans="1:8" x14ac:dyDescent="0.3">
      <c r="A72" s="2">
        <v>2023</v>
      </c>
      <c r="B72" s="3">
        <v>11</v>
      </c>
      <c r="C72" s="3">
        <v>287330.44282</v>
      </c>
      <c r="D72" s="3">
        <v>-1.4521399159727499</v>
      </c>
      <c r="E72" s="3">
        <v>2.7744318685837466</v>
      </c>
      <c r="F72" s="3">
        <v>34878346.913349994</v>
      </c>
      <c r="G72" s="3">
        <v>-6.6924456238342316</v>
      </c>
      <c r="H72" s="3">
        <v>5.1197622920910906</v>
      </c>
    </row>
    <row r="73" spans="1:8" x14ac:dyDescent="0.3">
      <c r="A73" s="2">
        <v>2023</v>
      </c>
      <c r="B73" s="3">
        <v>12</v>
      </c>
      <c r="C73" s="3">
        <v>235763.32415</v>
      </c>
      <c r="D73" s="3">
        <v>-1.3767815950691209</v>
      </c>
      <c r="E73" s="3">
        <v>2.2646311230353073</v>
      </c>
      <c r="F73" s="3">
        <v>28947870.422629736</v>
      </c>
      <c r="G73" s="3">
        <v>-9.8134388756850548</v>
      </c>
      <c r="H73" s="3">
        <v>4.5795528943224761</v>
      </c>
    </row>
    <row r="74" spans="1:8" x14ac:dyDescent="0.3">
      <c r="A74" s="2">
        <v>2024</v>
      </c>
      <c r="B74" s="3">
        <v>1</v>
      </c>
      <c r="C74" s="3">
        <v>248863.47690000001</v>
      </c>
      <c r="D74" s="3">
        <v>-7.2335011469408128</v>
      </c>
      <c r="E74" s="3">
        <v>1.7674722373621468</v>
      </c>
      <c r="F74" s="3">
        <v>30144188.449999999</v>
      </c>
      <c r="G74" s="3">
        <v>-2.5121488398233915</v>
      </c>
      <c r="H74" s="3">
        <v>4.063109375608791</v>
      </c>
    </row>
    <row r="75" spans="1:8" x14ac:dyDescent="0.3">
      <c r="A75" s="2">
        <v>2024</v>
      </c>
      <c r="B75" s="3">
        <v>2</v>
      </c>
      <c r="C75" s="3">
        <v>291678.31185</v>
      </c>
      <c r="D75" s="3">
        <v>5.4396960953566165</v>
      </c>
      <c r="E75" s="3">
        <v>1.281188939234212</v>
      </c>
      <c r="F75" s="3">
        <v>31834868.149999999</v>
      </c>
      <c r="G75" s="3">
        <v>-3.0316538362362366</v>
      </c>
      <c r="H75" s="3">
        <v>3.5700054975739555</v>
      </c>
    </row>
    <row r="76" spans="1:8" x14ac:dyDescent="0.3">
      <c r="A76" s="2">
        <v>2024</v>
      </c>
      <c r="B76" s="3">
        <v>3</v>
      </c>
      <c r="C76" s="3">
        <v>280010.34214999998</v>
      </c>
      <c r="D76" s="3">
        <v>-12.246364904008821</v>
      </c>
      <c r="E76" s="3">
        <v>0.80338988872531847</v>
      </c>
      <c r="F76" s="3">
        <v>31450458.379999999</v>
      </c>
      <c r="G76" s="3">
        <v>-19.218458082358925</v>
      </c>
      <c r="H76" s="3">
        <v>3.099358406688042</v>
      </c>
    </row>
    <row r="77" spans="1:8" x14ac:dyDescent="0.3">
      <c r="A77" s="2">
        <v>2024</v>
      </c>
      <c r="B77" s="3">
        <v>4</v>
      </c>
      <c r="C77" s="3">
        <v>295156.64913999999</v>
      </c>
      <c r="D77" s="3">
        <v>7.3281746893214761</v>
      </c>
      <c r="E77" s="3">
        <v>0.33197253112845726</v>
      </c>
      <c r="F77" s="3">
        <v>33990782.630000003</v>
      </c>
      <c r="G77" s="3">
        <v>15.841712557353249</v>
      </c>
      <c r="H77" s="3">
        <v>2.6498268008562751</v>
      </c>
    </row>
    <row r="78" spans="1:8" x14ac:dyDescent="0.3">
      <c r="A78" s="2">
        <v>2024</v>
      </c>
      <c r="B78" s="3">
        <v>5</v>
      </c>
      <c r="C78" s="3">
        <v>290848.19679999998</v>
      </c>
      <c r="D78" s="3">
        <v>-4.8817057958940202</v>
      </c>
      <c r="E78" s="3">
        <v>-0.13607192123509823</v>
      </c>
      <c r="F78" s="3">
        <v>34716427.439999998</v>
      </c>
      <c r="G78" s="3">
        <v>2.280394195525548</v>
      </c>
      <c r="H78" s="3">
        <v>2.2185195296165849</v>
      </c>
    </row>
    <row r="79" spans="1:8" x14ac:dyDescent="0.3">
      <c r="A79" s="2">
        <v>2024</v>
      </c>
      <c r="B79" s="3">
        <v>6</v>
      </c>
      <c r="C79" s="3">
        <v>423302.26367999997</v>
      </c>
      <c r="D79" s="3">
        <v>23.26533401922557</v>
      </c>
      <c r="E79" s="3">
        <v>-0.60326640867197789</v>
      </c>
      <c r="F79" s="3">
        <v>32968748.84</v>
      </c>
      <c r="G79" s="3">
        <v>-2.9830251509949002</v>
      </c>
      <c r="H79" s="3">
        <v>1.8034615456844367</v>
      </c>
    </row>
    <row r="80" spans="1:8" x14ac:dyDescent="0.3">
      <c r="A80" s="2">
        <v>2024</v>
      </c>
      <c r="B80" s="3">
        <v>7</v>
      </c>
      <c r="C80" s="3">
        <v>285286.04083000001</v>
      </c>
      <c r="D80" s="3">
        <v>6.0852982468642791</v>
      </c>
      <c r="E80" s="3">
        <v>-1.0724634293967741</v>
      </c>
      <c r="F80" s="3">
        <v>33269564.390000001</v>
      </c>
      <c r="G80" s="3">
        <v>9.274761869563509</v>
      </c>
      <c r="H80" s="3">
        <v>1.4026820986270947</v>
      </c>
    </row>
    <row r="81" spans="1:8" x14ac:dyDescent="0.3">
      <c r="A81" s="2">
        <v>2024</v>
      </c>
      <c r="B81" s="3">
        <v>8</v>
      </c>
      <c r="C81" s="3">
        <v>207840.93079000001</v>
      </c>
      <c r="D81" s="3">
        <v>-9.9820316242931089</v>
      </c>
      <c r="E81" s="3">
        <v>-1.5448579399276974</v>
      </c>
      <c r="F81" s="3">
        <v>26833928.510000002</v>
      </c>
      <c r="G81" s="3">
        <v>2.5225821101514168</v>
      </c>
      <c r="H81" s="3">
        <v>1.013878043102332</v>
      </c>
    </row>
    <row r="82" spans="1:8" x14ac:dyDescent="0.3">
      <c r="A82" s="2">
        <v>2024</v>
      </c>
      <c r="B82" s="3">
        <v>9</v>
      </c>
      <c r="C82" s="3">
        <v>295146.97940000001</v>
      </c>
      <c r="D82" s="3">
        <v>12.410095298566626</v>
      </c>
      <c r="E82" s="3">
        <v>-2.0211478299998848</v>
      </c>
      <c r="F82" s="3">
        <v>31596859.34</v>
      </c>
      <c r="G82" s="3">
        <v>1.8764374305120901</v>
      </c>
      <c r="H82" s="3">
        <v>0.63529290597423704</v>
      </c>
    </row>
    <row r="83" spans="1:8" x14ac:dyDescent="0.3">
      <c r="A83" s="2">
        <v>2024</v>
      </c>
      <c r="B83" s="3">
        <v>10</v>
      </c>
      <c r="C83" s="3">
        <v>316687.02236</v>
      </c>
      <c r="D83" s="3">
        <v>5.0181092860768217</v>
      </c>
      <c r="E83" s="3">
        <v>-2.5026169041876658</v>
      </c>
      <c r="F83" s="3">
        <v>35280246.219999999</v>
      </c>
      <c r="G83" s="3">
        <v>9.3050319630029179</v>
      </c>
      <c r="H83" s="3">
        <v>0.26527498522266585</v>
      </c>
    </row>
    <row r="84" spans="1:8" x14ac:dyDescent="0.3">
      <c r="A84" s="2">
        <v>2024</v>
      </c>
      <c r="B84" s="3">
        <v>11</v>
      </c>
      <c r="C84" s="3">
        <v>271255.49734</v>
      </c>
      <c r="D84" s="3">
        <v>-5.594584869682695</v>
      </c>
      <c r="E84" s="3">
        <v>-2.9895467974036634</v>
      </c>
      <c r="F84" s="3">
        <v>32640410.859999999</v>
      </c>
      <c r="G84" s="3">
        <v>-6.4164051665344441</v>
      </c>
      <c r="H84" s="3">
        <v>-9.7741230580544028E-2</v>
      </c>
    </row>
    <row r="85" spans="1:8" x14ac:dyDescent="0.3">
      <c r="A85" s="2">
        <v>2024</v>
      </c>
      <c r="B85" s="3">
        <v>12</v>
      </c>
      <c r="C85" s="3">
        <v>243122.35847000001</v>
      </c>
      <c r="D85" s="3">
        <v>3.1213651854170354</v>
      </c>
      <c r="E85" s="3">
        <v>-3.4816968719083992</v>
      </c>
      <c r="F85" s="3">
        <v>29738374</v>
      </c>
      <c r="G85" s="3">
        <v>2.7307831831121288</v>
      </c>
      <c r="H85" s="3">
        <v>-0.45469349196232012</v>
      </c>
    </row>
    <row r="86" spans="1:8" x14ac:dyDescent="0.3">
      <c r="A86" s="2">
        <v>2025</v>
      </c>
      <c r="B86" s="3">
        <v>1</v>
      </c>
      <c r="C86" s="3">
        <v>240056.5612</v>
      </c>
      <c r="D86" s="3">
        <v>-3.5388542383577137</v>
      </c>
      <c r="E86" s="3">
        <v>-3.9790073953840803</v>
      </c>
      <c r="F86" s="3">
        <v>29780396.120000001</v>
      </c>
      <c r="G86" s="3">
        <v>-1.2068406837471124</v>
      </c>
      <c r="H86" s="3">
        <v>-0.80695834555625356</v>
      </c>
    </row>
    <row r="87" spans="1:8" x14ac:dyDescent="0.3">
      <c r="A87" s="2">
        <v>2025</v>
      </c>
      <c r="B87" s="3">
        <v>2</v>
      </c>
      <c r="C87" s="3">
        <v>252514.21215000001</v>
      </c>
      <c r="D87" s="3">
        <v>-13.427155228511033</v>
      </c>
      <c r="E87" s="3">
        <v>-4.480960089536711</v>
      </c>
      <c r="F87" s="3">
        <v>31973055.34</v>
      </c>
      <c r="G87" s="3">
        <v>0.43407495626772707</v>
      </c>
      <c r="H87" s="3">
        <v>-1.1556911243379442</v>
      </c>
    </row>
    <row r="88" spans="1:8" x14ac:dyDescent="0.3">
      <c r="A88" s="2">
        <v>2025</v>
      </c>
      <c r="B88" s="3">
        <v>3</v>
      </c>
      <c r="C88" s="3">
        <v>306164.49703999999</v>
      </c>
      <c r="D88" s="3">
        <v>9.3404246033131688</v>
      </c>
      <c r="E88" s="3">
        <v>-4.9870061098808343</v>
      </c>
      <c r="F88" s="3">
        <v>34119905.390000001</v>
      </c>
      <c r="G88" s="3">
        <v>8.4877841134981971</v>
      </c>
      <c r="H88" s="3">
        <v>-1.5020749308898105</v>
      </c>
    </row>
    <row r="89" spans="1:8" x14ac:dyDescent="0.3">
      <c r="A89" s="2">
        <v>2025</v>
      </c>
      <c r="B89" s="3">
        <v>4</v>
      </c>
      <c r="C89" s="3">
        <v>289415.94335000002</v>
      </c>
      <c r="D89" s="3">
        <v>-1.9449691567940963</v>
      </c>
      <c r="E89" s="3">
        <v>-5.4972178754823116</v>
      </c>
      <c r="F89" s="3">
        <v>32510755.440000001</v>
      </c>
      <c r="G89" s="3">
        <v>-4.3542015672617733</v>
      </c>
      <c r="H89" s="3">
        <v>-1.8471824673720068</v>
      </c>
    </row>
    <row r="90" spans="1:8" x14ac:dyDescent="0.3">
      <c r="A90" s="2">
        <v>2025</v>
      </c>
      <c r="B90" s="3">
        <v>5</v>
      </c>
      <c r="C90" s="3">
        <v>311259.26282</v>
      </c>
      <c r="D90" s="3">
        <v>7.0177729291667434</v>
      </c>
      <c r="E90" s="3">
        <v>-6.0106728449408093</v>
      </c>
      <c r="F90" s="3">
        <v>34999544.310000002</v>
      </c>
      <c r="G90" s="3">
        <v>0.81551268629040941</v>
      </c>
      <c r="H90" s="3">
        <v>-2.1913926957332714</v>
      </c>
    </row>
    <row r="91" spans="1:8" x14ac:dyDescent="0.3">
      <c r="A91" s="2">
        <v>2025</v>
      </c>
      <c r="B91" s="3">
        <v>6</v>
      </c>
      <c r="C91" s="3">
        <v>269256.25235000002</v>
      </c>
      <c r="D91" s="3">
        <v>-36.391492450522954</v>
      </c>
      <c r="E91" s="3">
        <v>-6.5262017929171963</v>
      </c>
      <c r="F91" s="3">
        <v>33767221.310000002</v>
      </c>
      <c r="G91" s="3">
        <v>2.421907103223897</v>
      </c>
      <c r="H91" s="3">
        <v>-2.5352586764709462</v>
      </c>
    </row>
    <row r="92" spans="1:8" x14ac:dyDescent="0.3">
      <c r="B92" s="3"/>
      <c r="C92" s="3"/>
      <c r="D92" s="3"/>
      <c r="E92" s="3"/>
      <c r="F92" s="3"/>
      <c r="G92" s="3"/>
      <c r="H92" s="3"/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H97"/>
  <sheetViews>
    <sheetView topLeftCell="A82" workbookViewId="0">
      <selection activeCell="E92" sqref="E92"/>
    </sheetView>
  </sheetViews>
  <sheetFormatPr baseColWidth="10" defaultColWidth="11.42578125" defaultRowHeight="13.5" x14ac:dyDescent="0.3"/>
  <cols>
    <col min="1" max="1" width="4.42578125" style="2" bestFit="1" customWidth="1"/>
    <col min="2" max="2" width="8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855468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170</v>
      </c>
      <c r="D1" s="2" t="s">
        <v>171</v>
      </c>
      <c r="E1" s="2" t="s">
        <v>172</v>
      </c>
      <c r="F1" s="2" t="s">
        <v>173</v>
      </c>
      <c r="G1" s="2" t="s">
        <v>174</v>
      </c>
      <c r="H1" s="2" t="s">
        <v>175</v>
      </c>
    </row>
    <row r="2" spans="1:8" x14ac:dyDescent="0.3">
      <c r="A2" s="2">
        <v>2018</v>
      </c>
      <c r="B2" s="3">
        <v>1</v>
      </c>
      <c r="C2" s="3">
        <v>146822.91248</v>
      </c>
      <c r="D2" s="3">
        <v>-6.8821392708229512</v>
      </c>
      <c r="E2" s="3">
        <v>3.6075041183661418</v>
      </c>
      <c r="F2" s="3">
        <v>26765037.274739996</v>
      </c>
      <c r="G2" s="3">
        <v>8.9124510865372883</v>
      </c>
      <c r="H2" s="3">
        <v>4.3062771104008313</v>
      </c>
    </row>
    <row r="3" spans="1:8" x14ac:dyDescent="0.3">
      <c r="A3" s="2">
        <v>2018</v>
      </c>
      <c r="B3" s="3">
        <v>2</v>
      </c>
      <c r="C3" s="3">
        <v>178115.01680000001</v>
      </c>
      <c r="D3" s="3">
        <v>2.9446509072630356</v>
      </c>
      <c r="E3" s="3">
        <v>3.6147385589201386</v>
      </c>
      <c r="F3" s="3">
        <v>24756847.069120016</v>
      </c>
      <c r="G3" s="3">
        <v>0.30478954936943303</v>
      </c>
      <c r="H3" s="3">
        <v>4.1363678609990036</v>
      </c>
    </row>
    <row r="4" spans="1:8" x14ac:dyDescent="0.3">
      <c r="A4" s="2">
        <v>2018</v>
      </c>
      <c r="B4" s="3">
        <v>3</v>
      </c>
      <c r="C4" s="3">
        <v>177746.20720999999</v>
      </c>
      <c r="D4" s="3">
        <v>-1.500814801149819</v>
      </c>
      <c r="E4" s="3">
        <v>3.609444342635395</v>
      </c>
      <c r="F4" s="3">
        <v>26436157.901760031</v>
      </c>
      <c r="G4" s="3">
        <v>-4.5087386603783646</v>
      </c>
      <c r="H4" s="3">
        <v>3.9536785810019488</v>
      </c>
    </row>
    <row r="5" spans="1:8" x14ac:dyDescent="0.3">
      <c r="A5" s="2">
        <v>2018</v>
      </c>
      <c r="B5" s="3">
        <v>4</v>
      </c>
      <c r="C5" s="3">
        <v>182251.58523999999</v>
      </c>
      <c r="D5" s="3">
        <v>15.111530797034845</v>
      </c>
      <c r="E5" s="3">
        <v>3.5915902325826026</v>
      </c>
      <c r="F5" s="3">
        <v>26908398.910840057</v>
      </c>
      <c r="G5" s="3">
        <v>17.0182650831334</v>
      </c>
      <c r="H5" s="3">
        <v>3.7599619876662786</v>
      </c>
    </row>
    <row r="6" spans="1:8" x14ac:dyDescent="0.3">
      <c r="A6" s="2">
        <v>2018</v>
      </c>
      <c r="B6" s="3">
        <v>5</v>
      </c>
      <c r="C6" s="3">
        <v>180554.87693999999</v>
      </c>
      <c r="D6" s="3">
        <v>2.6520209970492203</v>
      </c>
      <c r="E6" s="3">
        <v>3.5607901127252459</v>
      </c>
      <c r="F6" s="3">
        <v>27462947.505509984</v>
      </c>
      <c r="G6" s="3">
        <v>2.5114471976306341</v>
      </c>
      <c r="H6" s="3">
        <v>3.5563831303846216</v>
      </c>
    </row>
    <row r="7" spans="1:8" x14ac:dyDescent="0.3">
      <c r="A7" s="2">
        <v>2018</v>
      </c>
      <c r="B7" s="3">
        <v>6</v>
      </c>
      <c r="C7" s="3">
        <v>173465.55789</v>
      </c>
      <c r="D7" s="3">
        <v>18.262952198425065</v>
      </c>
      <c r="E7" s="3">
        <v>3.5174578628993416</v>
      </c>
      <c r="F7" s="3">
        <v>27172280.638449937</v>
      </c>
      <c r="G7" s="3">
        <v>7.6647176600601608</v>
      </c>
      <c r="H7" s="3">
        <v>3.3450277740423471</v>
      </c>
    </row>
    <row r="8" spans="1:8" x14ac:dyDescent="0.3">
      <c r="A8" s="2">
        <v>2018</v>
      </c>
      <c r="B8" s="3">
        <v>7</v>
      </c>
      <c r="C8" s="3">
        <v>174765.06963000001</v>
      </c>
      <c r="D8" s="3">
        <v>19.763315387072144</v>
      </c>
      <c r="E8" s="3">
        <v>3.4619442539745404</v>
      </c>
      <c r="F8" s="3">
        <v>27602535.375759959</v>
      </c>
      <c r="G8" s="3">
        <v>13.647880357704057</v>
      </c>
      <c r="H8" s="3">
        <v>3.1279091185294949</v>
      </c>
    </row>
    <row r="9" spans="1:8" x14ac:dyDescent="0.3">
      <c r="A9" s="2">
        <v>2018</v>
      </c>
      <c r="B9" s="3">
        <v>8</v>
      </c>
      <c r="C9" s="3">
        <v>153500.84172</v>
      </c>
      <c r="D9" s="3">
        <v>-7.8121093233932566</v>
      </c>
      <c r="E9" s="3">
        <v>3.3956240494826821</v>
      </c>
      <c r="F9" s="3">
        <v>23772064.517010044</v>
      </c>
      <c r="G9" s="3">
        <v>5.8213062994050713</v>
      </c>
      <c r="H9" s="3">
        <v>2.9073403422004116</v>
      </c>
    </row>
    <row r="10" spans="1:8" x14ac:dyDescent="0.3">
      <c r="A10" s="2">
        <v>2018</v>
      </c>
      <c r="B10" s="3">
        <v>9</v>
      </c>
      <c r="C10" s="3">
        <v>191807.44278000001</v>
      </c>
      <c r="D10" s="3">
        <v>15.763948342274547</v>
      </c>
      <c r="E10" s="3">
        <v>3.3210040526176265</v>
      </c>
      <c r="F10" s="3">
        <v>25473928.067130044</v>
      </c>
      <c r="G10" s="3">
        <v>0.27049807209504895</v>
      </c>
      <c r="H10" s="3">
        <v>2.686365176967719</v>
      </c>
    </row>
    <row r="11" spans="1:8" x14ac:dyDescent="0.3">
      <c r="A11" s="2">
        <v>2018</v>
      </c>
      <c r="B11" s="3">
        <v>10</v>
      </c>
      <c r="C11" s="3">
        <v>194980.81505999999</v>
      </c>
      <c r="D11" s="3">
        <v>5.7608429722087351</v>
      </c>
      <c r="E11" s="3">
        <v>3.2398127517556734</v>
      </c>
      <c r="F11" s="3">
        <v>30249871.825359982</v>
      </c>
      <c r="G11" s="3">
        <v>13.074158878857078</v>
      </c>
      <c r="H11" s="3">
        <v>2.4682297134910671</v>
      </c>
    </row>
    <row r="12" spans="1:8" x14ac:dyDescent="0.3">
      <c r="A12" s="2">
        <v>2018</v>
      </c>
      <c r="B12" s="3">
        <v>11</v>
      </c>
      <c r="C12" s="3">
        <v>184242.53487999999</v>
      </c>
      <c r="D12" s="3">
        <v>4.6538745483387878</v>
      </c>
      <c r="E12" s="3">
        <v>3.1546427286265706</v>
      </c>
      <c r="F12" s="3">
        <v>27849766.818500001</v>
      </c>
      <c r="G12" s="3">
        <v>3.2397730594424745</v>
      </c>
      <c r="H12" s="3">
        <v>2.256012273881157</v>
      </c>
    </row>
    <row r="13" spans="1:8" x14ac:dyDescent="0.3">
      <c r="A13" s="2">
        <v>2018</v>
      </c>
      <c r="B13" s="3">
        <v>12</v>
      </c>
      <c r="C13" s="3">
        <v>168676.60352</v>
      </c>
      <c r="D13" s="3">
        <v>20.916776053981991</v>
      </c>
      <c r="E13" s="3">
        <v>3.068261636503153</v>
      </c>
      <c r="F13" s="3">
        <v>24414096.865299981</v>
      </c>
      <c r="G13" s="3">
        <v>1.6371417595651527</v>
      </c>
      <c r="H13" s="3">
        <v>2.0535277031073953</v>
      </c>
    </row>
    <row r="14" spans="1:8" x14ac:dyDescent="0.3">
      <c r="A14" s="2">
        <v>2019</v>
      </c>
      <c r="B14" s="3">
        <v>1</v>
      </c>
      <c r="C14" s="3">
        <v>178588.4314</v>
      </c>
      <c r="D14" s="3">
        <v>21.635260044529538</v>
      </c>
      <c r="E14" s="3">
        <v>2.9835412419790681</v>
      </c>
      <c r="F14" s="3">
        <v>27008619.403940059</v>
      </c>
      <c r="G14" s="3">
        <v>0.91007580785231745</v>
      </c>
      <c r="H14" s="3">
        <v>1.8646591628604079</v>
      </c>
    </row>
    <row r="15" spans="1:8" x14ac:dyDescent="0.3">
      <c r="A15" s="2">
        <v>2019</v>
      </c>
      <c r="B15" s="3">
        <v>2</v>
      </c>
      <c r="C15" s="3">
        <v>190390.73595999999</v>
      </c>
      <c r="D15" s="3">
        <v>6.8920180794098895</v>
      </c>
      <c r="E15" s="3">
        <v>2.9045927918158436</v>
      </c>
      <c r="F15" s="3">
        <v>25646613.382809989</v>
      </c>
      <c r="G15" s="3">
        <v>3.5940211255729881</v>
      </c>
      <c r="H15" s="3">
        <v>1.6932608991402964</v>
      </c>
    </row>
    <row r="16" spans="1:8" x14ac:dyDescent="0.3">
      <c r="A16" s="2">
        <v>2019</v>
      </c>
      <c r="B16" s="3">
        <v>3</v>
      </c>
      <c r="C16" s="3">
        <v>178491.56547999999</v>
      </c>
      <c r="D16" s="3">
        <v>0.41933849486834873</v>
      </c>
      <c r="E16" s="3">
        <v>2.8368227910251842</v>
      </c>
      <c r="F16" s="3">
        <v>27821813.222790007</v>
      </c>
      <c r="G16" s="3">
        <v>5.2415155264968538</v>
      </c>
      <c r="H16" s="3">
        <v>1.5431208674363983</v>
      </c>
    </row>
    <row r="17" spans="1:8" x14ac:dyDescent="0.3">
      <c r="A17" s="2">
        <v>2019</v>
      </c>
      <c r="B17" s="3">
        <v>4</v>
      </c>
      <c r="C17" s="3">
        <v>164641.25133</v>
      </c>
      <c r="D17" s="3">
        <v>-9.6626506083936867</v>
      </c>
      <c r="E17" s="3">
        <v>2.7859146491526552</v>
      </c>
      <c r="F17" s="3">
        <v>26369837.388229996</v>
      </c>
      <c r="G17" s="3">
        <v>-2.0014625336667646</v>
      </c>
      <c r="H17" s="3">
        <v>1.4181590204759975</v>
      </c>
    </row>
    <row r="18" spans="1:8" x14ac:dyDescent="0.3">
      <c r="A18" s="2">
        <v>2019</v>
      </c>
      <c r="B18" s="3">
        <v>5</v>
      </c>
      <c r="C18" s="3">
        <v>189666.50453000001</v>
      </c>
      <c r="D18" s="3">
        <v>5.0464588630457774</v>
      </c>
      <c r="E18" s="3">
        <v>2.7573838948899212</v>
      </c>
      <c r="F18" s="3">
        <v>28801758.151400018</v>
      </c>
      <c r="G18" s="3">
        <v>4.8749707059718261</v>
      </c>
      <c r="H18" s="3">
        <v>1.3225521439488124</v>
      </c>
    </row>
    <row r="19" spans="1:8" x14ac:dyDescent="0.3">
      <c r="A19" s="2">
        <v>2019</v>
      </c>
      <c r="B19" s="3">
        <v>6</v>
      </c>
      <c r="C19" s="3">
        <v>175111.31838000001</v>
      </c>
      <c r="D19" s="3">
        <v>0.94875346438723085</v>
      </c>
      <c r="E19" s="3">
        <v>2.7558815732302064</v>
      </c>
      <c r="F19" s="3">
        <v>26471337.718040019</v>
      </c>
      <c r="G19" s="3">
        <v>-2.5796249116390113</v>
      </c>
      <c r="H19" s="3">
        <v>1.2602395498255234</v>
      </c>
    </row>
    <row r="20" spans="1:8" x14ac:dyDescent="0.3">
      <c r="A20" s="2">
        <v>2019</v>
      </c>
      <c r="B20" s="3">
        <v>7</v>
      </c>
      <c r="C20" s="3">
        <v>192598.23032999999</v>
      </c>
      <c r="D20" s="3">
        <v>10.204076099277204</v>
      </c>
      <c r="E20" s="3">
        <v>2.7862176927061899</v>
      </c>
      <c r="F20" s="3">
        <v>27773215.773330033</v>
      </c>
      <c r="G20" s="3">
        <v>0.61835043501099474</v>
      </c>
      <c r="H20" s="3">
        <v>1.2354072458102849</v>
      </c>
    </row>
    <row r="21" spans="1:8" x14ac:dyDescent="0.3">
      <c r="A21" s="2">
        <v>2019</v>
      </c>
      <c r="B21" s="3">
        <v>8</v>
      </c>
      <c r="C21" s="3">
        <v>171748.33781</v>
      </c>
      <c r="D21" s="3">
        <v>11.887554416988255</v>
      </c>
      <c r="E21" s="3">
        <v>2.8530767668429915</v>
      </c>
      <c r="F21" s="3">
        <v>23421188.170350011</v>
      </c>
      <c r="G21" s="3">
        <v>-1.4760028368969169</v>
      </c>
      <c r="H21" s="3">
        <v>1.2519745823529826</v>
      </c>
    </row>
    <row r="22" spans="1:8" x14ac:dyDescent="0.3">
      <c r="A22" s="2">
        <v>2019</v>
      </c>
      <c r="B22" s="3">
        <v>9</v>
      </c>
      <c r="C22" s="3">
        <v>188567.78544000001</v>
      </c>
      <c r="D22" s="3">
        <v>-1.6890154485380671</v>
      </c>
      <c r="E22" s="3">
        <v>2.9616584382217424</v>
      </c>
      <c r="F22" s="3">
        <v>27731273.02268004</v>
      </c>
      <c r="G22" s="3">
        <v>8.8613933022082101</v>
      </c>
      <c r="H22" s="3">
        <v>1.3138180587360853</v>
      </c>
    </row>
    <row r="23" spans="1:8" x14ac:dyDescent="0.3">
      <c r="A23" s="2">
        <v>2019</v>
      </c>
      <c r="B23" s="3">
        <v>10</v>
      </c>
      <c r="C23" s="3">
        <v>198552.55011000001</v>
      </c>
      <c r="D23" s="3">
        <v>1.8318392242338888</v>
      </c>
      <c r="E23" s="3">
        <v>3.1177897437048343</v>
      </c>
      <c r="F23" s="3">
        <v>29437972.941950001</v>
      </c>
      <c r="G23" s="3">
        <v>-2.683974623420804</v>
      </c>
      <c r="H23" s="3">
        <v>1.424624731365725</v>
      </c>
    </row>
    <row r="24" spans="1:8" x14ac:dyDescent="0.3">
      <c r="A24" s="2">
        <v>2019</v>
      </c>
      <c r="B24" s="3">
        <v>11</v>
      </c>
      <c r="C24" s="3">
        <v>170966.07842000001</v>
      </c>
      <c r="D24" s="3">
        <v>-7.2059671066983295</v>
      </c>
      <c r="E24" s="3">
        <v>3.326974756690301</v>
      </c>
      <c r="F24" s="3">
        <v>26925012.118980002</v>
      </c>
      <c r="G24" s="3">
        <v>-3.3205114626155718</v>
      </c>
      <c r="H24" s="3">
        <v>1.5886057938177198</v>
      </c>
    </row>
    <row r="25" spans="1:8" x14ac:dyDescent="0.3">
      <c r="A25" s="2">
        <v>2019</v>
      </c>
      <c r="B25" s="3">
        <v>12</v>
      </c>
      <c r="C25" s="3">
        <v>163558.72863</v>
      </c>
      <c r="D25" s="3">
        <v>-3.0341344224382505</v>
      </c>
      <c r="E25" s="3">
        <v>3.5946282484567686</v>
      </c>
      <c r="F25" s="3">
        <v>24660046.81917005</v>
      </c>
      <c r="G25" s="3">
        <v>1.0074095930193483</v>
      </c>
      <c r="H25" s="3">
        <v>1.8096871202682496</v>
      </c>
    </row>
    <row r="26" spans="1:8" x14ac:dyDescent="0.3">
      <c r="A26" s="2">
        <v>2020</v>
      </c>
      <c r="B26" s="3">
        <v>1</v>
      </c>
      <c r="C26" s="3">
        <v>172560.47740999999</v>
      </c>
      <c r="D26" s="3">
        <v>-3.375332849247481</v>
      </c>
      <c r="E26" s="3">
        <v>3.9254335359867945</v>
      </c>
      <c r="F26" s="3">
        <v>26649854.989999998</v>
      </c>
      <c r="G26" s="3">
        <v>-1.3283330353706435</v>
      </c>
      <c r="H26" s="3">
        <v>2.0914536739729086</v>
      </c>
    </row>
    <row r="27" spans="1:8" x14ac:dyDescent="0.3">
      <c r="A27" s="2">
        <v>2020</v>
      </c>
      <c r="B27" s="3">
        <v>2</v>
      </c>
      <c r="C27" s="3">
        <v>156353.38430999999</v>
      </c>
      <c r="D27" s="3">
        <v>-17.877630168492576</v>
      </c>
      <c r="E27" s="3">
        <v>4.323613605521901</v>
      </c>
      <c r="F27" s="3">
        <v>26109448.789999999</v>
      </c>
      <c r="G27" s="3">
        <v>1.8046648120029429</v>
      </c>
      <c r="H27" s="3">
        <v>2.4374347044701206</v>
      </c>
    </row>
    <row r="28" spans="1:8" x14ac:dyDescent="0.3">
      <c r="A28" s="2">
        <v>2020</v>
      </c>
      <c r="B28" s="3">
        <v>3</v>
      </c>
      <c r="C28" s="3">
        <v>153865.68913000001</v>
      </c>
      <c r="D28" s="3">
        <v>-13.796661082430429</v>
      </c>
      <c r="E28" s="3">
        <v>4.7928844456379691</v>
      </c>
      <c r="F28" s="3">
        <v>23805470.129999999</v>
      </c>
      <c r="G28" s="3">
        <v>-14.435950168409772</v>
      </c>
      <c r="H28" s="3">
        <v>2.8509219761101603</v>
      </c>
    </row>
    <row r="29" spans="1:8" x14ac:dyDescent="0.3">
      <c r="A29" s="2">
        <v>2020</v>
      </c>
      <c r="B29" s="3">
        <v>4</v>
      </c>
      <c r="C29" s="3">
        <v>134920.84166999999</v>
      </c>
      <c r="D29" s="3">
        <v>-18.051617938951193</v>
      </c>
      <c r="E29" s="3">
        <v>5.3354202918710172</v>
      </c>
      <c r="F29" s="3">
        <v>16561344.17</v>
      </c>
      <c r="G29" s="3">
        <v>-37.195880557867802</v>
      </c>
      <c r="H29" s="3">
        <v>3.335163310889659</v>
      </c>
    </row>
    <row r="30" spans="1:8" x14ac:dyDescent="0.3">
      <c r="A30" s="2">
        <v>2020</v>
      </c>
      <c r="B30" s="3">
        <v>5</v>
      </c>
      <c r="C30" s="3">
        <v>111084.75409</v>
      </c>
      <c r="D30" s="3">
        <v>-41.4315382859658</v>
      </c>
      <c r="E30" s="3">
        <v>5.9521044390953932</v>
      </c>
      <c r="F30" s="3">
        <v>17390400.859999999</v>
      </c>
      <c r="G30" s="3">
        <v>-39.620349672456811</v>
      </c>
      <c r="H30" s="3">
        <v>3.8922060535729899</v>
      </c>
    </row>
    <row r="31" spans="1:8" x14ac:dyDescent="0.3">
      <c r="A31" s="2">
        <v>2020</v>
      </c>
      <c r="B31" s="3">
        <v>6</v>
      </c>
      <c r="C31" s="3">
        <v>128221.78985</v>
      </c>
      <c r="D31" s="3">
        <v>-26.776983329111527</v>
      </c>
      <c r="E31" s="3">
        <v>6.6421960823083044</v>
      </c>
      <c r="F31" s="3">
        <v>21158230.66</v>
      </c>
      <c r="G31" s="3">
        <v>-20.071169483887385</v>
      </c>
      <c r="H31" s="3">
        <v>4.5212828931003068</v>
      </c>
    </row>
    <row r="32" spans="1:8" x14ac:dyDescent="0.3">
      <c r="A32" s="2">
        <v>2020</v>
      </c>
      <c r="B32" s="3">
        <v>7</v>
      </c>
      <c r="C32" s="3">
        <v>129176.12591</v>
      </c>
      <c r="D32" s="3">
        <v>-32.92974411620078</v>
      </c>
      <c r="E32" s="3">
        <v>7.4016638857621633</v>
      </c>
      <c r="F32" s="3">
        <v>23691758.18</v>
      </c>
      <c r="G32" s="3">
        <v>-14.695660836111612</v>
      </c>
      <c r="H32" s="3">
        <v>5.2186048131530125</v>
      </c>
    </row>
    <row r="33" spans="1:8" x14ac:dyDescent="0.3">
      <c r="A33" s="2">
        <v>2020</v>
      </c>
      <c r="B33" s="3">
        <v>8</v>
      </c>
      <c r="C33" s="3">
        <v>141932.68306000001</v>
      </c>
      <c r="D33" s="3">
        <v>-17.360083439633723</v>
      </c>
      <c r="E33" s="3">
        <v>8.2241557373613681</v>
      </c>
      <c r="F33" s="3">
        <v>19400032.769999996</v>
      </c>
      <c r="G33" s="3">
        <v>-17.168878756717334</v>
      </c>
      <c r="H33" s="3">
        <v>5.9786749882196633</v>
      </c>
    </row>
    <row r="34" spans="1:8" x14ac:dyDescent="0.3">
      <c r="A34" s="2">
        <v>2020</v>
      </c>
      <c r="B34" s="3">
        <v>9</v>
      </c>
      <c r="C34" s="3">
        <v>161424.80828</v>
      </c>
      <c r="D34" s="3">
        <v>-14.394281131671127</v>
      </c>
      <c r="E34" s="3">
        <v>9.1005187327879593</v>
      </c>
      <c r="F34" s="3">
        <v>24740018.829999994</v>
      </c>
      <c r="G34" s="3">
        <v>-10.786573664446086</v>
      </c>
      <c r="H34" s="3">
        <v>6.7946136576742848</v>
      </c>
    </row>
    <row r="35" spans="1:8" x14ac:dyDescent="0.3">
      <c r="A35" s="2">
        <v>2020</v>
      </c>
      <c r="B35" s="3">
        <v>10</v>
      </c>
      <c r="C35" s="3">
        <v>163155.34338000001</v>
      </c>
      <c r="D35" s="3">
        <v>-17.827626343952574</v>
      </c>
      <c r="E35" s="3">
        <v>10.019823284447797</v>
      </c>
      <c r="F35" s="3">
        <v>25932459.84</v>
      </c>
      <c r="G35" s="3">
        <v>-11.908133446765079</v>
      </c>
      <c r="H35" s="3">
        <v>7.6579335918808367</v>
      </c>
    </row>
    <row r="36" spans="1:8" x14ac:dyDescent="0.3">
      <c r="A36" s="2">
        <v>2020</v>
      </c>
      <c r="B36" s="3">
        <v>11</v>
      </c>
      <c r="C36" s="3">
        <v>160489.24726</v>
      </c>
      <c r="D36" s="3">
        <v>-6.1280174738887805</v>
      </c>
      <c r="E36" s="3">
        <v>10.969508221422821</v>
      </c>
      <c r="F36" s="3">
        <v>25323786.199999999</v>
      </c>
      <c r="G36" s="3">
        <v>-5.9469830947680986</v>
      </c>
      <c r="H36" s="3">
        <v>8.5589266454170208</v>
      </c>
    </row>
    <row r="37" spans="1:8" x14ac:dyDescent="0.3">
      <c r="A37" s="2">
        <v>2020</v>
      </c>
      <c r="B37" s="3">
        <v>12</v>
      </c>
      <c r="C37" s="3">
        <v>151352.89606</v>
      </c>
      <c r="D37" s="3">
        <v>-7.4626604597861856</v>
      </c>
      <c r="E37" s="3">
        <v>11.93507852212633</v>
      </c>
      <c r="F37" s="3">
        <v>23834733.93</v>
      </c>
      <c r="G37" s="3">
        <v>-3.3467612418662362</v>
      </c>
      <c r="H37" s="3">
        <v>9.4865259182050767</v>
      </c>
    </row>
    <row r="38" spans="1:8" x14ac:dyDescent="0.3">
      <c r="A38" s="2">
        <v>2021</v>
      </c>
      <c r="B38" s="3">
        <v>1</v>
      </c>
      <c r="C38" s="3">
        <v>155671.50904</v>
      </c>
      <c r="D38" s="3">
        <v>-9.7872749446978879</v>
      </c>
      <c r="E38" s="3">
        <v>12.900851836798338</v>
      </c>
      <c r="F38" s="3">
        <v>22266714.649999999</v>
      </c>
      <c r="G38" s="3">
        <v>-16.447145178255994</v>
      </c>
      <c r="H38" s="3">
        <v>10.428657155324176</v>
      </c>
    </row>
    <row r="39" spans="1:8" x14ac:dyDescent="0.3">
      <c r="A39" s="2">
        <v>2021</v>
      </c>
      <c r="B39" s="3">
        <v>2</v>
      </c>
      <c r="C39" s="3">
        <v>192128.24573</v>
      </c>
      <c r="D39" s="3">
        <v>22.880772026699226</v>
      </c>
      <c r="E39" s="3">
        <v>13.849798750471781</v>
      </c>
      <c r="F39" s="3">
        <v>24623799.199999999</v>
      </c>
      <c r="G39" s="3">
        <v>-5.6900840839237077</v>
      </c>
      <c r="H39" s="3">
        <v>11.372354901356262</v>
      </c>
    </row>
    <row r="40" spans="1:8" x14ac:dyDescent="0.3">
      <c r="A40" s="2">
        <v>2021</v>
      </c>
      <c r="B40" s="3">
        <v>3</v>
      </c>
      <c r="C40" s="3">
        <v>206274.42139</v>
      </c>
      <c r="D40" s="3">
        <v>34.061350880975304</v>
      </c>
      <c r="E40" s="3">
        <v>14.763314283819764</v>
      </c>
      <c r="F40" s="3">
        <v>28680165.550000001</v>
      </c>
      <c r="G40" s="3">
        <v>20.477207101475557</v>
      </c>
      <c r="H40" s="3">
        <v>12.302787325721221</v>
      </c>
    </row>
    <row r="41" spans="1:8" x14ac:dyDescent="0.3">
      <c r="A41" s="2">
        <v>2021</v>
      </c>
      <c r="B41" s="3">
        <v>4</v>
      </c>
      <c r="C41" s="3">
        <v>183006.13905</v>
      </c>
      <c r="D41" s="3">
        <v>35.639636385911963</v>
      </c>
      <c r="E41" s="3">
        <v>15.623420608437355</v>
      </c>
      <c r="F41" s="3">
        <v>27138233.440000001</v>
      </c>
      <c r="G41" s="3">
        <v>63.864920391905613</v>
      </c>
      <c r="H41" s="3">
        <v>13.203937706242739</v>
      </c>
    </row>
    <row r="42" spans="1:8" x14ac:dyDescent="0.3">
      <c r="A42" s="2">
        <v>2021</v>
      </c>
      <c r="B42" s="3">
        <v>5</v>
      </c>
      <c r="C42" s="3">
        <v>181486.44419000001</v>
      </c>
      <c r="D42" s="3">
        <v>63.376554844745939</v>
      </c>
      <c r="E42" s="3">
        <v>16.413480037349984</v>
      </c>
      <c r="F42" s="3">
        <v>27062031.109999999</v>
      </c>
      <c r="G42" s="3">
        <v>55.614763155034019</v>
      </c>
      <c r="H42" s="3">
        <v>14.060356988784488</v>
      </c>
    </row>
    <row r="43" spans="1:8" x14ac:dyDescent="0.3">
      <c r="A43" s="2">
        <v>2021</v>
      </c>
      <c r="B43" s="3">
        <v>6</v>
      </c>
      <c r="C43" s="3">
        <v>203108.19802000001</v>
      </c>
      <c r="D43" s="3">
        <v>58.403808165215686</v>
      </c>
      <c r="E43" s="3">
        <v>17.118244898567628</v>
      </c>
      <c r="F43" s="3">
        <v>28587395.620000001</v>
      </c>
      <c r="G43" s="3">
        <v>35.112411237887507</v>
      </c>
      <c r="H43" s="3">
        <v>14.860114243007757</v>
      </c>
    </row>
    <row r="44" spans="1:8" x14ac:dyDescent="0.3">
      <c r="A44" s="2">
        <v>2021</v>
      </c>
      <c r="B44" s="3">
        <v>7</v>
      </c>
      <c r="C44" s="3">
        <v>198872.37531999999</v>
      </c>
      <c r="D44" s="3">
        <v>53.954435402838286</v>
      </c>
      <c r="E44" s="3">
        <v>17.725728844739667</v>
      </c>
      <c r="F44" s="3">
        <v>28165140.030000001</v>
      </c>
      <c r="G44" s="3">
        <v>18.881595093167558</v>
      </c>
      <c r="H44" s="3">
        <v>15.59416426122427</v>
      </c>
    </row>
    <row r="45" spans="1:8" x14ac:dyDescent="0.3">
      <c r="A45" s="2">
        <v>2021</v>
      </c>
      <c r="B45" s="3">
        <v>8</v>
      </c>
      <c r="C45" s="3">
        <v>222467.23764000001</v>
      </c>
      <c r="D45" s="3">
        <v>56.741374039941995</v>
      </c>
      <c r="E45" s="3">
        <v>18.226812581520107</v>
      </c>
      <c r="F45" s="3">
        <v>25973544.120000001</v>
      </c>
      <c r="G45" s="3">
        <v>33.884021887659976</v>
      </c>
      <c r="H45" s="3">
        <v>16.254868245259285</v>
      </c>
    </row>
    <row r="46" spans="1:8" x14ac:dyDescent="0.3">
      <c r="A46" s="2">
        <v>2021</v>
      </c>
      <c r="B46" s="3">
        <v>9</v>
      </c>
      <c r="C46" s="3">
        <v>196036.58932999999</v>
      </c>
      <c r="D46" s="3">
        <v>21.441426146818763</v>
      </c>
      <c r="E46" s="3">
        <v>18.61489269696283</v>
      </c>
      <c r="F46" s="3">
        <v>30732903.34</v>
      </c>
      <c r="G46" s="3">
        <v>24.22344360842996</v>
      </c>
      <c r="H46" s="3">
        <v>16.834815690745835</v>
      </c>
    </row>
    <row r="47" spans="1:8" x14ac:dyDescent="0.3">
      <c r="A47" s="2">
        <v>2021</v>
      </c>
      <c r="B47" s="3">
        <v>10</v>
      </c>
      <c r="C47" s="3">
        <v>262500.38760000002</v>
      </c>
      <c r="D47" s="3">
        <v>60.889850226123812</v>
      </c>
      <c r="E47" s="3">
        <v>18.886040401445207</v>
      </c>
      <c r="F47" s="3">
        <v>32081008.210000001</v>
      </c>
      <c r="G47" s="3">
        <v>23.709854012830899</v>
      </c>
      <c r="H47" s="3">
        <v>17.32782034009767</v>
      </c>
    </row>
    <row r="48" spans="1:8" x14ac:dyDescent="0.3">
      <c r="A48" s="2">
        <v>2021</v>
      </c>
      <c r="B48" s="3">
        <v>11</v>
      </c>
      <c r="C48" s="3">
        <v>270389.90367999999</v>
      </c>
      <c r="D48" s="3">
        <v>68.478516970022184</v>
      </c>
      <c r="E48" s="3">
        <v>19.036523192389748</v>
      </c>
      <c r="F48" s="3">
        <v>34515938.939999998</v>
      </c>
      <c r="G48" s="3">
        <v>36.298492916513389</v>
      </c>
      <c r="H48" s="3">
        <v>17.728209034889492</v>
      </c>
    </row>
    <row r="49" spans="1:8" x14ac:dyDescent="0.3">
      <c r="A49" s="2">
        <v>2021</v>
      </c>
      <c r="B49" s="3">
        <v>12</v>
      </c>
      <c r="C49" s="3">
        <v>197372.27212000001</v>
      </c>
      <c r="D49" s="3">
        <v>30.40534886214321</v>
      </c>
      <c r="E49" s="3">
        <v>19.065525498456779</v>
      </c>
      <c r="F49" s="3">
        <v>32960217.879999995</v>
      </c>
      <c r="G49" s="3">
        <v>38.286493890808849</v>
      </c>
      <c r="H49" s="3">
        <v>18.03075181347883</v>
      </c>
    </row>
    <row r="50" spans="1:8" x14ac:dyDescent="0.3">
      <c r="A50" s="2">
        <v>2022</v>
      </c>
      <c r="B50" s="3">
        <v>1</v>
      </c>
      <c r="C50" s="3">
        <v>298940.79053</v>
      </c>
      <c r="D50" s="3">
        <v>92.033078097281603</v>
      </c>
      <c r="E50" s="3">
        <v>18.975665220096744</v>
      </c>
      <c r="F50" s="3">
        <v>31665561.710000001</v>
      </c>
      <c r="G50" s="3">
        <v>42.210300027354975</v>
      </c>
      <c r="H50" s="3">
        <v>18.231508317270549</v>
      </c>
    </row>
    <row r="51" spans="1:8" x14ac:dyDescent="0.3">
      <c r="A51" s="2">
        <v>2022</v>
      </c>
      <c r="B51" s="3">
        <v>2</v>
      </c>
      <c r="C51" s="3">
        <v>248504.68294999999</v>
      </c>
      <c r="D51" s="3">
        <v>29.343128078745085</v>
      </c>
      <c r="E51" s="3">
        <v>18.770347745493673</v>
      </c>
      <c r="F51" s="3">
        <v>34172233.950000003</v>
      </c>
      <c r="G51" s="3">
        <v>38.777260456217519</v>
      </c>
      <c r="H51" s="3">
        <v>18.327944836424884</v>
      </c>
    </row>
    <row r="52" spans="1:8" x14ac:dyDescent="0.3">
      <c r="A52" s="2">
        <v>2022</v>
      </c>
      <c r="B52" s="3">
        <v>3</v>
      </c>
      <c r="C52" s="3">
        <v>240576.33635999999</v>
      </c>
      <c r="D52" s="3">
        <v>16.629262483856809</v>
      </c>
      <c r="E52" s="3">
        <v>18.458051894281404</v>
      </c>
      <c r="F52" s="3">
        <v>37732008.119999997</v>
      </c>
      <c r="G52" s="3">
        <v>31.561333055136419</v>
      </c>
      <c r="H52" s="3">
        <v>18.319192854970826</v>
      </c>
    </row>
    <row r="53" spans="1:8" x14ac:dyDescent="0.3">
      <c r="A53" s="2">
        <v>2022</v>
      </c>
      <c r="B53" s="3">
        <v>4</v>
      </c>
      <c r="C53" s="3">
        <v>225314.4737</v>
      </c>
      <c r="D53" s="3">
        <v>23.118533000928853</v>
      </c>
      <c r="E53" s="3">
        <v>18.047990706950248</v>
      </c>
      <c r="F53" s="3">
        <v>37707632.369999997</v>
      </c>
      <c r="G53" s="3">
        <v>38.94652521641806</v>
      </c>
      <c r="H53" s="3">
        <v>18.205803948299852</v>
      </c>
    </row>
    <row r="54" spans="1:8" x14ac:dyDescent="0.3">
      <c r="A54" s="2">
        <v>2022</v>
      </c>
      <c r="B54" s="3">
        <v>5</v>
      </c>
      <c r="C54" s="3">
        <v>250103.82513000001</v>
      </c>
      <c r="D54" s="3">
        <v>37.808543357741797</v>
      </c>
      <c r="E54" s="3">
        <v>17.54925022472591</v>
      </c>
      <c r="F54" s="3">
        <v>39803846.640000008</v>
      </c>
      <c r="G54" s="3">
        <v>47.083736908763044</v>
      </c>
      <c r="H54" s="3">
        <v>17.989249284872898</v>
      </c>
    </row>
    <row r="55" spans="1:8" x14ac:dyDescent="0.3">
      <c r="A55" s="2">
        <v>2022</v>
      </c>
      <c r="B55" s="3">
        <v>6</v>
      </c>
      <c r="C55" s="3">
        <v>214083.36400999999</v>
      </c>
      <c r="D55" s="3">
        <v>5.4036056136538946</v>
      </c>
      <c r="E55" s="3">
        <v>16.97126860982673</v>
      </c>
      <c r="F55" s="3">
        <v>40342928.672349989</v>
      </c>
      <c r="G55" s="3">
        <v>41.121385132844047</v>
      </c>
      <c r="H55" s="3">
        <v>17.67244036101674</v>
      </c>
    </row>
    <row r="56" spans="1:8" x14ac:dyDescent="0.3">
      <c r="A56" s="2">
        <v>2022</v>
      </c>
      <c r="B56" s="3">
        <v>7</v>
      </c>
      <c r="C56" s="3">
        <v>233625.22024</v>
      </c>
      <c r="D56" s="3">
        <v>17.474948375348841</v>
      </c>
      <c r="E56" s="3">
        <v>16.324890919827503</v>
      </c>
      <c r="F56" s="3">
        <v>38602745.80352997</v>
      </c>
      <c r="G56" s="3">
        <v>37.058597125426651</v>
      </c>
      <c r="H56" s="3">
        <v>17.260309123587589</v>
      </c>
    </row>
    <row r="57" spans="1:8" x14ac:dyDescent="0.3">
      <c r="A57" s="2">
        <v>2022</v>
      </c>
      <c r="B57" s="3">
        <v>8</v>
      </c>
      <c r="C57" s="3">
        <v>291817.77915999998</v>
      </c>
      <c r="D57" s="3">
        <v>31.173372877593831</v>
      </c>
      <c r="E57" s="3">
        <v>15.620158902372737</v>
      </c>
      <c r="F57" s="3">
        <v>37028130.25</v>
      </c>
      <c r="G57" s="3">
        <v>42.560946164785449</v>
      </c>
      <c r="H57" s="3">
        <v>16.759415918384146</v>
      </c>
    </row>
    <row r="58" spans="1:8" x14ac:dyDescent="0.3">
      <c r="A58" s="2">
        <v>2022</v>
      </c>
      <c r="B58" s="3">
        <v>9</v>
      </c>
      <c r="C58" s="3">
        <v>249727.26634999999</v>
      </c>
      <c r="D58" s="3">
        <v>27.388089745644017</v>
      </c>
      <c r="E58" s="3">
        <v>14.867194170208014</v>
      </c>
      <c r="F58" s="3">
        <v>41597358.369999997</v>
      </c>
      <c r="G58" s="3">
        <v>35.351215958368343</v>
      </c>
      <c r="H58" s="3">
        <v>16.177695972316346</v>
      </c>
    </row>
    <row r="59" spans="1:8" x14ac:dyDescent="0.3">
      <c r="A59" s="2">
        <v>2022</v>
      </c>
      <c r="B59" s="3">
        <v>10</v>
      </c>
      <c r="C59" s="3">
        <v>290297.66462</v>
      </c>
      <c r="D59" s="3">
        <v>10.589423228722117</v>
      </c>
      <c r="E59" s="3">
        <v>14.077198420382754</v>
      </c>
      <c r="F59" s="3">
        <v>39910244.919999994</v>
      </c>
      <c r="G59" s="3">
        <v>24.404584353304504</v>
      </c>
      <c r="H59" s="3">
        <v>15.524876285227906</v>
      </c>
    </row>
    <row r="60" spans="1:8" x14ac:dyDescent="0.3">
      <c r="A60" s="2">
        <v>2022</v>
      </c>
      <c r="B60" s="3">
        <v>11</v>
      </c>
      <c r="C60" s="3">
        <v>298476.3259</v>
      </c>
      <c r="D60" s="3">
        <v>10.387378314702023</v>
      </c>
      <c r="E60" s="3">
        <v>13.262242856583555</v>
      </c>
      <c r="F60" s="3">
        <v>40693397.482950002</v>
      </c>
      <c r="G60" s="3">
        <v>17.897408364548472</v>
      </c>
      <c r="H60" s="3">
        <v>14.812015351406014</v>
      </c>
    </row>
    <row r="61" spans="1:8" x14ac:dyDescent="0.3">
      <c r="A61" s="2">
        <v>2022</v>
      </c>
      <c r="B61" s="3">
        <v>12</v>
      </c>
      <c r="C61" s="3">
        <v>252274.28221</v>
      </c>
      <c r="D61" s="3">
        <v>27.816475688449405</v>
      </c>
      <c r="E61" s="3">
        <v>12.434156475886487</v>
      </c>
      <c r="F61" s="3">
        <v>36607059.739650004</v>
      </c>
      <c r="G61" s="3">
        <v>11.064374249367104</v>
      </c>
      <c r="H61" s="3">
        <v>14.050788311531477</v>
      </c>
    </row>
    <row r="62" spans="1:8" x14ac:dyDescent="0.3">
      <c r="A62" s="2">
        <v>2023</v>
      </c>
      <c r="B62" s="3">
        <v>1</v>
      </c>
      <c r="C62" s="3">
        <v>212874.39003000001</v>
      </c>
      <c r="D62" s="3">
        <v>-28.790450559594294</v>
      </c>
      <c r="E62" s="3">
        <v>11.604568631996655</v>
      </c>
      <c r="F62" s="3">
        <v>34876741.647380084</v>
      </c>
      <c r="G62" s="3">
        <v>10.140922074235581</v>
      </c>
      <c r="H62" s="3">
        <v>13.25308456968879</v>
      </c>
    </row>
    <row r="63" spans="1:8" x14ac:dyDescent="0.3">
      <c r="A63" s="2">
        <v>2023</v>
      </c>
      <c r="B63" s="3">
        <v>2</v>
      </c>
      <c r="C63" s="3">
        <v>253251.02488000001</v>
      </c>
      <c r="D63" s="3">
        <v>1.9099607595543855</v>
      </c>
      <c r="E63" s="3">
        <v>10.786176895231144</v>
      </c>
      <c r="F63" s="3">
        <v>35294993.799999997</v>
      </c>
      <c r="G63" s="3">
        <v>3.2855910200158212</v>
      </c>
      <c r="H63" s="3">
        <v>12.43058614009702</v>
      </c>
    </row>
    <row r="64" spans="1:8" x14ac:dyDescent="0.3">
      <c r="A64" s="2">
        <v>2023</v>
      </c>
      <c r="B64" s="3">
        <v>3</v>
      </c>
      <c r="C64" s="3">
        <v>243384.48845</v>
      </c>
      <c r="D64" s="3">
        <v>1.1672603101736012</v>
      </c>
      <c r="E64" s="3">
        <v>9.9888736262409594</v>
      </c>
      <c r="F64" s="3">
        <v>39090448.083620004</v>
      </c>
      <c r="G64" s="3">
        <v>3.6002323525949897</v>
      </c>
      <c r="H64" s="3">
        <v>11.594758914579716</v>
      </c>
    </row>
    <row r="65" spans="1:8" x14ac:dyDescent="0.3">
      <c r="A65" s="2">
        <v>2023</v>
      </c>
      <c r="B65" s="3">
        <v>4</v>
      </c>
      <c r="C65" s="3">
        <v>210285.67455</v>
      </c>
      <c r="D65" s="3">
        <v>-6.6701436899302085</v>
      </c>
      <c r="E65" s="3">
        <v>9.2219347817787938</v>
      </c>
      <c r="F65" s="3">
        <v>33717835.93513003</v>
      </c>
      <c r="G65" s="3">
        <v>-10.580872317096812</v>
      </c>
      <c r="H65" s="3">
        <v>10.756433715854865</v>
      </c>
    </row>
    <row r="66" spans="1:8" x14ac:dyDescent="0.3">
      <c r="A66" s="2">
        <v>2023</v>
      </c>
      <c r="B66" s="3">
        <v>5</v>
      </c>
      <c r="C66" s="3">
        <v>233417.11076000001</v>
      </c>
      <c r="D66" s="3">
        <v>-6.6719148982733572</v>
      </c>
      <c r="E66" s="3">
        <v>8.4940237065614994</v>
      </c>
      <c r="F66" s="3">
        <v>37053846.810000002</v>
      </c>
      <c r="G66" s="3">
        <v>-6.9088795735547155</v>
      </c>
      <c r="H66" s="3">
        <v>9.9258861911847589</v>
      </c>
    </row>
    <row r="67" spans="1:8" x14ac:dyDescent="0.3">
      <c r="A67" s="2">
        <v>2023</v>
      </c>
      <c r="B67" s="3">
        <v>6</v>
      </c>
      <c r="C67" s="3">
        <v>219051.05592000001</v>
      </c>
      <c r="D67" s="3">
        <v>2.3204474261568464</v>
      </c>
      <c r="E67" s="3">
        <v>7.8127001287453952</v>
      </c>
      <c r="F67" s="3">
        <v>36337693.720000006</v>
      </c>
      <c r="G67" s="3">
        <v>-9.9279727182897126</v>
      </c>
      <c r="H67" s="3">
        <v>9.1119102304682915</v>
      </c>
    </row>
    <row r="68" spans="1:8" x14ac:dyDescent="0.3">
      <c r="A68" s="2">
        <v>2023</v>
      </c>
      <c r="B68" s="3">
        <v>7</v>
      </c>
      <c r="C68" s="3">
        <v>193702.58689999999</v>
      </c>
      <c r="D68" s="3">
        <v>-17.088323469096366</v>
      </c>
      <c r="E68" s="3">
        <v>7.184470586305908</v>
      </c>
      <c r="F68" s="3">
        <v>35348374.641289853</v>
      </c>
      <c r="G68" s="3">
        <v>-8.430413677833581</v>
      </c>
      <c r="H68" s="3">
        <v>8.3221306426484709</v>
      </c>
    </row>
    <row r="69" spans="1:8" x14ac:dyDescent="0.3">
      <c r="A69" s="2">
        <v>2023</v>
      </c>
      <c r="B69" s="3">
        <v>8</v>
      </c>
      <c r="C69" s="3">
        <v>223772.11820999999</v>
      </c>
      <c r="D69" s="3">
        <v>-23.317859914454154</v>
      </c>
      <c r="E69" s="3">
        <v>6.6154602107807836</v>
      </c>
      <c r="F69" s="3">
        <v>30608760.652880169</v>
      </c>
      <c r="G69" s="3">
        <v>-17.336467042161363</v>
      </c>
      <c r="H69" s="3">
        <v>7.5628500225746409</v>
      </c>
    </row>
    <row r="70" spans="1:8" x14ac:dyDescent="0.3">
      <c r="A70" s="2">
        <v>2023</v>
      </c>
      <c r="B70" s="3">
        <v>9</v>
      </c>
      <c r="C70" s="3">
        <v>258076.12340000001</v>
      </c>
      <c r="D70" s="3">
        <v>3.3431900216690291</v>
      </c>
      <c r="E70" s="3">
        <v>6.1101085230094769</v>
      </c>
      <c r="F70" s="3">
        <v>34853238.938380048</v>
      </c>
      <c r="G70" s="3">
        <v>-16.212855084768574</v>
      </c>
      <c r="H70" s="3">
        <v>6.8392075939627803</v>
      </c>
    </row>
    <row r="71" spans="1:8" x14ac:dyDescent="0.3">
      <c r="A71" s="2">
        <v>2023</v>
      </c>
      <c r="B71" s="3">
        <v>10</v>
      </c>
      <c r="C71" s="3">
        <v>266659.17518999998</v>
      </c>
      <c r="D71" s="3">
        <v>-8.1428451933786015</v>
      </c>
      <c r="E71" s="3">
        <v>5.6707763410449692</v>
      </c>
      <c r="F71" s="3">
        <v>37412803.689790003</v>
      </c>
      <c r="G71" s="3">
        <v>-6.2576444600029539</v>
      </c>
      <c r="H71" s="3">
        <v>6.1546134612882595</v>
      </c>
    </row>
    <row r="72" spans="1:8" x14ac:dyDescent="0.3">
      <c r="A72" s="2">
        <v>2023</v>
      </c>
      <c r="B72" s="3">
        <v>11</v>
      </c>
      <c r="C72" s="3">
        <v>223924.81868</v>
      </c>
      <c r="D72" s="3">
        <v>-24.977360263063996</v>
      </c>
      <c r="E72" s="3">
        <v>5.2996323358220909</v>
      </c>
      <c r="F72" s="3">
        <v>37304270.841279805</v>
      </c>
      <c r="G72" s="3">
        <v>-8.3284435591552626</v>
      </c>
      <c r="H72" s="3">
        <v>5.5108768913404251</v>
      </c>
    </row>
    <row r="73" spans="1:8" x14ac:dyDescent="0.3">
      <c r="A73" s="2">
        <v>2023</v>
      </c>
      <c r="B73" s="3">
        <v>12</v>
      </c>
      <c r="C73" s="3">
        <v>221513.48890999999</v>
      </c>
      <c r="D73" s="3">
        <v>-12.193392457814589</v>
      </c>
      <c r="E73" s="3">
        <v>4.9978858990024495</v>
      </c>
      <c r="F73" s="3">
        <v>32349737.150790006</v>
      </c>
      <c r="G73" s="3">
        <v>-11.629785672867865</v>
      </c>
      <c r="H73" s="3">
        <v>4.9089451885529805</v>
      </c>
    </row>
    <row r="74" spans="1:8" x14ac:dyDescent="0.3">
      <c r="A74" s="2">
        <v>2024</v>
      </c>
      <c r="B74" s="3">
        <v>1</v>
      </c>
      <c r="C74" s="3">
        <v>215108.64408</v>
      </c>
      <c r="D74" s="3">
        <v>1.0495645106417539</v>
      </c>
      <c r="E74" s="3">
        <v>4.7646438533171747</v>
      </c>
      <c r="F74" s="3">
        <v>33872952.149999999</v>
      </c>
      <c r="G74" s="3">
        <v>-2.878105723088642</v>
      </c>
      <c r="H74" s="3">
        <v>4.3488045934394544</v>
      </c>
    </row>
    <row r="75" spans="1:8" x14ac:dyDescent="0.3">
      <c r="A75" s="2">
        <v>2024</v>
      </c>
      <c r="B75" s="3">
        <v>2</v>
      </c>
      <c r="C75" s="3">
        <v>240348.61033</v>
      </c>
      <c r="D75" s="3">
        <v>-5.0947136565838829</v>
      </c>
      <c r="E75" s="3">
        <v>4.5978191827226169</v>
      </c>
      <c r="F75" s="3">
        <v>34184934.950000003</v>
      </c>
      <c r="G75" s="3">
        <v>-3.1450886669372236</v>
      </c>
      <c r="H75" s="3">
        <v>3.8292928235368886</v>
      </c>
    </row>
    <row r="76" spans="1:8" x14ac:dyDescent="0.3">
      <c r="A76" s="2">
        <v>2024</v>
      </c>
      <c r="B76" s="3">
        <v>3</v>
      </c>
      <c r="C76" s="3">
        <v>196622.76475</v>
      </c>
      <c r="D76" s="3">
        <v>-19.213107621526405</v>
      </c>
      <c r="E76" s="3">
        <v>4.4950668795541073</v>
      </c>
      <c r="F76" s="3">
        <v>33476703.550000001</v>
      </c>
      <c r="G76" s="3">
        <v>-14.360911191428173</v>
      </c>
      <c r="H76" s="3">
        <v>3.3487457276103445</v>
      </c>
    </row>
    <row r="77" spans="1:8" x14ac:dyDescent="0.3">
      <c r="A77" s="2">
        <v>2024</v>
      </c>
      <c r="B77" s="3">
        <v>4</v>
      </c>
      <c r="C77" s="3">
        <v>219567.07962</v>
      </c>
      <c r="D77" s="3">
        <v>4.4137124841536313</v>
      </c>
      <c r="E77" s="3">
        <v>4.4533688435886933</v>
      </c>
      <c r="F77" s="3">
        <v>38646583.310000002</v>
      </c>
      <c r="G77" s="3">
        <v>14.617626660122628</v>
      </c>
      <c r="H77" s="3">
        <v>2.9050148223769336</v>
      </c>
    </row>
    <row r="78" spans="1:8" x14ac:dyDescent="0.3">
      <c r="A78" s="2">
        <v>2024</v>
      </c>
      <c r="B78" s="3">
        <v>5</v>
      </c>
      <c r="C78" s="3">
        <v>247506.95470999999</v>
      </c>
      <c r="D78" s="3">
        <v>6.0363372265742621</v>
      </c>
      <c r="E78" s="3">
        <v>4.4680605735964027</v>
      </c>
      <c r="F78" s="3">
        <v>37065107.670000002</v>
      </c>
      <c r="G78" s="3">
        <v>3.0390528836976571E-2</v>
      </c>
      <c r="H78" s="3">
        <v>2.4947217872677236</v>
      </c>
    </row>
    <row r="79" spans="1:8" x14ac:dyDescent="0.3">
      <c r="A79" s="2">
        <v>2024</v>
      </c>
      <c r="B79" s="3">
        <v>6</v>
      </c>
      <c r="C79" s="3">
        <v>219733.39384999999</v>
      </c>
      <c r="D79" s="3">
        <v>0.3114972110653369</v>
      </c>
      <c r="E79" s="3">
        <v>4.5344748144334153</v>
      </c>
      <c r="F79" s="3">
        <v>33681656.600000001</v>
      </c>
      <c r="G79" s="3">
        <v>-7.3093167124641756</v>
      </c>
      <c r="H79" s="3">
        <v>2.1153016775358489</v>
      </c>
    </row>
    <row r="80" spans="1:8" x14ac:dyDescent="0.3">
      <c r="A80" s="2">
        <v>2024</v>
      </c>
      <c r="B80" s="3">
        <v>7</v>
      </c>
      <c r="C80" s="3">
        <v>220237.85052000001</v>
      </c>
      <c r="D80" s="3">
        <v>13.698972246405262</v>
      </c>
      <c r="E80" s="3">
        <v>4.6480532190568118</v>
      </c>
      <c r="F80" s="3">
        <v>36483341.5</v>
      </c>
      <c r="G80" s="3">
        <v>3.2108035241439792</v>
      </c>
      <c r="H80" s="3">
        <v>1.7640184143192745</v>
      </c>
    </row>
    <row r="81" spans="1:8" x14ac:dyDescent="0.3">
      <c r="A81" s="2">
        <v>2024</v>
      </c>
      <c r="B81" s="3">
        <v>8</v>
      </c>
      <c r="C81" s="3">
        <v>190249.52473</v>
      </c>
      <c r="D81" s="3">
        <v>-14.980683808221606</v>
      </c>
      <c r="E81" s="3">
        <v>4.8039441780901058</v>
      </c>
      <c r="F81" s="3">
        <v>31597369.879999999</v>
      </c>
      <c r="G81" s="3">
        <v>3.2298244229199247</v>
      </c>
      <c r="H81" s="3">
        <v>1.437481431367772</v>
      </c>
    </row>
    <row r="82" spans="1:8" x14ac:dyDescent="0.3">
      <c r="A82" s="2">
        <v>2024</v>
      </c>
      <c r="B82" s="3">
        <v>9</v>
      </c>
      <c r="C82" s="3">
        <v>206444.97589999999</v>
      </c>
      <c r="D82" s="3">
        <v>-20.006169815242981</v>
      </c>
      <c r="E82" s="3">
        <v>4.9979246182003783</v>
      </c>
      <c r="F82" s="3">
        <v>34888207.909999996</v>
      </c>
      <c r="G82" s="3">
        <v>0.10033205717774329</v>
      </c>
      <c r="H82" s="3">
        <v>1.1324006336192949</v>
      </c>
    </row>
    <row r="83" spans="1:8" x14ac:dyDescent="0.3">
      <c r="A83" s="2">
        <v>2024</v>
      </c>
      <c r="B83" s="3">
        <v>10</v>
      </c>
      <c r="C83" s="3">
        <v>260953.81208999999</v>
      </c>
      <c r="D83" s="3">
        <v>-2.1395712695559066</v>
      </c>
      <c r="E83" s="3">
        <v>5.2243975335556616</v>
      </c>
      <c r="F83" s="3">
        <v>39212300.479999997</v>
      </c>
      <c r="G83" s="3">
        <v>4.8098421201752339</v>
      </c>
      <c r="H83" s="3">
        <v>0.84561039427509965</v>
      </c>
    </row>
    <row r="84" spans="1:8" x14ac:dyDescent="0.3">
      <c r="A84" s="2">
        <v>2024</v>
      </c>
      <c r="B84" s="3">
        <v>11</v>
      </c>
      <c r="C84" s="3">
        <v>236367.13873000001</v>
      </c>
      <c r="D84" s="3">
        <v>5.5564720888668928</v>
      </c>
      <c r="E84" s="3">
        <v>5.4760295228772211</v>
      </c>
      <c r="F84" s="3">
        <v>37771738.07</v>
      </c>
      <c r="G84" s="3">
        <v>1.2531198658436438</v>
      </c>
      <c r="H84" s="3">
        <v>0.57387341510752299</v>
      </c>
    </row>
    <row r="85" spans="1:8" x14ac:dyDescent="0.3">
      <c r="A85" s="2">
        <v>2024</v>
      </c>
      <c r="B85" s="3">
        <v>12</v>
      </c>
      <c r="C85" s="3">
        <v>346156.12124000001</v>
      </c>
      <c r="D85" s="3">
        <v>56.268642123478905</v>
      </c>
      <c r="E85" s="3">
        <v>5.7449757981638827</v>
      </c>
      <c r="F85" s="3">
        <v>33859828.630000003</v>
      </c>
      <c r="G85" s="3">
        <v>4.6680177714307103</v>
      </c>
      <c r="H85" s="3">
        <v>0.31422769175875576</v>
      </c>
    </row>
    <row r="86" spans="1:8" x14ac:dyDescent="0.3">
      <c r="A86" s="2">
        <v>2025</v>
      </c>
      <c r="B86" s="3">
        <v>1</v>
      </c>
      <c r="C86" s="3">
        <v>191913.29678999999</v>
      </c>
      <c r="D86" s="3">
        <v>-10.783084700851697</v>
      </c>
      <c r="E86" s="3">
        <v>6.0233971577037773</v>
      </c>
      <c r="F86" s="3">
        <v>35973342.729999997</v>
      </c>
      <c r="G86" s="3">
        <v>6.2007898535055839</v>
      </c>
      <c r="H86" s="3">
        <v>6.3758389763401022E-2</v>
      </c>
    </row>
    <row r="87" spans="1:8" x14ac:dyDescent="0.3">
      <c r="A87" s="2">
        <v>2025</v>
      </c>
      <c r="B87" s="3">
        <v>2</v>
      </c>
      <c r="C87" s="3">
        <v>379566.2255</v>
      </c>
      <c r="D87" s="3">
        <v>57.923203707670055</v>
      </c>
      <c r="E87" s="3">
        <v>6.306962987724293</v>
      </c>
      <c r="F87" s="3">
        <v>35397939.619999997</v>
      </c>
      <c r="G87" s="3">
        <v>3.5483603282386644</v>
      </c>
      <c r="H87" s="3">
        <v>-0.18014697881062761</v>
      </c>
    </row>
    <row r="88" spans="1:8" x14ac:dyDescent="0.3">
      <c r="A88" s="2">
        <v>2025</v>
      </c>
      <c r="B88" s="3">
        <v>3</v>
      </c>
      <c r="C88" s="3">
        <v>303159.62682</v>
      </c>
      <c r="D88" s="3">
        <v>54.183381159073043</v>
      </c>
      <c r="E88" s="3">
        <v>6.5901755576570844</v>
      </c>
      <c r="F88" s="3">
        <v>39601701.82</v>
      </c>
      <c r="G88" s="3">
        <v>18.296300473109149</v>
      </c>
      <c r="H88" s="3">
        <v>-0.41967471915487892</v>
      </c>
    </row>
    <row r="89" spans="1:8" x14ac:dyDescent="0.3">
      <c r="A89" s="2">
        <v>2025</v>
      </c>
      <c r="B89" s="3">
        <v>4</v>
      </c>
      <c r="C89" s="3">
        <v>216170.84364000001</v>
      </c>
      <c r="D89" s="3">
        <v>-1.5467874263654591</v>
      </c>
      <c r="E89" s="3">
        <v>6.8711215980949145</v>
      </c>
      <c r="F89" s="3">
        <v>36393176.07</v>
      </c>
      <c r="G89" s="3">
        <v>-5.8308058487978158</v>
      </c>
      <c r="H89" s="3">
        <v>-0.6567522123423567</v>
      </c>
    </row>
    <row r="90" spans="1:8" x14ac:dyDescent="0.3">
      <c r="A90" s="2">
        <v>2025</v>
      </c>
      <c r="B90" s="3">
        <v>5</v>
      </c>
      <c r="C90" s="3">
        <v>238840.88798999999</v>
      </c>
      <c r="D90" s="3">
        <v>-3.5013427118255724</v>
      </c>
      <c r="E90" s="3">
        <v>7.1511929233528662</v>
      </c>
      <c r="F90" s="3">
        <v>37542312.729999997</v>
      </c>
      <c r="G90" s="3">
        <v>1.2874778733915182</v>
      </c>
      <c r="H90" s="3">
        <v>-0.8920071189466019</v>
      </c>
    </row>
    <row r="91" spans="1:8" x14ac:dyDescent="0.3">
      <c r="A91" s="2">
        <v>2025</v>
      </c>
      <c r="B91" s="3">
        <v>6</v>
      </c>
      <c r="C91" s="3">
        <v>233927.10603</v>
      </c>
      <c r="D91" s="3">
        <v>6.4595152931963051</v>
      </c>
      <c r="E91" s="3">
        <v>7.4311967707304332</v>
      </c>
      <c r="F91" s="3">
        <v>37355131.149999999</v>
      </c>
      <c r="G91" s="3">
        <v>10.906454494283979</v>
      </c>
      <c r="H91" s="3">
        <v>-1.1264264088214648</v>
      </c>
    </row>
    <row r="92" spans="1:8" x14ac:dyDescent="0.3">
      <c r="B92" s="3"/>
      <c r="C92" s="3"/>
      <c r="D92" s="3"/>
      <c r="E92" s="3"/>
      <c r="F92" s="3"/>
      <c r="G92" s="3"/>
      <c r="H92" s="3"/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H97"/>
  <sheetViews>
    <sheetView topLeftCell="A19" workbookViewId="0">
      <selection activeCell="H93" sqref="H93"/>
    </sheetView>
  </sheetViews>
  <sheetFormatPr baseColWidth="10" defaultColWidth="11.42578125" defaultRowHeight="13.5" x14ac:dyDescent="0.3"/>
  <cols>
    <col min="1" max="1" width="4.42578125" style="2" bestFit="1" customWidth="1"/>
    <col min="2" max="2" width="8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57031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176</v>
      </c>
      <c r="D1" s="2" t="s">
        <v>177</v>
      </c>
      <c r="E1" s="2" t="s">
        <v>178</v>
      </c>
      <c r="F1" s="2" t="s">
        <v>179</v>
      </c>
      <c r="G1" s="2" t="s">
        <v>180</v>
      </c>
      <c r="H1" s="2" t="s">
        <v>181</v>
      </c>
    </row>
    <row r="2" spans="1:8" x14ac:dyDescent="0.3">
      <c r="A2" s="2">
        <v>2018</v>
      </c>
      <c r="B2" s="3">
        <v>1</v>
      </c>
      <c r="C2" s="3">
        <v>39171.228009999992</v>
      </c>
      <c r="D2" s="3">
        <v>68.030671802525049</v>
      </c>
      <c r="E2" s="3">
        <v>26.923046870899011</v>
      </c>
      <c r="F2" s="3">
        <v>-3935409.4666199572</v>
      </c>
      <c r="G2" s="3">
        <v>-25.541732308481141</v>
      </c>
      <c r="H2" s="3">
        <v>-16.561944587789743</v>
      </c>
    </row>
    <row r="3" spans="1:8" x14ac:dyDescent="0.3">
      <c r="A3" s="2">
        <v>2018</v>
      </c>
      <c r="B3" s="3">
        <v>2</v>
      </c>
      <c r="C3" s="3">
        <v>19206.126199999999</v>
      </c>
      <c r="D3" s="3">
        <v>-0.38964967714461352</v>
      </c>
      <c r="E3" s="3">
        <v>27.403994331332466</v>
      </c>
      <c r="F3" s="3">
        <v>-2167323.34766002</v>
      </c>
      <c r="G3" s="3">
        <v>16.832987946207229</v>
      </c>
      <c r="H3" s="3">
        <v>-16.063548002448993</v>
      </c>
    </row>
    <row r="4" spans="1:8" x14ac:dyDescent="0.3">
      <c r="A4" s="2">
        <v>2018</v>
      </c>
      <c r="B4" s="3">
        <v>3</v>
      </c>
      <c r="C4" s="3">
        <v>48158.933320000011</v>
      </c>
      <c r="D4" s="3">
        <v>-24.842671912910834</v>
      </c>
      <c r="E4" s="3">
        <v>27.905627344131549</v>
      </c>
      <c r="F4" s="3">
        <v>-830631.0681200102</v>
      </c>
      <c r="G4" s="3">
        <v>43.051118594440787</v>
      </c>
      <c r="H4" s="3">
        <v>-15.532558038283129</v>
      </c>
    </row>
    <row r="5" spans="1:8" x14ac:dyDescent="0.3">
      <c r="A5" s="2">
        <v>2018</v>
      </c>
      <c r="B5" s="3">
        <v>4</v>
      </c>
      <c r="C5" s="3">
        <v>49514.202010000008</v>
      </c>
      <c r="D5" s="3">
        <v>12.591381117414139</v>
      </c>
      <c r="E5" s="3">
        <v>28.43174962384704</v>
      </c>
      <c r="F5" s="3">
        <v>-3050045.2551700287</v>
      </c>
      <c r="G5" s="3">
        <v>-154.41862935469706</v>
      </c>
      <c r="H5" s="3">
        <v>-14.97383414469828</v>
      </c>
    </row>
    <row r="6" spans="1:8" x14ac:dyDescent="0.3">
      <c r="A6" s="2">
        <v>2018</v>
      </c>
      <c r="B6" s="3">
        <v>5</v>
      </c>
      <c r="C6" s="3">
        <v>38208.629980000027</v>
      </c>
      <c r="D6" s="3">
        <v>-21.98970174015593</v>
      </c>
      <c r="E6" s="3">
        <v>28.982501808692426</v>
      </c>
      <c r="F6" s="3">
        <v>-2153627.8991499878</v>
      </c>
      <c r="G6" s="3">
        <v>-50.49349027017329</v>
      </c>
      <c r="H6" s="3">
        <v>-14.388167460223302</v>
      </c>
    </row>
    <row r="7" spans="1:8" x14ac:dyDescent="0.3">
      <c r="A7" s="2">
        <v>2018</v>
      </c>
      <c r="B7" s="3">
        <v>6</v>
      </c>
      <c r="C7" s="3">
        <v>49364.363520000014</v>
      </c>
      <c r="D7" s="3">
        <v>-33.844017182360325</v>
      </c>
      <c r="E7" s="3">
        <v>29.556924511290475</v>
      </c>
      <c r="F7" s="3">
        <v>-2448239.9071199074</v>
      </c>
      <c r="G7" s="3">
        <v>-94.422771099617108</v>
      </c>
      <c r="H7" s="3">
        <v>-13.786032789721084</v>
      </c>
    </row>
    <row r="8" spans="1:8" x14ac:dyDescent="0.3">
      <c r="A8" s="2">
        <v>2018</v>
      </c>
      <c r="B8" s="3">
        <v>7</v>
      </c>
      <c r="C8" s="3">
        <v>58696.690600000002</v>
      </c>
      <c r="D8" s="3">
        <v>422.22352069750269</v>
      </c>
      <c r="E8" s="3">
        <v>30.150518607906402</v>
      </c>
      <c r="F8" s="3">
        <v>-3247651.5109099932</v>
      </c>
      <c r="G8" s="3">
        <v>-54.743030231258608</v>
      </c>
      <c r="H8" s="3">
        <v>-13.180412252138538</v>
      </c>
    </row>
    <row r="9" spans="1:8" x14ac:dyDescent="0.3">
      <c r="A9" s="2">
        <v>2018</v>
      </c>
      <c r="B9" s="3">
        <v>8</v>
      </c>
      <c r="C9" s="3">
        <v>27905.022350000014</v>
      </c>
      <c r="D9" s="3">
        <v>2.4130804284715164</v>
      </c>
      <c r="E9" s="3">
        <v>30.754382131632248</v>
      </c>
      <c r="F9" s="3">
        <v>-3057279.4193600118</v>
      </c>
      <c r="G9" s="3">
        <v>5.2501494097017547</v>
      </c>
      <c r="H9" s="3">
        <v>-12.589887739916321</v>
      </c>
    </row>
    <row r="10" spans="1:8" x14ac:dyDescent="0.3">
      <c r="A10" s="2">
        <v>2018</v>
      </c>
      <c r="B10" s="3">
        <v>9</v>
      </c>
      <c r="C10" s="3">
        <v>28308.299449999991</v>
      </c>
      <c r="D10" s="3">
        <v>-18.914792678227087</v>
      </c>
      <c r="E10" s="3">
        <v>31.386840407371828</v>
      </c>
      <c r="F10" s="3">
        <v>-3297072.2245900929</v>
      </c>
      <c r="G10" s="3">
        <v>-53.515841663614481</v>
      </c>
      <c r="H10" s="3">
        <v>-12.035927438410305</v>
      </c>
    </row>
    <row r="11" spans="1:8" x14ac:dyDescent="0.3">
      <c r="A11" s="2">
        <v>2018</v>
      </c>
      <c r="B11" s="3">
        <v>10</v>
      </c>
      <c r="C11" s="3">
        <v>53827.207540000003</v>
      </c>
      <c r="D11" s="3">
        <v>75.158154941060218</v>
      </c>
      <c r="E11" s="3">
        <v>32.064250614077352</v>
      </c>
      <c r="F11" s="3">
        <v>-3836527.2150799856</v>
      </c>
      <c r="G11" s="3">
        <v>-52.766638529803842</v>
      </c>
      <c r="H11" s="3">
        <v>-11.538760641507636</v>
      </c>
    </row>
    <row r="12" spans="1:8" x14ac:dyDescent="0.3">
      <c r="A12" s="2">
        <v>2018</v>
      </c>
      <c r="B12" s="3">
        <v>11</v>
      </c>
      <c r="C12" s="3">
        <v>44806.58461000002</v>
      </c>
      <c r="D12" s="3">
        <v>23.883232734038252</v>
      </c>
      <c r="E12" s="3">
        <v>32.799476761736756</v>
      </c>
      <c r="F12" s="3">
        <v>-2568804.1206799969</v>
      </c>
      <c r="G12" s="3">
        <v>-58.442737212068685</v>
      </c>
      <c r="H12" s="3">
        <v>-11.121497192694438</v>
      </c>
    </row>
    <row r="13" spans="1:8" x14ac:dyDescent="0.3">
      <c r="A13" s="2">
        <v>2018</v>
      </c>
      <c r="B13" s="3">
        <v>12</v>
      </c>
      <c r="C13" s="3">
        <v>20467.736340000003</v>
      </c>
      <c r="D13" s="3">
        <v>-42.078215259419579</v>
      </c>
      <c r="E13" s="3">
        <v>33.608375492582901</v>
      </c>
      <c r="F13" s="3">
        <v>-3247398.9385799803</v>
      </c>
      <c r="G13" s="3">
        <v>-58.397402833289611</v>
      </c>
      <c r="H13" s="3">
        <v>-10.810109982532406</v>
      </c>
    </row>
    <row r="14" spans="1:8" x14ac:dyDescent="0.3">
      <c r="A14" s="2">
        <v>2019</v>
      </c>
      <c r="B14" s="3">
        <v>1</v>
      </c>
      <c r="C14" s="3">
        <v>50220.849160000012</v>
      </c>
      <c r="D14" s="3">
        <v>28.208513522167785</v>
      </c>
      <c r="E14" s="3">
        <v>34.506184265235603</v>
      </c>
      <c r="F14" s="3">
        <v>-4483275.8725000732</v>
      </c>
      <c r="G14" s="3">
        <v>-13.921458758665517</v>
      </c>
      <c r="H14" s="3">
        <v>-10.633858098806805</v>
      </c>
    </row>
    <row r="15" spans="1:8" x14ac:dyDescent="0.3">
      <c r="A15" s="2">
        <v>2019</v>
      </c>
      <c r="B15" s="3">
        <v>2</v>
      </c>
      <c r="C15" s="3">
        <v>6177.1603800000157</v>
      </c>
      <c r="D15" s="3">
        <v>-67.837551853637109</v>
      </c>
      <c r="E15" s="3">
        <v>35.502884525068019</v>
      </c>
      <c r="F15" s="3">
        <v>-2627773.3005399704</v>
      </c>
      <c r="G15" s="3">
        <v>-21.245097247583359</v>
      </c>
      <c r="H15" s="3">
        <v>-10.625305302417528</v>
      </c>
    </row>
    <row r="16" spans="1:8" x14ac:dyDescent="0.3">
      <c r="A16" s="2">
        <v>2019</v>
      </c>
      <c r="B16" s="3">
        <v>3</v>
      </c>
      <c r="C16" s="3">
        <v>116569.22620000003</v>
      </c>
      <c r="D16" s="3">
        <v>142.05109657524284</v>
      </c>
      <c r="E16" s="3">
        <v>36.608020379207247</v>
      </c>
      <c r="F16" s="3">
        <v>-2352573.4206199981</v>
      </c>
      <c r="G16" s="3">
        <v>-183.22723660513219</v>
      </c>
      <c r="H16" s="3">
        <v>-10.817243659865854</v>
      </c>
    </row>
    <row r="17" spans="1:8" x14ac:dyDescent="0.3">
      <c r="A17" s="2">
        <v>2019</v>
      </c>
      <c r="B17" s="3">
        <v>4</v>
      </c>
      <c r="C17" s="3">
        <v>75552.901829999988</v>
      </c>
      <c r="D17" s="3">
        <v>52.588345894660968</v>
      </c>
      <c r="E17" s="3">
        <v>37.823959515587418</v>
      </c>
      <c r="F17" s="3">
        <v>-1605252.6269399561</v>
      </c>
      <c r="G17" s="3">
        <v>47.369547247899142</v>
      </c>
      <c r="H17" s="3">
        <v>-11.243202723204803</v>
      </c>
    </row>
    <row r="18" spans="1:8" x14ac:dyDescent="0.3">
      <c r="A18" s="2">
        <v>2019</v>
      </c>
      <c r="B18" s="3">
        <v>5</v>
      </c>
      <c r="C18" s="3">
        <v>56008.261330000008</v>
      </c>
      <c r="D18" s="3">
        <v>46.585369219773234</v>
      </c>
      <c r="E18" s="3">
        <v>39.160392057989604</v>
      </c>
      <c r="F18" s="3">
        <v>-2110213.749530077</v>
      </c>
      <c r="G18" s="3">
        <v>2.0158612189712963</v>
      </c>
      <c r="H18" s="3">
        <v>-11.948684960664151</v>
      </c>
    </row>
    <row r="19" spans="1:8" x14ac:dyDescent="0.3">
      <c r="A19" s="2">
        <v>2019</v>
      </c>
      <c r="B19" s="3">
        <v>6</v>
      </c>
      <c r="C19" s="3">
        <v>44189.199469999992</v>
      </c>
      <c r="D19" s="3">
        <v>-10.483603314166706</v>
      </c>
      <c r="E19" s="3">
        <v>40.628033434804536</v>
      </c>
      <c r="F19" s="3">
        <v>-1532676.6295600235</v>
      </c>
      <c r="G19" s="3">
        <v>37.396795750991011</v>
      </c>
      <c r="H19" s="3">
        <v>-12.975122510614568</v>
      </c>
    </row>
    <row r="20" spans="1:8" x14ac:dyDescent="0.3">
      <c r="A20" s="2">
        <v>2019</v>
      </c>
      <c r="B20" s="3">
        <v>7</v>
      </c>
      <c r="C20" s="3">
        <v>35903.519150000007</v>
      </c>
      <c r="D20" s="3">
        <v>-38.832123612093376</v>
      </c>
      <c r="E20" s="3">
        <v>42.238114697836949</v>
      </c>
      <c r="F20" s="3">
        <v>-2486462.0014199726</v>
      </c>
      <c r="G20" s="3">
        <v>23.438152367423651</v>
      </c>
      <c r="H20" s="3">
        <v>-14.362977751275359</v>
      </c>
    </row>
    <row r="21" spans="1:8" x14ac:dyDescent="0.3">
      <c r="A21" s="2">
        <v>2019</v>
      </c>
      <c r="B21" s="3">
        <v>8</v>
      </c>
      <c r="C21" s="3">
        <v>5578.6239300000016</v>
      </c>
      <c r="D21" s="3">
        <v>-80.008530865770837</v>
      </c>
      <c r="E21" s="3">
        <v>43.998317479672892</v>
      </c>
      <c r="F21" s="3">
        <v>-3984934.3146300055</v>
      </c>
      <c r="G21" s="3">
        <v>-30.342496318644702</v>
      </c>
      <c r="H21" s="3">
        <v>-16.149215010986548</v>
      </c>
    </row>
    <row r="22" spans="1:8" x14ac:dyDescent="0.3">
      <c r="A22" s="2">
        <v>2019</v>
      </c>
      <c r="B22" s="3">
        <v>9</v>
      </c>
      <c r="C22" s="3">
        <v>14908.919200000004</v>
      </c>
      <c r="D22" s="3">
        <v>-47.333751974988353</v>
      </c>
      <c r="E22" s="3">
        <v>45.910693535237996</v>
      </c>
      <c r="F22" s="3">
        <v>-4262519.781300012</v>
      </c>
      <c r="G22" s="3">
        <v>-29.281965663641113</v>
      </c>
      <c r="H22" s="3">
        <v>-18.368173539607692</v>
      </c>
    </row>
    <row r="23" spans="1:8" x14ac:dyDescent="0.3">
      <c r="A23" s="2">
        <v>2019</v>
      </c>
      <c r="B23" s="3">
        <v>10</v>
      </c>
      <c r="C23" s="3">
        <v>28962.628939999995</v>
      </c>
      <c r="D23" s="3">
        <v>-46.193328125971753</v>
      </c>
      <c r="E23" s="3">
        <v>47.968683032767245</v>
      </c>
      <c r="F23" s="3">
        <v>-2576573.2628400996</v>
      </c>
      <c r="G23" s="3">
        <v>32.841001291153823</v>
      </c>
      <c r="H23" s="3">
        <v>-21.055178231533603</v>
      </c>
    </row>
    <row r="24" spans="1:8" x14ac:dyDescent="0.3">
      <c r="A24" s="2">
        <v>2019</v>
      </c>
      <c r="B24" s="3">
        <v>11</v>
      </c>
      <c r="C24" s="3">
        <v>32339.010899999994</v>
      </c>
      <c r="D24" s="3">
        <v>-27.825315896131681</v>
      </c>
      <c r="E24" s="3">
        <v>50.159250831779644</v>
      </c>
      <c r="F24" s="3">
        <v>-1863643.7909000032</v>
      </c>
      <c r="G24" s="3">
        <v>27.450918663013056</v>
      </c>
      <c r="H24" s="3">
        <v>-24.246311883389932</v>
      </c>
    </row>
    <row r="25" spans="1:8" x14ac:dyDescent="0.3">
      <c r="A25" s="2">
        <v>2019</v>
      </c>
      <c r="B25" s="3">
        <v>12</v>
      </c>
      <c r="C25" s="3">
        <v>-7265.4549800000095</v>
      </c>
      <c r="D25" s="3">
        <v>-135.49711047333147</v>
      </c>
      <c r="E25" s="3">
        <v>52.462822763241505</v>
      </c>
      <c r="F25" s="3">
        <v>-2093715.279820051</v>
      </c>
      <c r="G25" s="3">
        <v>35.526391446823929</v>
      </c>
      <c r="H25" s="3">
        <v>-27.973914501557701</v>
      </c>
    </row>
    <row r="26" spans="1:8" x14ac:dyDescent="0.3">
      <c r="A26" s="2">
        <v>2020</v>
      </c>
      <c r="B26" s="3">
        <v>1</v>
      </c>
      <c r="C26" s="3">
        <v>72316.336590000021</v>
      </c>
      <c r="D26" s="3">
        <v>43.996642429532358</v>
      </c>
      <c r="E26" s="3">
        <v>54.85440906320747</v>
      </c>
      <c r="F26" s="3">
        <v>-3507467.16</v>
      </c>
      <c r="G26" s="3">
        <v>21.765529051771665</v>
      </c>
      <c r="H26" s="3">
        <v>-32.266736006963313</v>
      </c>
    </row>
    <row r="27" spans="1:8" x14ac:dyDescent="0.3">
      <c r="A27" s="2">
        <v>2020</v>
      </c>
      <c r="B27" s="3">
        <v>2</v>
      </c>
      <c r="C27" s="3">
        <v>33285.792310000019</v>
      </c>
      <c r="D27" s="3">
        <v>438.85264850448868</v>
      </c>
      <c r="E27" s="3">
        <v>57.295967194590752</v>
      </c>
      <c r="F27" s="3">
        <v>-2117091.66</v>
      </c>
      <c r="G27" s="3">
        <v>19.434006747653321</v>
      </c>
      <c r="H27" s="3">
        <v>-37.149116577064532</v>
      </c>
    </row>
    <row r="28" spans="1:8" x14ac:dyDescent="0.3">
      <c r="A28" s="2">
        <v>2020</v>
      </c>
      <c r="B28" s="3">
        <v>3</v>
      </c>
      <c r="C28" s="3">
        <v>69825.85765999998</v>
      </c>
      <c r="D28" s="3">
        <v>-40.099235504747682</v>
      </c>
      <c r="E28" s="3">
        <v>59.748700608732776</v>
      </c>
      <c r="F28" s="3">
        <v>-2036318.6899999976</v>
      </c>
      <c r="G28" s="3">
        <v>13.442927130268037</v>
      </c>
      <c r="H28" s="3">
        <v>-42.641644148690041</v>
      </c>
    </row>
    <row r="29" spans="1:8" x14ac:dyDescent="0.3">
      <c r="A29" s="2">
        <v>2020</v>
      </c>
      <c r="B29" s="3">
        <v>4</v>
      </c>
      <c r="C29" s="3">
        <v>9625.3652700000093</v>
      </c>
      <c r="D29" s="3">
        <v>-87.260098504677103</v>
      </c>
      <c r="E29" s="3">
        <v>62.2003097487326</v>
      </c>
      <c r="F29" s="3">
        <v>-1518571.0700000003</v>
      </c>
      <c r="G29" s="3">
        <v>5.3998701192094725</v>
      </c>
      <c r="H29" s="3">
        <v>-48.76097727510431</v>
      </c>
    </row>
    <row r="30" spans="1:8" x14ac:dyDescent="0.3">
      <c r="A30" s="2">
        <v>2020</v>
      </c>
      <c r="B30" s="3">
        <v>5</v>
      </c>
      <c r="C30" s="3">
        <v>50822.593789999984</v>
      </c>
      <c r="D30" s="3">
        <v>-9.258754720926138</v>
      </c>
      <c r="E30" s="3">
        <v>64.63156117323696</v>
      </c>
      <c r="F30" s="3">
        <v>124427.97999999672</v>
      </c>
      <c r="G30" s="3">
        <v>105.89646333352276</v>
      </c>
      <c r="H30" s="3">
        <v>-55.519879747677436</v>
      </c>
    </row>
    <row r="31" spans="1:8" x14ac:dyDescent="0.3">
      <c r="A31" s="2">
        <v>2020</v>
      </c>
      <c r="B31" s="3">
        <v>6</v>
      </c>
      <c r="C31" s="3">
        <v>89654.58170000001</v>
      </c>
      <c r="D31" s="3">
        <v>102.88799701127517</v>
      </c>
      <c r="E31" s="3">
        <v>67.012842245874992</v>
      </c>
      <c r="F31" s="3">
        <v>1481716.6099999994</v>
      </c>
      <c r="G31" s="3">
        <v>196.6750964569315</v>
      </c>
      <c r="H31" s="3">
        <v>-62.927354187821578</v>
      </c>
    </row>
    <row r="32" spans="1:8" x14ac:dyDescent="0.3">
      <c r="A32" s="2">
        <v>2020</v>
      </c>
      <c r="B32" s="3">
        <v>7</v>
      </c>
      <c r="C32" s="3">
        <v>80799.197090000001</v>
      </c>
      <c r="D32" s="3">
        <v>125.04534096624896</v>
      </c>
      <c r="E32" s="3">
        <v>69.309409058338744</v>
      </c>
      <c r="F32" s="3">
        <v>-306325.94999999925</v>
      </c>
      <c r="G32" s="3">
        <v>87.680248086435171</v>
      </c>
      <c r="H32" s="3">
        <v>-70.981193748679374</v>
      </c>
    </row>
    <row r="33" spans="1:8" x14ac:dyDescent="0.3">
      <c r="A33" s="2">
        <v>2020</v>
      </c>
      <c r="B33" s="3">
        <v>8</v>
      </c>
      <c r="C33" s="3">
        <v>35271.047889999987</v>
      </c>
      <c r="D33" s="3">
        <v>532.25355092183065</v>
      </c>
      <c r="E33" s="3">
        <v>71.489009032512328</v>
      </c>
      <c r="F33" s="3">
        <v>-1735829.1199999973</v>
      </c>
      <c r="G33" s="3">
        <v>56.440207467731717</v>
      </c>
      <c r="H33" s="3">
        <v>-79.661163635432032</v>
      </c>
    </row>
    <row r="34" spans="1:8" x14ac:dyDescent="0.3">
      <c r="A34" s="2">
        <v>2020</v>
      </c>
      <c r="B34" s="3">
        <v>9</v>
      </c>
      <c r="C34" s="3">
        <v>77041.869299999991</v>
      </c>
      <c r="D34" s="3">
        <v>416.75019675470486</v>
      </c>
      <c r="E34" s="3">
        <v>73.523260141106789</v>
      </c>
      <c r="F34" s="3">
        <v>-1489765.9199999943</v>
      </c>
      <c r="G34" s="3">
        <v>65.049642079417268</v>
      </c>
      <c r="H34" s="3">
        <v>-88.936010897577788</v>
      </c>
    </row>
    <row r="35" spans="1:8" x14ac:dyDescent="0.3">
      <c r="A35" s="2">
        <v>2020</v>
      </c>
      <c r="B35" s="3">
        <v>10</v>
      </c>
      <c r="C35" s="3">
        <v>72231.803320000006</v>
      </c>
      <c r="D35" s="3">
        <v>149.39657055869466</v>
      </c>
      <c r="E35" s="3">
        <v>75.415777894464384</v>
      </c>
      <c r="F35" s="3">
        <v>-650727.12000000104</v>
      </c>
      <c r="G35" s="3">
        <v>74.744474399974209</v>
      </c>
      <c r="H35" s="3">
        <v>-98.76503110051047</v>
      </c>
    </row>
    <row r="36" spans="1:8" x14ac:dyDescent="0.3">
      <c r="A36" s="2">
        <v>2020</v>
      </c>
      <c r="B36" s="3">
        <v>11</v>
      </c>
      <c r="C36" s="3">
        <v>73191.585430000006</v>
      </c>
      <c r="D36" s="3">
        <v>126.32598645742756</v>
      </c>
      <c r="E36" s="3">
        <v>77.194013006858867</v>
      </c>
      <c r="F36" s="3">
        <v>-593128.51999999955</v>
      </c>
      <c r="G36" s="3">
        <v>68.173718448976672</v>
      </c>
      <c r="H36" s="3">
        <v>-109.0968263615005</v>
      </c>
    </row>
    <row r="37" spans="1:8" x14ac:dyDescent="0.3">
      <c r="A37" s="2">
        <v>2020</v>
      </c>
      <c r="B37" s="3">
        <v>12</v>
      </c>
      <c r="C37" s="3">
        <v>49336.594110000005</v>
      </c>
      <c r="D37" s="3">
        <v>779.05718562445679</v>
      </c>
      <c r="E37" s="3">
        <v>78.890553747610127</v>
      </c>
      <c r="F37" s="3">
        <v>-1073001.0199999996</v>
      </c>
      <c r="G37" s="3">
        <v>48.751340244685942</v>
      </c>
      <c r="H37" s="3">
        <v>-119.86794952660301</v>
      </c>
    </row>
    <row r="38" spans="1:8" x14ac:dyDescent="0.3">
      <c r="A38" s="2">
        <v>2021</v>
      </c>
      <c r="B38" s="3">
        <v>1</v>
      </c>
      <c r="C38" s="3">
        <v>39928.584889999998</v>
      </c>
      <c r="D38" s="3">
        <v>-44.786217371081037</v>
      </c>
      <c r="E38" s="3">
        <v>80.541400328638758</v>
      </c>
      <c r="F38" s="3">
        <v>-1769116.4199999981</v>
      </c>
      <c r="G38" s="3">
        <v>49.561425972125193</v>
      </c>
      <c r="H38" s="3">
        <v>-131.00264298737238</v>
      </c>
    </row>
    <row r="39" spans="1:8" x14ac:dyDescent="0.3">
      <c r="A39" s="2">
        <v>2021</v>
      </c>
      <c r="B39" s="3">
        <v>2</v>
      </c>
      <c r="C39" s="3">
        <v>36576.150939999992</v>
      </c>
      <c r="D39" s="3">
        <v>9.88517442924576</v>
      </c>
      <c r="E39" s="3">
        <v>82.23117564463459</v>
      </c>
      <c r="F39" s="3">
        <v>-1081821.0500000007</v>
      </c>
      <c r="G39" s="3">
        <v>48.900604048480325</v>
      </c>
      <c r="H39" s="3">
        <v>-142.41343946246221</v>
      </c>
    </row>
    <row r="40" spans="1:8" x14ac:dyDescent="0.3">
      <c r="A40" s="2">
        <v>2021</v>
      </c>
      <c r="B40" s="3">
        <v>3</v>
      </c>
      <c r="C40" s="3">
        <v>69207.334110000025</v>
      </c>
      <c r="D40" s="3">
        <v>-0.88580874009697719</v>
      </c>
      <c r="E40" s="3">
        <v>84.03579928350274</v>
      </c>
      <c r="F40" s="3">
        <v>-411877.53000000119</v>
      </c>
      <c r="G40" s="3">
        <v>79.773424856204528</v>
      </c>
      <c r="H40" s="3">
        <v>-154.00033249907054</v>
      </c>
    </row>
    <row r="41" spans="1:8" x14ac:dyDescent="0.3">
      <c r="A41" s="2">
        <v>2021</v>
      </c>
      <c r="B41" s="3">
        <v>4</v>
      </c>
      <c r="C41" s="3">
        <v>58822.586479999998</v>
      </c>
      <c r="D41" s="3">
        <v>511.12056353161074</v>
      </c>
      <c r="E41" s="3">
        <v>86.026166805286138</v>
      </c>
      <c r="F41" s="3">
        <v>-1296899.0800000019</v>
      </c>
      <c r="G41" s="3">
        <v>14.597406363075144</v>
      </c>
      <c r="H41" s="3">
        <v>-165.65002994692938</v>
      </c>
    </row>
    <row r="42" spans="1:8" x14ac:dyDescent="0.3">
      <c r="A42" s="2">
        <v>2021</v>
      </c>
      <c r="B42" s="3">
        <v>5</v>
      </c>
      <c r="C42" s="3">
        <v>76596.726800000004</v>
      </c>
      <c r="D42" s="3">
        <v>50.7139267950378</v>
      </c>
      <c r="E42" s="3">
        <v>88.267276436137195</v>
      </c>
      <c r="F42" s="3">
        <v>140124.62000000104</v>
      </c>
      <c r="G42" s="3">
        <v>12.615040443479622</v>
      </c>
      <c r="H42" s="3">
        <v>-177.23300536706554</v>
      </c>
    </row>
    <row r="43" spans="1:8" x14ac:dyDescent="0.3">
      <c r="A43" s="2">
        <v>2021</v>
      </c>
      <c r="B43" s="3">
        <v>6</v>
      </c>
      <c r="C43" s="3">
        <v>55437.65876999998</v>
      </c>
      <c r="D43" s="3">
        <v>-38.165280882683575</v>
      </c>
      <c r="E43" s="3">
        <v>90.853646846425448</v>
      </c>
      <c r="F43" s="3">
        <v>-977748.85000000149</v>
      </c>
      <c r="G43" s="3">
        <v>-165.98757437159335</v>
      </c>
      <c r="H43" s="3">
        <v>-188.60721513742877</v>
      </c>
    </row>
    <row r="44" spans="1:8" x14ac:dyDescent="0.3">
      <c r="A44" s="2">
        <v>2021</v>
      </c>
      <c r="B44" s="3">
        <v>7</v>
      </c>
      <c r="C44" s="3">
        <v>64127.794779999997</v>
      </c>
      <c r="D44" s="3">
        <v>-20.633128682491968</v>
      </c>
      <c r="E44" s="3">
        <v>93.877188835017577</v>
      </c>
      <c r="F44" s="3">
        <v>-1597362.6500000022</v>
      </c>
      <c r="G44" s="3">
        <v>-421.45848237800487</v>
      </c>
      <c r="H44" s="3">
        <v>-199.61743174389863</v>
      </c>
    </row>
    <row r="45" spans="1:8" x14ac:dyDescent="0.3">
      <c r="A45" s="2">
        <v>2021</v>
      </c>
      <c r="B45" s="3">
        <v>8</v>
      </c>
      <c r="C45" s="3">
        <v>-11081.550320000009</v>
      </c>
      <c r="D45" s="3">
        <v>-131.4182622375159</v>
      </c>
      <c r="E45" s="3">
        <v>97.420853553021303</v>
      </c>
      <c r="F45" s="3">
        <v>-3876522.7200000025</v>
      </c>
      <c r="G45" s="3">
        <v>-123.32398248970546</v>
      </c>
      <c r="H45" s="3">
        <v>-210.10685686396823</v>
      </c>
    </row>
    <row r="46" spans="1:8" x14ac:dyDescent="0.3">
      <c r="A46" s="2">
        <v>2021</v>
      </c>
      <c r="B46" s="3">
        <v>9</v>
      </c>
      <c r="C46" s="3">
        <v>76786.989089999988</v>
      </c>
      <c r="D46" s="3">
        <v>-0.3308333667340066</v>
      </c>
      <c r="E46" s="3">
        <v>101.55964004616119</v>
      </c>
      <c r="F46" s="3">
        <v>-2396213.8900000006</v>
      </c>
      <c r="G46" s="3">
        <v>-60.844993017427171</v>
      </c>
      <c r="H46" s="3">
        <v>-219.93409780364689</v>
      </c>
    </row>
    <row r="47" spans="1:8" x14ac:dyDescent="0.3">
      <c r="A47" s="2">
        <v>2021</v>
      </c>
      <c r="B47" s="3">
        <v>10</v>
      </c>
      <c r="C47" s="3">
        <v>10357.056660000002</v>
      </c>
      <c r="D47" s="3">
        <v>-85.66136219233465</v>
      </c>
      <c r="E47" s="3">
        <v>106.35265575489856</v>
      </c>
      <c r="F47" s="3">
        <v>-3361435.7800000012</v>
      </c>
      <c r="G47" s="3">
        <v>-416.56611146005343</v>
      </c>
      <c r="H47" s="3">
        <v>-228.95173528044569</v>
      </c>
    </row>
    <row r="48" spans="1:8" x14ac:dyDescent="0.3">
      <c r="A48" s="2">
        <v>2021</v>
      </c>
      <c r="B48" s="3">
        <v>11</v>
      </c>
      <c r="C48" s="3">
        <v>3544.6956900000223</v>
      </c>
      <c r="D48" s="3">
        <v>-95.156962826840058</v>
      </c>
      <c r="E48" s="3">
        <v>111.85193239237438</v>
      </c>
      <c r="F48" s="3">
        <v>-4207094.9499999993</v>
      </c>
      <c r="G48" s="3">
        <v>-609.30579261304149</v>
      </c>
      <c r="H48" s="3">
        <v>-237.00130215737664</v>
      </c>
    </row>
    <row r="49" spans="1:8" x14ac:dyDescent="0.3">
      <c r="A49" s="2">
        <v>2021</v>
      </c>
      <c r="B49" s="3">
        <v>12</v>
      </c>
      <c r="C49" s="3">
        <v>28900.43776999999</v>
      </c>
      <c r="D49" s="3">
        <v>-41.421903373459301</v>
      </c>
      <c r="E49" s="3">
        <v>118.09616736492772</v>
      </c>
      <c r="F49" s="3">
        <v>-5341955.4899999946</v>
      </c>
      <c r="G49" s="3">
        <v>-397.85185572330556</v>
      </c>
      <c r="H49" s="3">
        <v>-243.93736007357538</v>
      </c>
    </row>
    <row r="50" spans="1:8" x14ac:dyDescent="0.3">
      <c r="A50" s="2">
        <v>2022</v>
      </c>
      <c r="B50" s="3">
        <v>1</v>
      </c>
      <c r="C50" s="3">
        <v>-33379.789839999983</v>
      </c>
      <c r="D50" s="3">
        <v>-183.59872991231367</v>
      </c>
      <c r="E50" s="3">
        <v>125.10968246117412</v>
      </c>
      <c r="F50" s="3">
        <v>-6122948.8599999994</v>
      </c>
      <c r="G50" s="3">
        <v>-246.10208750422461</v>
      </c>
      <c r="H50" s="3">
        <v>-249.64032514668136</v>
      </c>
    </row>
    <row r="51" spans="1:8" x14ac:dyDescent="0.3">
      <c r="A51" s="2">
        <v>2022</v>
      </c>
      <c r="B51" s="3">
        <v>2</v>
      </c>
      <c r="C51" s="3">
        <v>52986.465910000028</v>
      </c>
      <c r="D51" s="3">
        <v>44.866161551333647</v>
      </c>
      <c r="E51" s="3">
        <v>132.9057218259278</v>
      </c>
      <c r="F51" s="3">
        <v>-4251904.9000000022</v>
      </c>
      <c r="G51" s="3">
        <v>-293.03218401971372</v>
      </c>
      <c r="H51" s="3">
        <v>-254.00130200097641</v>
      </c>
    </row>
    <row r="52" spans="1:8" x14ac:dyDescent="0.3">
      <c r="A52" s="2">
        <v>2022</v>
      </c>
      <c r="B52" s="3">
        <v>3</v>
      </c>
      <c r="C52" s="3">
        <v>54171.724140000035</v>
      </c>
      <c r="D52" s="3">
        <v>-21.725457515964973</v>
      </c>
      <c r="E52" s="3">
        <v>141.47609151981041</v>
      </c>
      <c r="F52" s="3">
        <v>-4641800.0999999978</v>
      </c>
      <c r="G52" s="3">
        <v>-1026.9855143590823</v>
      </c>
      <c r="H52" s="3">
        <v>-256.91114954979497</v>
      </c>
    </row>
    <row r="53" spans="1:8" x14ac:dyDescent="0.3">
      <c r="A53" s="2">
        <v>2022</v>
      </c>
      <c r="B53" s="3">
        <v>4</v>
      </c>
      <c r="C53" s="3">
        <v>76034.20921999999</v>
      </c>
      <c r="D53" s="3">
        <v>29.260227694768297</v>
      </c>
      <c r="E53" s="3">
        <v>150.80648374509121</v>
      </c>
      <c r="F53" s="3">
        <v>-6394426.3299999982</v>
      </c>
      <c r="G53" s="3">
        <v>-393.05504403627066</v>
      </c>
      <c r="H53" s="3">
        <v>-258.26343718438943</v>
      </c>
    </row>
    <row r="54" spans="1:8" x14ac:dyDescent="0.3">
      <c r="A54" s="2">
        <v>2022</v>
      </c>
      <c r="B54" s="3">
        <v>5</v>
      </c>
      <c r="C54" s="3">
        <v>106060.14957000001</v>
      </c>
      <c r="D54" s="3">
        <v>38.46564207231895</v>
      </c>
      <c r="E54" s="3">
        <v>160.8712572631342</v>
      </c>
      <c r="F54" s="3">
        <v>-4758740.2800000086</v>
      </c>
      <c r="G54" s="3">
        <v>-3496.0772061326361</v>
      </c>
      <c r="H54" s="3">
        <v>-258.00521168245734</v>
      </c>
    </row>
    <row r="55" spans="1:8" x14ac:dyDescent="0.3">
      <c r="A55" s="2">
        <v>2022</v>
      </c>
      <c r="B55" s="3">
        <v>6</v>
      </c>
      <c r="C55" s="3">
        <v>86953.206310000009</v>
      </c>
      <c r="D55" s="3">
        <v>56.848626437764771</v>
      </c>
      <c r="E55" s="3">
        <v>171.63633012307767</v>
      </c>
      <c r="F55" s="3">
        <v>-5393568.5303300023</v>
      </c>
      <c r="G55" s="3">
        <v>-451.63128346609602</v>
      </c>
      <c r="H55" s="3">
        <v>-256.09288034994984</v>
      </c>
    </row>
    <row r="56" spans="1:8" x14ac:dyDescent="0.3">
      <c r="A56" s="2">
        <v>2022</v>
      </c>
      <c r="B56" s="3">
        <v>7</v>
      </c>
      <c r="C56" s="3">
        <v>74670.699250000005</v>
      </c>
      <c r="D56" s="3">
        <v>16.440460031674288</v>
      </c>
      <c r="E56" s="3">
        <v>183.05911998411608</v>
      </c>
      <c r="F56" s="3">
        <v>-6560648.055969853</v>
      </c>
      <c r="G56" s="3">
        <v>-310.71750713401519</v>
      </c>
      <c r="H56" s="3">
        <v>-252.70771660354376</v>
      </c>
    </row>
    <row r="57" spans="1:8" x14ac:dyDescent="0.3">
      <c r="A57" s="2">
        <v>2022</v>
      </c>
      <c r="B57" s="3">
        <v>8</v>
      </c>
      <c r="C57" s="3">
        <v>-39405.17505999998</v>
      </c>
      <c r="D57" s="3">
        <v>-255.59261946301342</v>
      </c>
      <c r="E57" s="3">
        <v>195.08907313713237</v>
      </c>
      <c r="F57" s="3">
        <v>-7937206.120000001</v>
      </c>
      <c r="G57" s="3">
        <v>-104.75066685537175</v>
      </c>
      <c r="H57" s="3">
        <v>-248.04457291568784</v>
      </c>
    </row>
    <row r="58" spans="1:8" x14ac:dyDescent="0.3">
      <c r="A58" s="2">
        <v>2022</v>
      </c>
      <c r="B58" s="3">
        <v>9</v>
      </c>
      <c r="C58" s="3">
        <v>74026.333389999985</v>
      </c>
      <c r="D58" s="3">
        <v>-3.5952128514432462</v>
      </c>
      <c r="E58" s="3">
        <v>207.66406513273506</v>
      </c>
      <c r="F58" s="3">
        <v>-6975994.75</v>
      </c>
      <c r="G58" s="3">
        <v>-191.12571207071994</v>
      </c>
      <c r="H58" s="3">
        <v>-242.3023302165065</v>
      </c>
    </row>
    <row r="59" spans="1:8" x14ac:dyDescent="0.3">
      <c r="A59" s="2">
        <v>2022</v>
      </c>
      <c r="B59" s="3">
        <v>10</v>
      </c>
      <c r="C59" s="3">
        <v>-411.74908999999752</v>
      </c>
      <c r="D59" s="3">
        <v>-103.97554154154834</v>
      </c>
      <c r="E59" s="3">
        <v>220.69067418176871</v>
      </c>
      <c r="F59" s="3">
        <v>-6852454.6699999943</v>
      </c>
      <c r="G59" s="3">
        <v>-103.85499288045277</v>
      </c>
      <c r="H59" s="3">
        <v>-235.66991847042561</v>
      </c>
    </row>
    <row r="60" spans="1:8" x14ac:dyDescent="0.3">
      <c r="A60" s="2">
        <v>2022</v>
      </c>
      <c r="B60" s="3">
        <v>11</v>
      </c>
      <c r="C60" s="3">
        <v>-6911.960550000018</v>
      </c>
      <c r="D60" s="3">
        <v>-294.99446932777391</v>
      </c>
      <c r="E60" s="3">
        <v>234.06080771188456</v>
      </c>
      <c r="F60" s="3">
        <v>-3313415.608450003</v>
      </c>
      <c r="G60" s="3">
        <v>21.242195675902121</v>
      </c>
      <c r="H60" s="3">
        <v>-228.33271371005532</v>
      </c>
    </row>
    <row r="61" spans="1:8" x14ac:dyDescent="0.3">
      <c r="A61" s="2">
        <v>2022</v>
      </c>
      <c r="B61" s="3">
        <v>12</v>
      </c>
      <c r="C61" s="3">
        <v>-13219.698550000001</v>
      </c>
      <c r="D61" s="3">
        <v>-145.74220866551258</v>
      </c>
      <c r="E61" s="3">
        <v>247.64382688575304</v>
      </c>
      <c r="F61" s="3">
        <v>-4509294.7714000046</v>
      </c>
      <c r="G61" s="3">
        <v>15.587189375851404</v>
      </c>
      <c r="H61" s="3">
        <v>-220.46693815372865</v>
      </c>
    </row>
    <row r="62" spans="1:8" x14ac:dyDescent="0.3">
      <c r="A62" s="2">
        <v>2023</v>
      </c>
      <c r="B62" s="3">
        <v>1</v>
      </c>
      <c r="C62" s="3">
        <v>55394.306080000009</v>
      </c>
      <c r="D62" s="3">
        <v>265.95163224670569</v>
      </c>
      <c r="E62" s="3">
        <v>261.27235291625016</v>
      </c>
      <c r="F62" s="3">
        <v>-3955772.4278700128</v>
      </c>
      <c r="G62" s="3">
        <v>35.394325212933211</v>
      </c>
      <c r="H62" s="3">
        <v>-212.23148242884909</v>
      </c>
    </row>
    <row r="63" spans="1:8" x14ac:dyDescent="0.3">
      <c r="A63" s="2">
        <v>2023</v>
      </c>
      <c r="B63" s="3">
        <v>2</v>
      </c>
      <c r="C63" s="3">
        <v>23379.430870000011</v>
      </c>
      <c r="D63" s="3">
        <v>-55.876598922994681</v>
      </c>
      <c r="E63" s="3">
        <v>274.75168854156084</v>
      </c>
      <c r="F63" s="3">
        <v>-2464828.6899999939</v>
      </c>
      <c r="G63" s="3">
        <v>42.030013653409966</v>
      </c>
      <c r="H63" s="3">
        <v>-203.76884451507499</v>
      </c>
    </row>
    <row r="64" spans="1:8" x14ac:dyDescent="0.3">
      <c r="A64" s="2">
        <v>2023</v>
      </c>
      <c r="B64" s="3">
        <v>3</v>
      </c>
      <c r="C64" s="3">
        <v>75702.398199999996</v>
      </c>
      <c r="D64" s="3">
        <v>39.745225764564239</v>
      </c>
      <c r="E64" s="3">
        <v>287.88746144982349</v>
      </c>
      <c r="F64" s="3">
        <v>-157719.59960000962</v>
      </c>
      <c r="G64" s="3">
        <v>96.60218888788404</v>
      </c>
      <c r="H64" s="3">
        <v>-195.20432615542288</v>
      </c>
    </row>
    <row r="65" spans="1:8" x14ac:dyDescent="0.3">
      <c r="A65" s="2">
        <v>2023</v>
      </c>
      <c r="B65" s="3">
        <v>4</v>
      </c>
      <c r="C65" s="3">
        <v>64718.209559999988</v>
      </c>
      <c r="D65" s="3">
        <v>-14.882774182944283</v>
      </c>
      <c r="E65" s="3">
        <v>300.46233903143593</v>
      </c>
      <c r="F65" s="3">
        <v>-4375397.982849963</v>
      </c>
      <c r="G65" s="3">
        <v>31.574815987441923</v>
      </c>
      <c r="H65" s="3">
        <v>-186.64615972775871</v>
      </c>
    </row>
    <row r="66" spans="1:8" x14ac:dyDescent="0.3">
      <c r="A66" s="2">
        <v>2023</v>
      </c>
      <c r="B66" s="3">
        <v>5</v>
      </c>
      <c r="C66" s="3">
        <v>72358.133879999979</v>
      </c>
      <c r="D66" s="3">
        <v>-31.776322989019167</v>
      </c>
      <c r="E66" s="3">
        <v>312.2417565770956</v>
      </c>
      <c r="F66" s="3">
        <v>-3111440.043719925</v>
      </c>
      <c r="G66" s="3">
        <v>34.616308925354524</v>
      </c>
      <c r="H66" s="3">
        <v>-178.18231326862596</v>
      </c>
    </row>
    <row r="67" spans="1:8" x14ac:dyDescent="0.3">
      <c r="A67" s="2">
        <v>2023</v>
      </c>
      <c r="B67" s="3">
        <v>6</v>
      </c>
      <c r="C67" s="3">
        <v>124356.33192999999</v>
      </c>
      <c r="D67" s="3">
        <v>43.015234523558277</v>
      </c>
      <c r="E67" s="3">
        <v>322.96925041130447</v>
      </c>
      <c r="F67" s="3">
        <v>-2355239.7305700406</v>
      </c>
      <c r="G67" s="3">
        <v>56.332440807497505</v>
      </c>
      <c r="H67" s="3">
        <v>-169.88560058014343</v>
      </c>
    </row>
    <row r="68" spans="1:8" x14ac:dyDescent="0.3">
      <c r="A68" s="2">
        <v>2023</v>
      </c>
      <c r="B68" s="3">
        <v>7</v>
      </c>
      <c r="C68" s="3">
        <v>75218.786320000014</v>
      </c>
      <c r="D68" s="3">
        <v>0.73400554100209348</v>
      </c>
      <c r="E68" s="3">
        <v>332.36446671415018</v>
      </c>
      <c r="F68" s="3">
        <v>-4902584.761909999</v>
      </c>
      <c r="G68" s="3">
        <v>25.272858411465943</v>
      </c>
      <c r="H68" s="3">
        <v>-161.81405778233312</v>
      </c>
    </row>
    <row r="69" spans="1:8" x14ac:dyDescent="0.3">
      <c r="A69" s="2">
        <v>2023</v>
      </c>
      <c r="B69" s="3">
        <v>8</v>
      </c>
      <c r="C69" s="3">
        <v>7116.1528099999996</v>
      </c>
      <c r="D69" s="3">
        <v>118.05892956740998</v>
      </c>
      <c r="E69" s="3">
        <v>340.12761041461704</v>
      </c>
      <c r="F69" s="3">
        <v>-4435084.6122500896</v>
      </c>
      <c r="G69" s="3">
        <v>44.122849461164186</v>
      </c>
      <c r="H69" s="3">
        <v>-154.01001140900956</v>
      </c>
    </row>
    <row r="70" spans="1:8" x14ac:dyDescent="0.3">
      <c r="A70" s="2">
        <v>2023</v>
      </c>
      <c r="B70" s="3">
        <v>9</v>
      </c>
      <c r="C70" s="3">
        <v>4486.5749200000137</v>
      </c>
      <c r="D70" s="3">
        <v>-93.939217688436671</v>
      </c>
      <c r="E70" s="3">
        <v>345.93585654855241</v>
      </c>
      <c r="F70" s="3">
        <v>-3838354.4990300834</v>
      </c>
      <c r="G70" s="3">
        <v>44.977675061609197</v>
      </c>
      <c r="H70" s="3">
        <v>-146.50279584702938</v>
      </c>
    </row>
    <row r="71" spans="1:8" x14ac:dyDescent="0.3">
      <c r="A71" s="2">
        <v>2023</v>
      </c>
      <c r="B71" s="3">
        <v>10</v>
      </c>
      <c r="C71" s="3">
        <v>34895.503820000042</v>
      </c>
      <c r="D71" s="3">
        <v>8574.9437624744351</v>
      </c>
      <c r="E71" s="3">
        <v>349.45095871563365</v>
      </c>
      <c r="F71" s="3">
        <v>-5135930.8080900088</v>
      </c>
      <c r="G71" s="3">
        <v>25.049766026543992</v>
      </c>
      <c r="H71" s="3">
        <v>-139.30798625679986</v>
      </c>
    </row>
    <row r="72" spans="1:8" x14ac:dyDescent="0.3">
      <c r="A72" s="2">
        <v>2023</v>
      </c>
      <c r="B72" s="3">
        <v>11</v>
      </c>
      <c r="C72" s="3">
        <v>63405.62414</v>
      </c>
      <c r="D72" s="3">
        <v>1017.3319737769602</v>
      </c>
      <c r="E72" s="3">
        <v>350.30412363538272</v>
      </c>
      <c r="F72" s="3">
        <v>-2425923.9279298112</v>
      </c>
      <c r="G72" s="3">
        <v>26.784798087413954</v>
      </c>
      <c r="H72" s="3">
        <v>-132.42786054380412</v>
      </c>
    </row>
    <row r="73" spans="1:8" x14ac:dyDescent="0.3">
      <c r="A73" s="2">
        <v>2023</v>
      </c>
      <c r="B73" s="3">
        <v>12</v>
      </c>
      <c r="C73" s="3">
        <v>14249.835240000015</v>
      </c>
      <c r="D73" s="3">
        <v>207.79243706733399</v>
      </c>
      <c r="E73" s="3">
        <v>348.6977728053605</v>
      </c>
      <c r="F73" s="3">
        <v>-3401866.7281602696</v>
      </c>
      <c r="G73" s="3">
        <v>24.558785783168283</v>
      </c>
      <c r="H73" s="3">
        <v>-125.85328288072778</v>
      </c>
    </row>
    <row r="74" spans="1:8" x14ac:dyDescent="0.3">
      <c r="A74" s="2">
        <v>2024</v>
      </c>
      <c r="B74" s="3">
        <v>1</v>
      </c>
      <c r="C74" s="3">
        <v>33754.832820000011</v>
      </c>
      <c r="D74" s="3">
        <v>-39.064436024793679</v>
      </c>
      <c r="E74" s="3">
        <v>344.88064910160989</v>
      </c>
      <c r="F74" s="3">
        <v>-3728763.6999999993</v>
      </c>
      <c r="G74" s="3">
        <v>5.7386700577274237</v>
      </c>
      <c r="H74" s="3">
        <v>-119.5640610056293</v>
      </c>
    </row>
    <row r="75" spans="1:8" x14ac:dyDescent="0.3">
      <c r="A75" s="2">
        <v>2024</v>
      </c>
      <c r="B75" s="3">
        <v>2</v>
      </c>
      <c r="C75" s="3">
        <v>51329.701520000002</v>
      </c>
      <c r="D75" s="3">
        <v>119.55068883163098</v>
      </c>
      <c r="E75" s="3">
        <v>339.09171030741413</v>
      </c>
      <c r="F75" s="3">
        <v>-2350066.8000000045</v>
      </c>
      <c r="G75" s="3">
        <v>4.6559783430624426</v>
      </c>
      <c r="H75" s="3">
        <v>-113.52955737402105</v>
      </c>
    </row>
    <row r="76" spans="1:8" x14ac:dyDescent="0.3">
      <c r="A76" s="2">
        <v>2024</v>
      </c>
      <c r="B76" s="3">
        <v>3</v>
      </c>
      <c r="C76" s="3">
        <v>83387.57739999998</v>
      </c>
      <c r="D76" s="3">
        <v>10.151830566445627</v>
      </c>
      <c r="E76" s="3">
        <v>331.54325135292277</v>
      </c>
      <c r="F76" s="3">
        <v>-2026245.1700000018</v>
      </c>
      <c r="G76" s="3">
        <v>-1184.7136152632472</v>
      </c>
      <c r="H76" s="3">
        <v>-107.71043286286934</v>
      </c>
    </row>
    <row r="77" spans="1:8" x14ac:dyDescent="0.3">
      <c r="A77" s="2">
        <v>2024</v>
      </c>
      <c r="B77" s="3">
        <v>4</v>
      </c>
      <c r="C77" s="3">
        <v>75589.56951999999</v>
      </c>
      <c r="D77" s="3">
        <v>16.797992456699852</v>
      </c>
      <c r="E77" s="3">
        <v>322.4323212640162</v>
      </c>
      <c r="F77" s="3">
        <v>-4655800.68</v>
      </c>
      <c r="G77" s="3">
        <v>-6.4086215299526499</v>
      </c>
      <c r="H77" s="3">
        <v>-102.05914102027123</v>
      </c>
    </row>
    <row r="78" spans="1:8" x14ac:dyDescent="0.3">
      <c r="A78" s="2">
        <v>2024</v>
      </c>
      <c r="B78" s="3">
        <v>5</v>
      </c>
      <c r="C78" s="3">
        <v>43341.242089999985</v>
      </c>
      <c r="D78" s="3">
        <v>-40.101769122628461</v>
      </c>
      <c r="E78" s="3">
        <v>311.93365021790919</v>
      </c>
      <c r="F78" s="3">
        <v>-2348680.2300000042</v>
      </c>
      <c r="G78" s="3">
        <v>24.514687829497522</v>
      </c>
      <c r="H78" s="3">
        <v>-96.602927281990503</v>
      </c>
    </row>
    <row r="79" spans="1:8" x14ac:dyDescent="0.3">
      <c r="A79" s="2">
        <v>2024</v>
      </c>
      <c r="B79" s="3">
        <v>6</v>
      </c>
      <c r="C79" s="3">
        <v>203568.86982999998</v>
      </c>
      <c r="D79" s="3">
        <v>63.698033441987199</v>
      </c>
      <c r="E79" s="3">
        <v>300.20074378564937</v>
      </c>
      <c r="F79" s="3">
        <v>-712907.76000000164</v>
      </c>
      <c r="G79" s="3">
        <v>69.730989557166822</v>
      </c>
      <c r="H79" s="3">
        <v>-91.362394686604134</v>
      </c>
    </row>
    <row r="80" spans="1:8" x14ac:dyDescent="0.3">
      <c r="A80" s="2">
        <v>2024</v>
      </c>
      <c r="B80" s="3">
        <v>7</v>
      </c>
      <c r="C80" s="3">
        <v>65048.190310000005</v>
      </c>
      <c r="D80" s="3">
        <v>-13.521350858722558</v>
      </c>
      <c r="E80" s="3">
        <v>287.36266063416349</v>
      </c>
      <c r="F80" s="3">
        <v>-3213777.1099999994</v>
      </c>
      <c r="G80" s="3">
        <v>34.447291254013052</v>
      </c>
      <c r="H80" s="3">
        <v>-86.349735327195248</v>
      </c>
    </row>
    <row r="81" spans="1:8" x14ac:dyDescent="0.3">
      <c r="A81" s="2">
        <v>2024</v>
      </c>
      <c r="B81" s="3">
        <v>8</v>
      </c>
      <c r="C81" s="3">
        <v>17591.406060000008</v>
      </c>
      <c r="D81" s="3">
        <v>147.2038829081863</v>
      </c>
      <c r="E81" s="3">
        <v>273.53203563104893</v>
      </c>
      <c r="F81" s="3">
        <v>-4763441.3699999973</v>
      </c>
      <c r="G81" s="3">
        <v>-7.4036187910137663</v>
      </c>
      <c r="H81" s="3">
        <v>-81.565954256274495</v>
      </c>
    </row>
    <row r="82" spans="1:8" x14ac:dyDescent="0.3">
      <c r="A82" s="2">
        <v>2024</v>
      </c>
      <c r="B82" s="3">
        <v>9</v>
      </c>
      <c r="C82" s="3">
        <v>88702.003500000021</v>
      </c>
      <c r="D82" s="3">
        <v>1877.0538792206271</v>
      </c>
      <c r="E82" s="3">
        <v>258.80060892088278</v>
      </c>
      <c r="F82" s="3">
        <v>-3291348.5699999966</v>
      </c>
      <c r="G82" s="3">
        <v>14.251052870919301</v>
      </c>
      <c r="H82" s="3">
        <v>-77.003667843951078</v>
      </c>
    </row>
    <row r="83" spans="1:8" x14ac:dyDescent="0.3">
      <c r="A83" s="2">
        <v>2024</v>
      </c>
      <c r="B83" s="3">
        <v>10</v>
      </c>
      <c r="C83" s="3">
        <v>55733.21027000001</v>
      </c>
      <c r="D83" s="3">
        <v>59.714588324863293</v>
      </c>
      <c r="E83" s="3">
        <v>243.25134785985867</v>
      </c>
      <c r="F83" s="3">
        <v>-3932054.2599999979</v>
      </c>
      <c r="G83" s="3">
        <v>23.440279728723958</v>
      </c>
      <c r="H83" s="3">
        <v>-72.650342298149113</v>
      </c>
    </row>
    <row r="84" spans="1:8" x14ac:dyDescent="0.3">
      <c r="A84" s="2">
        <v>2024</v>
      </c>
      <c r="B84" s="3">
        <v>11</v>
      </c>
      <c r="C84" s="3">
        <v>34888.358609999996</v>
      </c>
      <c r="D84" s="3">
        <v>-44.975924323422333</v>
      </c>
      <c r="E84" s="3">
        <v>227.07959850349653</v>
      </c>
      <c r="F84" s="3">
        <v>-5131327.2100000009</v>
      </c>
      <c r="G84" s="3">
        <v>-111.52053248342686</v>
      </c>
      <c r="H84" s="3">
        <v>-68.487106693409743</v>
      </c>
    </row>
    <row r="85" spans="1:8" x14ac:dyDescent="0.3">
      <c r="A85" s="2">
        <v>2024</v>
      </c>
      <c r="B85" s="3">
        <v>12</v>
      </c>
      <c r="C85" s="3">
        <v>-103033.76277</v>
      </c>
      <c r="D85" s="3">
        <v>-823.05230927006767</v>
      </c>
      <c r="E85" s="3">
        <v>210.46796129901529</v>
      </c>
      <c r="F85" s="3">
        <v>-4121454.6300000027</v>
      </c>
      <c r="G85" s="3">
        <v>-21.152736404488323</v>
      </c>
      <c r="H85" s="3">
        <v>-64.48841714441113</v>
      </c>
    </row>
    <row r="86" spans="1:8" x14ac:dyDescent="0.3">
      <c r="A86" s="2">
        <v>2025</v>
      </c>
      <c r="B86" s="3">
        <v>1</v>
      </c>
      <c r="C86" s="3">
        <v>48143.264410000003</v>
      </c>
      <c r="D86" s="3">
        <v>42.626286039475602</v>
      </c>
      <c r="E86" s="3">
        <v>193.58014394899308</v>
      </c>
      <c r="F86" s="3">
        <v>-6192946.6099999957</v>
      </c>
      <c r="G86" s="3">
        <v>-66.085788970751807</v>
      </c>
      <c r="H86" s="3">
        <v>-60.631718198177957</v>
      </c>
    </row>
    <row r="87" spans="1:8" x14ac:dyDescent="0.3">
      <c r="A87" s="2">
        <v>2025</v>
      </c>
      <c r="B87" s="3">
        <v>2</v>
      </c>
      <c r="C87" s="3">
        <v>-127052.01334999999</v>
      </c>
      <c r="D87" s="3">
        <v>-347.52143415541912</v>
      </c>
      <c r="E87" s="3">
        <v>176.5080819149963</v>
      </c>
      <c r="F87" s="3">
        <v>-3424884.2799999975</v>
      </c>
      <c r="G87" s="3">
        <v>-45.735613983397869</v>
      </c>
      <c r="H87" s="3">
        <v>-56.891444979461305</v>
      </c>
    </row>
    <row r="88" spans="1:8" x14ac:dyDescent="0.3">
      <c r="A88" s="2">
        <v>2025</v>
      </c>
      <c r="B88" s="3">
        <v>3</v>
      </c>
      <c r="C88" s="3">
        <v>3004.8702199999825</v>
      </c>
      <c r="D88" s="3">
        <v>-96.396501357047484</v>
      </c>
      <c r="E88" s="3">
        <v>159.33322775179201</v>
      </c>
      <c r="F88" s="3">
        <v>-5481796.4299999997</v>
      </c>
      <c r="G88" s="3">
        <v>-170.53964205131183</v>
      </c>
      <c r="H88" s="3">
        <v>-53.242411367926998</v>
      </c>
    </row>
    <row r="89" spans="1:8" x14ac:dyDescent="0.3">
      <c r="A89" s="2">
        <v>2025</v>
      </c>
      <c r="B89" s="3">
        <v>4</v>
      </c>
      <c r="C89" s="3">
        <v>73245.09971000001</v>
      </c>
      <c r="D89" s="3">
        <v>-3.1015784649754687</v>
      </c>
      <c r="E89" s="3">
        <v>142.10064307553134</v>
      </c>
      <c r="F89" s="3">
        <v>-3882420.629999999</v>
      </c>
      <c r="G89" s="3">
        <v>16.611107372405833</v>
      </c>
      <c r="H89" s="3">
        <v>-49.658656532755032</v>
      </c>
    </row>
    <row r="90" spans="1:8" x14ac:dyDescent="0.3">
      <c r="A90" s="2">
        <v>2025</v>
      </c>
      <c r="B90" s="3">
        <v>5</v>
      </c>
      <c r="C90" s="3">
        <v>72418.374830000015</v>
      </c>
      <c r="D90" s="3">
        <v>67.088831186748394</v>
      </c>
      <c r="E90" s="3">
        <v>124.83763049339947</v>
      </c>
      <c r="F90" s="3">
        <v>-2542768.4199999943</v>
      </c>
      <c r="G90" s="3">
        <v>-8.2637128511951499</v>
      </c>
      <c r="H90" s="3">
        <v>-46.122365284145076</v>
      </c>
    </row>
    <row r="91" spans="1:8" x14ac:dyDescent="0.3">
      <c r="A91" s="2">
        <v>2025</v>
      </c>
      <c r="B91" s="3">
        <v>6</v>
      </c>
      <c r="C91" s="3">
        <v>35329.146320000029</v>
      </c>
      <c r="D91" s="3">
        <v>-82.645113494266909</v>
      </c>
      <c r="E91" s="3">
        <v>107.56140912497462</v>
      </c>
      <c r="F91" s="3">
        <v>-3587909.8399999961</v>
      </c>
      <c r="G91" s="3">
        <v>-403.27826982834188</v>
      </c>
      <c r="H91" s="3">
        <v>-42.611120365358936</v>
      </c>
    </row>
    <row r="92" spans="1:8" x14ac:dyDescent="0.3">
      <c r="B92" s="3"/>
      <c r="C92" s="3"/>
      <c r="D92" s="3"/>
      <c r="E92" s="3"/>
      <c r="F92" s="3"/>
      <c r="G92" s="3"/>
      <c r="H92" s="3"/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H98"/>
  <sheetViews>
    <sheetView topLeftCell="A85" workbookViewId="0">
      <selection activeCell="F92" sqref="F92"/>
    </sheetView>
  </sheetViews>
  <sheetFormatPr baseColWidth="10" defaultColWidth="11.42578125" defaultRowHeight="13.5" x14ac:dyDescent="0.3"/>
  <cols>
    <col min="1" max="1" width="4.42578125" style="2" bestFit="1" customWidth="1"/>
    <col min="2" max="2" width="8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57031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182</v>
      </c>
      <c r="D1" s="2" t="s">
        <v>183</v>
      </c>
      <c r="E1" s="2" t="s">
        <v>184</v>
      </c>
      <c r="F1" s="2" t="s">
        <v>185</v>
      </c>
      <c r="G1" s="2" t="s">
        <v>186</v>
      </c>
      <c r="H1" s="2" t="s">
        <v>187</v>
      </c>
    </row>
    <row r="2" spans="1:8" x14ac:dyDescent="0.3">
      <c r="A2" s="2">
        <v>2018</v>
      </c>
      <c r="B2" s="3">
        <v>1</v>
      </c>
      <c r="C2" s="3">
        <v>126.67923374380401</v>
      </c>
      <c r="D2" s="3">
        <v>11.894354617471961</v>
      </c>
      <c r="E2" s="3">
        <v>0.95576102356341186</v>
      </c>
      <c r="F2" s="3">
        <v>85.296454377315314</v>
      </c>
      <c r="G2" s="3">
        <v>-1.9476343891646906</v>
      </c>
      <c r="H2" s="3">
        <v>-0.58774940559637412</v>
      </c>
    </row>
    <row r="3" spans="1:8" x14ac:dyDescent="0.3">
      <c r="A3" s="2">
        <v>2018</v>
      </c>
      <c r="B3" s="3">
        <v>2</v>
      </c>
      <c r="C3" s="3">
        <v>110.78299098248745</v>
      </c>
      <c r="D3" s="3">
        <v>-0.36094374749247038</v>
      </c>
      <c r="E3" s="3">
        <v>-0.36433314850375714</v>
      </c>
      <c r="F3" s="3">
        <v>91.245559898605222</v>
      </c>
      <c r="G3" s="3">
        <v>1.8039802422986639</v>
      </c>
      <c r="H3" s="3">
        <v>-0.57541482644638753</v>
      </c>
    </row>
    <row r="4" spans="1:8" x14ac:dyDescent="0.3">
      <c r="A4" s="2">
        <v>2018</v>
      </c>
      <c r="B4" s="3">
        <v>3</v>
      </c>
      <c r="C4" s="3">
        <v>127.09421150297861</v>
      </c>
      <c r="D4" s="3">
        <v>-8.4147378513180371</v>
      </c>
      <c r="E4" s="3">
        <v>-0.17693310434455037</v>
      </c>
      <c r="F4" s="3">
        <v>96.857973570869348</v>
      </c>
      <c r="G4" s="3">
        <v>2.1264891145446967</v>
      </c>
      <c r="H4" s="3">
        <v>-0.5563846248055303</v>
      </c>
    </row>
    <row r="5" spans="1:8" x14ac:dyDescent="0.3">
      <c r="A5" s="2">
        <v>2018</v>
      </c>
      <c r="B5" s="3">
        <v>4</v>
      </c>
      <c r="C5" s="3">
        <v>127.16805011314261</v>
      </c>
      <c r="D5" s="3">
        <v>-0.60810651853674358</v>
      </c>
      <c r="E5" s="3">
        <v>1.0733229721014526</v>
      </c>
      <c r="F5" s="3">
        <v>88.665080872049515</v>
      </c>
      <c r="G5" s="3">
        <v>-6.1214936230075949</v>
      </c>
      <c r="H5" s="3">
        <v>-0.53024462809206452</v>
      </c>
    </row>
    <row r="6" spans="1:8" x14ac:dyDescent="0.3">
      <c r="A6" s="2">
        <v>2018</v>
      </c>
      <c r="B6" s="3">
        <v>5</v>
      </c>
      <c r="C6" s="3">
        <v>121.16178229441961</v>
      </c>
      <c r="D6" s="3">
        <v>-6.6845376002440986</v>
      </c>
      <c r="E6" s="3">
        <v>1.4048084839720172</v>
      </c>
      <c r="F6" s="3">
        <v>92.158059877884924</v>
      </c>
      <c r="G6" s="3">
        <v>-2.5002563767783244</v>
      </c>
      <c r="H6" s="3">
        <v>-0.49639435304790863</v>
      </c>
    </row>
    <row r="7" spans="1:8" x14ac:dyDescent="0.3">
      <c r="A7" s="2">
        <v>2018</v>
      </c>
      <c r="B7" s="3">
        <v>6</v>
      </c>
      <c r="C7" s="3">
        <v>128.45773196734737</v>
      </c>
      <c r="D7" s="3">
        <v>-22.414392547937268</v>
      </c>
      <c r="E7" s="3">
        <v>2.5477446505619068</v>
      </c>
      <c r="F7" s="3">
        <v>90.98993588467674</v>
      </c>
      <c r="G7" s="3">
        <v>-4.0205970709600081</v>
      </c>
      <c r="H7" s="3">
        <v>-0.45462159759518356</v>
      </c>
    </row>
    <row r="8" spans="1:8" x14ac:dyDescent="0.3">
      <c r="A8" s="2">
        <v>2018</v>
      </c>
      <c r="B8" s="3">
        <v>7</v>
      </c>
      <c r="C8" s="3">
        <v>133.58605396620069</v>
      </c>
      <c r="D8" s="3">
        <v>25.883648742497115</v>
      </c>
      <c r="E8" s="3">
        <v>5.7947732232498534</v>
      </c>
      <c r="F8" s="3">
        <v>88.234227520410968</v>
      </c>
      <c r="G8" s="3">
        <v>-3.1246394923522871</v>
      </c>
      <c r="H8" s="3">
        <v>-0.40485331674099162</v>
      </c>
    </row>
    <row r="9" spans="1:8" x14ac:dyDescent="0.3">
      <c r="A9" s="2">
        <v>2018</v>
      </c>
      <c r="B9" s="3">
        <v>8</v>
      </c>
      <c r="C9" s="3">
        <v>118.17906796947824</v>
      </c>
      <c r="D9" s="3">
        <v>1.815045682858738</v>
      </c>
      <c r="E9" s="3">
        <v>3.0099031829871743</v>
      </c>
      <c r="F9" s="3">
        <v>87.139192655428047</v>
      </c>
      <c r="G9" s="3">
        <v>1.5027766061022589</v>
      </c>
      <c r="H9" s="3">
        <v>-0.34726410267808544</v>
      </c>
    </row>
    <row r="10" spans="1:8" x14ac:dyDescent="0.3">
      <c r="A10" s="2">
        <v>2018</v>
      </c>
      <c r="B10" s="3">
        <v>9</v>
      </c>
      <c r="C10" s="3">
        <v>114.75870750358168</v>
      </c>
      <c r="D10" s="3">
        <v>-6.3120439870493072</v>
      </c>
      <c r="E10" s="3">
        <v>3.1484643274595783</v>
      </c>
      <c r="F10" s="3">
        <v>87.057071779815431</v>
      </c>
      <c r="G10" s="3">
        <v>-4.4891175574842208</v>
      </c>
      <c r="H10" s="3">
        <v>-0.28221742163919056</v>
      </c>
    </row>
    <row r="11" spans="1:8" x14ac:dyDescent="0.3">
      <c r="A11" s="2">
        <v>2018</v>
      </c>
      <c r="B11" s="3">
        <v>10</v>
      </c>
      <c r="C11" s="3">
        <v>127.60641221211233</v>
      </c>
      <c r="D11" s="3">
        <v>10.937605510113599</v>
      </c>
      <c r="E11" s="3">
        <v>4.3423841177133413</v>
      </c>
      <c r="F11" s="3">
        <v>87.317211665460235</v>
      </c>
      <c r="G11" s="3">
        <v>-3.2952961636828348</v>
      </c>
      <c r="H11" s="3">
        <v>-0.2099482648078117</v>
      </c>
    </row>
    <row r="12" spans="1:8" x14ac:dyDescent="0.3">
      <c r="A12" s="2">
        <v>2018</v>
      </c>
      <c r="B12" s="3">
        <v>11</v>
      </c>
      <c r="C12" s="3">
        <v>124.3193487536324</v>
      </c>
      <c r="D12" s="3">
        <v>3.7748891250724483</v>
      </c>
      <c r="E12" s="3">
        <v>3.3815799096362267</v>
      </c>
      <c r="F12" s="3">
        <v>90.77620959119271</v>
      </c>
      <c r="G12" s="3">
        <v>-3.2136567459523917</v>
      </c>
      <c r="H12" s="3">
        <v>-0.13098376921022059</v>
      </c>
    </row>
    <row r="13" spans="1:8" x14ac:dyDescent="0.3">
      <c r="A13" s="2">
        <v>2018</v>
      </c>
      <c r="B13" s="3">
        <v>12</v>
      </c>
      <c r="C13" s="3">
        <v>112.13430666308926</v>
      </c>
      <c r="D13" s="3">
        <v>-13.197116529800468</v>
      </c>
      <c r="E13" s="3">
        <v>3.2792316907755779</v>
      </c>
      <c r="F13" s="3">
        <v>86.698672670560498</v>
      </c>
      <c r="G13" s="3">
        <v>-4.7664090341219918</v>
      </c>
      <c r="H13" s="3">
        <v>-4.6065332143444167E-2</v>
      </c>
    </row>
    <row r="14" spans="1:8" x14ac:dyDescent="0.3">
      <c r="A14" s="2">
        <v>2019</v>
      </c>
      <c r="B14" s="3">
        <v>1</v>
      </c>
      <c r="C14" s="3">
        <v>128.12099796515713</v>
      </c>
      <c r="D14" s="3">
        <v>1.4417642213531252</v>
      </c>
      <c r="E14" s="3">
        <v>5.3559756565502674</v>
      </c>
      <c r="F14" s="3">
        <v>83.400573700386744</v>
      </c>
      <c r="G14" s="3">
        <v>-1.8958806769285701</v>
      </c>
      <c r="H14" s="3">
        <v>4.3851574583216903E-2</v>
      </c>
    </row>
    <row r="15" spans="1:8" x14ac:dyDescent="0.3">
      <c r="A15" s="2">
        <v>2019</v>
      </c>
      <c r="B15" s="3">
        <v>2</v>
      </c>
      <c r="C15" s="3">
        <v>103.24446478388414</v>
      </c>
      <c r="D15" s="3">
        <v>-7.5385261986033072</v>
      </c>
      <c r="E15" s="3">
        <v>5.6661818458765341</v>
      </c>
      <c r="F15" s="3">
        <v>89.753916974077868</v>
      </c>
      <c r="G15" s="3">
        <v>-1.4916429245273548</v>
      </c>
      <c r="H15" s="3">
        <v>0.1374836775144912</v>
      </c>
    </row>
    <row r="16" spans="1:8" x14ac:dyDescent="0.3">
      <c r="A16" s="2">
        <v>2019</v>
      </c>
      <c r="B16" s="3">
        <v>3</v>
      </c>
      <c r="C16" s="3">
        <v>165.30797457376866</v>
      </c>
      <c r="D16" s="3">
        <v>38.213763070790051</v>
      </c>
      <c r="E16" s="3">
        <v>7.139743109215182</v>
      </c>
      <c r="F16" s="3">
        <v>91.54414055697525</v>
      </c>
      <c r="G16" s="3">
        <v>-5.3138330138940972</v>
      </c>
      <c r="H16" s="3">
        <v>0.23341299956653008</v>
      </c>
    </row>
    <row r="17" spans="1:8" x14ac:dyDescent="0.3">
      <c r="A17" s="2">
        <v>2019</v>
      </c>
      <c r="B17" s="3">
        <v>4</v>
      </c>
      <c r="C17" s="3">
        <v>145.88941180880903</v>
      </c>
      <c r="D17" s="3">
        <v>18.721361695666417</v>
      </c>
      <c r="E17" s="3">
        <v>2.7855174778430163</v>
      </c>
      <c r="F17" s="3">
        <v>93.912542564041559</v>
      </c>
      <c r="G17" s="3">
        <v>5.2474616919920436</v>
      </c>
      <c r="H17" s="3">
        <v>0.33010842986367644</v>
      </c>
    </row>
    <row r="18" spans="1:8" x14ac:dyDescent="0.3">
      <c r="A18" s="2">
        <v>2019</v>
      </c>
      <c r="B18" s="3">
        <v>5</v>
      </c>
      <c r="C18" s="3">
        <v>129.52986425768239</v>
      </c>
      <c r="D18" s="3">
        <v>8.3680819632627816</v>
      </c>
      <c r="E18" s="3">
        <v>0.6598100221425357</v>
      </c>
      <c r="F18" s="3">
        <v>92.673316196749255</v>
      </c>
      <c r="G18" s="3">
        <v>0.51525631886433132</v>
      </c>
      <c r="H18" s="3">
        <v>0.42565363211267171</v>
      </c>
    </row>
    <row r="19" spans="1:8" x14ac:dyDescent="0.3">
      <c r="A19" s="2">
        <v>2019</v>
      </c>
      <c r="B19" s="3">
        <v>6</v>
      </c>
      <c r="C19" s="3">
        <v>125.23491906680029</v>
      </c>
      <c r="D19" s="3">
        <v>-3.2228129005470834</v>
      </c>
      <c r="E19" s="3">
        <v>-0.26317156817035348</v>
      </c>
      <c r="F19" s="3">
        <v>94.21005222370944</v>
      </c>
      <c r="G19" s="3">
        <v>3.2201163390326997</v>
      </c>
      <c r="H19" s="3">
        <v>0.51847375288568287</v>
      </c>
    </row>
    <row r="20" spans="1:8" x14ac:dyDescent="0.3">
      <c r="A20" s="2">
        <v>2019</v>
      </c>
      <c r="B20" s="3">
        <v>7</v>
      </c>
      <c r="C20" s="3">
        <v>118.64166617132592</v>
      </c>
      <c r="D20" s="3">
        <v>-14.944387794874771</v>
      </c>
      <c r="E20" s="3">
        <v>0.25815493973165859</v>
      </c>
      <c r="F20" s="3">
        <v>91.047266468121194</v>
      </c>
      <c r="G20" s="3">
        <v>2.8130389477102256</v>
      </c>
      <c r="H20" s="3">
        <v>0.60700016116367905</v>
      </c>
    </row>
    <row r="21" spans="1:8" x14ac:dyDescent="0.3">
      <c r="A21" s="2">
        <v>2019</v>
      </c>
      <c r="B21" s="3">
        <v>8</v>
      </c>
      <c r="C21" s="3">
        <v>103.24813852706481</v>
      </c>
      <c r="D21" s="3">
        <v>-14.930929442413429</v>
      </c>
      <c r="E21" s="3">
        <v>2.33207886586024</v>
      </c>
      <c r="F21" s="3">
        <v>82.985772174979914</v>
      </c>
      <c r="G21" s="3">
        <v>-4.1534204804481334</v>
      </c>
      <c r="H21" s="3">
        <v>0.68985183999611177</v>
      </c>
    </row>
    <row r="22" spans="1:8" x14ac:dyDescent="0.3">
      <c r="A22" s="2">
        <v>2019</v>
      </c>
      <c r="B22" s="3">
        <v>9</v>
      </c>
      <c r="C22" s="3">
        <v>107.90639777903306</v>
      </c>
      <c r="D22" s="3">
        <v>-6.8523097245486184</v>
      </c>
      <c r="E22" s="3">
        <v>4.5365925568275207</v>
      </c>
      <c r="F22" s="3">
        <v>84.629195429240099</v>
      </c>
      <c r="G22" s="3">
        <v>-2.4278763505753318</v>
      </c>
      <c r="H22" s="3">
        <v>0.7658009695703869</v>
      </c>
    </row>
    <row r="23" spans="1:8" x14ac:dyDescent="0.3">
      <c r="A23" s="2">
        <v>2019</v>
      </c>
      <c r="B23" s="3">
        <v>10</v>
      </c>
      <c r="C23" s="3">
        <v>114.58688338374623</v>
      </c>
      <c r="D23" s="3">
        <v>-13.019528828366106</v>
      </c>
      <c r="E23" s="3">
        <v>5.8300978325317496</v>
      </c>
      <c r="F23" s="3">
        <v>91.247450128713155</v>
      </c>
      <c r="G23" s="3">
        <v>3.9302384632529197</v>
      </c>
      <c r="H23" s="3">
        <v>0.83328339171832422</v>
      </c>
    </row>
    <row r="24" spans="1:8" x14ac:dyDescent="0.3">
      <c r="A24" s="2">
        <v>2019</v>
      </c>
      <c r="B24" s="3">
        <v>11</v>
      </c>
      <c r="C24" s="3">
        <v>118.9154545737167</v>
      </c>
      <c r="D24" s="3">
        <v>-5.4038941799156959</v>
      </c>
      <c r="E24" s="3">
        <v>7.9845376115877222</v>
      </c>
      <c r="F24" s="3">
        <v>93.078392007161696</v>
      </c>
      <c r="G24" s="3">
        <v>2.3021824159689857</v>
      </c>
      <c r="H24" s="3">
        <v>0.89051316512451117</v>
      </c>
    </row>
    <row r="25" spans="1:8" x14ac:dyDescent="0.3">
      <c r="A25" s="2">
        <v>2019</v>
      </c>
      <c r="B25" s="3">
        <v>12</v>
      </c>
      <c r="C25" s="3">
        <v>95.557892237939924</v>
      </c>
      <c r="D25" s="3">
        <v>-16.576414425149338</v>
      </c>
      <c r="E25" s="3">
        <v>9.2671163298076937</v>
      </c>
      <c r="F25" s="3">
        <v>91.50968651773826</v>
      </c>
      <c r="G25" s="3">
        <v>4.8110138471777617</v>
      </c>
      <c r="H25" s="3">
        <v>0.93591941479794738</v>
      </c>
    </row>
    <row r="26" spans="1:8" x14ac:dyDescent="0.3">
      <c r="A26" s="2">
        <v>2020</v>
      </c>
      <c r="B26" s="3">
        <v>1</v>
      </c>
      <c r="C26" s="3">
        <v>141.90782134786167</v>
      </c>
      <c r="D26" s="3">
        <v>13.78682338270454</v>
      </c>
      <c r="E26" s="3">
        <v>12.036955058655806</v>
      </c>
      <c r="F26" s="3">
        <v>86.838700768480237</v>
      </c>
      <c r="G26" s="3">
        <v>3.4381270680934932</v>
      </c>
      <c r="H26" s="3">
        <v>0.96802929833449647</v>
      </c>
    </row>
    <row r="27" spans="1:8" x14ac:dyDescent="0.3">
      <c r="A27" s="2">
        <v>2020</v>
      </c>
      <c r="B27" s="3">
        <v>2</v>
      </c>
      <c r="C27" s="3">
        <v>121.28882112587003</v>
      </c>
      <c r="D27" s="3">
        <v>18.044356341985889</v>
      </c>
      <c r="E27" s="3">
        <v>11.018482080326413</v>
      </c>
      <c r="F27" s="3">
        <v>91.891473171157671</v>
      </c>
      <c r="G27" s="3">
        <v>2.1375561970798032</v>
      </c>
      <c r="H27" s="3">
        <v>0.98563907711004839</v>
      </c>
    </row>
    <row r="28" spans="1:8" x14ac:dyDescent="0.3">
      <c r="A28" s="2">
        <v>2020</v>
      </c>
      <c r="B28" s="3">
        <v>3</v>
      </c>
      <c r="C28" s="3">
        <v>145.38104502362748</v>
      </c>
      <c r="D28" s="3">
        <v>-19.926929550141182</v>
      </c>
      <c r="E28" s="3">
        <v>9.3351437118473761</v>
      </c>
      <c r="F28" s="3">
        <v>91.446005145540894</v>
      </c>
      <c r="G28" s="3">
        <v>-9.8135411434356001E-2</v>
      </c>
      <c r="H28" s="3">
        <v>0.9877165470678374</v>
      </c>
    </row>
    <row r="29" spans="1:8" x14ac:dyDescent="0.3">
      <c r="A29" s="2">
        <v>2020</v>
      </c>
      <c r="B29" s="3">
        <v>4</v>
      </c>
      <c r="C29" s="3">
        <v>107.13408332683136</v>
      </c>
      <c r="D29" s="3">
        <v>-38.755328481977671</v>
      </c>
      <c r="E29" s="3">
        <v>12.394136130273164</v>
      </c>
      <c r="F29" s="3">
        <v>90.830629117950394</v>
      </c>
      <c r="G29" s="3">
        <v>-3.0819134460911641</v>
      </c>
      <c r="H29" s="3">
        <v>0.97330949839554015</v>
      </c>
    </row>
    <row r="30" spans="1:8" x14ac:dyDescent="0.3">
      <c r="A30" s="2">
        <v>2020</v>
      </c>
      <c r="B30" s="3">
        <v>5</v>
      </c>
      <c r="C30" s="3">
        <v>145.75118719606107</v>
      </c>
      <c r="D30" s="3">
        <v>16.221322938378677</v>
      </c>
      <c r="E30" s="3">
        <v>18.015720714954163</v>
      </c>
      <c r="F30" s="3">
        <v>100.7154980555175</v>
      </c>
      <c r="G30" s="3">
        <v>8.0421818587682452</v>
      </c>
      <c r="H30" s="3">
        <v>0.94139031489482616</v>
      </c>
    </row>
    <row r="31" spans="1:8" x14ac:dyDescent="0.3">
      <c r="A31" s="2">
        <v>2020</v>
      </c>
      <c r="B31" s="3">
        <v>6</v>
      </c>
      <c r="C31" s="3">
        <v>169.92148667155732</v>
      </c>
      <c r="D31" s="3">
        <v>44.68656760475703</v>
      </c>
      <c r="E31" s="3">
        <v>16.81755012715772</v>
      </c>
      <c r="F31" s="3">
        <v>107.00302701965157</v>
      </c>
      <c r="G31" s="3">
        <v>12.792974795942129</v>
      </c>
      <c r="H31" s="3">
        <v>0.89064976766288684</v>
      </c>
    </row>
    <row r="32" spans="1:8" x14ac:dyDescent="0.3">
      <c r="A32" s="2">
        <v>2020</v>
      </c>
      <c r="B32" s="3">
        <v>7</v>
      </c>
      <c r="C32" s="3">
        <v>162.54963641369355</v>
      </c>
      <c r="D32" s="3">
        <v>43.907970242367625</v>
      </c>
      <c r="E32" s="3">
        <v>11.777885373100938</v>
      </c>
      <c r="F32" s="3">
        <v>98.707035806829253</v>
      </c>
      <c r="G32" s="3">
        <v>7.6597693387080596</v>
      </c>
      <c r="H32" s="3">
        <v>0.8202717383207937</v>
      </c>
    </row>
    <row r="33" spans="1:8" x14ac:dyDescent="0.3">
      <c r="A33" s="2">
        <v>2020</v>
      </c>
      <c r="B33" s="3">
        <v>8</v>
      </c>
      <c r="C33" s="3">
        <v>124.85054684345653</v>
      </c>
      <c r="D33" s="3">
        <v>21.602408316391717</v>
      </c>
      <c r="E33" s="3">
        <v>6.4364248296214246</v>
      </c>
      <c r="F33" s="3">
        <v>91.052442330487892</v>
      </c>
      <c r="G33" s="3">
        <v>8.0666701555079783</v>
      </c>
      <c r="H33" s="3">
        <v>0.73026665883880459</v>
      </c>
    </row>
    <row r="34" spans="1:8" x14ac:dyDescent="0.3">
      <c r="A34" s="2">
        <v>2020</v>
      </c>
      <c r="B34" s="3">
        <v>9</v>
      </c>
      <c r="C34" s="3">
        <v>147.72616434914187</v>
      </c>
      <c r="D34" s="3">
        <v>39.819766570108811</v>
      </c>
      <c r="E34" s="3">
        <v>3.5683505872543666</v>
      </c>
      <c r="F34" s="3">
        <v>93.978315335017086</v>
      </c>
      <c r="G34" s="3">
        <v>9.3491199057769876</v>
      </c>
      <c r="H34" s="3">
        <v>0.62111992629831536</v>
      </c>
    </row>
    <row r="35" spans="1:8" x14ac:dyDescent="0.3">
      <c r="A35" s="2">
        <v>2020</v>
      </c>
      <c r="B35" s="3">
        <v>10</v>
      </c>
      <c r="C35" s="3">
        <v>144.27179755416722</v>
      </c>
      <c r="D35" s="3">
        <v>29.684914170420996</v>
      </c>
      <c r="E35" s="3">
        <v>-1.8841939535987375</v>
      </c>
      <c r="F35" s="3">
        <v>97.490684940746448</v>
      </c>
      <c r="G35" s="3">
        <v>6.2432348120332932</v>
      </c>
      <c r="H35" s="3">
        <v>0.49382641024576845</v>
      </c>
    </row>
    <row r="36" spans="1:8" x14ac:dyDescent="0.3">
      <c r="A36" s="2">
        <v>2020</v>
      </c>
      <c r="B36" s="3">
        <v>11</v>
      </c>
      <c r="C36" s="3">
        <v>145.60528925120212</v>
      </c>
      <c r="D36" s="3">
        <v>26.689834677485422</v>
      </c>
      <c r="E36" s="3">
        <v>-6.4106388571383013</v>
      </c>
      <c r="F36" s="3">
        <v>97.657820535540623</v>
      </c>
      <c r="G36" s="3">
        <v>4.5794285283789264</v>
      </c>
      <c r="H36" s="3">
        <v>0.34998709133729217</v>
      </c>
    </row>
    <row r="37" spans="1:8" x14ac:dyDescent="0.3">
      <c r="A37" s="2">
        <v>2020</v>
      </c>
      <c r="B37" s="3">
        <v>12</v>
      </c>
      <c r="C37" s="3">
        <v>132.59705984776252</v>
      </c>
      <c r="D37" s="3">
        <v>37.039167609822599</v>
      </c>
      <c r="E37" s="3">
        <v>-10.853952635225717</v>
      </c>
      <c r="F37" s="3">
        <v>95.49816237449393</v>
      </c>
      <c r="G37" s="3">
        <v>3.9884758567556702</v>
      </c>
      <c r="H37" s="3">
        <v>0.19160221470136132</v>
      </c>
    </row>
    <row r="38" spans="1:8" x14ac:dyDescent="0.3">
      <c r="A38" s="2">
        <v>2021</v>
      </c>
      <c r="B38" s="3">
        <v>1</v>
      </c>
      <c r="C38" s="3">
        <v>125.64925665347042</v>
      </c>
      <c r="D38" s="3">
        <v>-16.258564694391254</v>
      </c>
      <c r="E38" s="3">
        <v>-16.910764319120968</v>
      </c>
      <c r="F38" s="3">
        <v>92.054883498495826</v>
      </c>
      <c r="G38" s="3">
        <v>5.2161827300155892</v>
      </c>
      <c r="H38" s="3">
        <v>2.0965736677356298E-2</v>
      </c>
    </row>
    <row r="39" spans="1:8" x14ac:dyDescent="0.3">
      <c r="A39" s="2">
        <v>2021</v>
      </c>
      <c r="B39" s="3">
        <v>2</v>
      </c>
      <c r="C39" s="3">
        <v>119.03736267461728</v>
      </c>
      <c r="D39" s="3">
        <v>-2.2514584512527449</v>
      </c>
      <c r="E39" s="3">
        <v>-16.449418029804662</v>
      </c>
      <c r="F39" s="3">
        <v>95.606603833903904</v>
      </c>
      <c r="G39" s="3">
        <v>3.7151306627462333</v>
      </c>
      <c r="H39" s="3">
        <v>-0.1593647146146443</v>
      </c>
    </row>
    <row r="40" spans="1:8" x14ac:dyDescent="0.3">
      <c r="A40" s="2">
        <v>2021</v>
      </c>
      <c r="B40" s="3">
        <v>3</v>
      </c>
      <c r="C40" s="3">
        <v>133.55109840747085</v>
      </c>
      <c r="D40" s="3">
        <v>-11.829946616156633</v>
      </c>
      <c r="E40" s="3">
        <v>-17.729203641231845</v>
      </c>
      <c r="F40" s="3">
        <v>98.563894168316608</v>
      </c>
      <c r="G40" s="3">
        <v>7.1178890227757137</v>
      </c>
      <c r="H40" s="3">
        <v>-0.34647073209669116</v>
      </c>
    </row>
    <row r="41" spans="1:8" x14ac:dyDescent="0.3">
      <c r="A41" s="2">
        <v>2021</v>
      </c>
      <c r="B41" s="3">
        <v>4</v>
      </c>
      <c r="C41" s="3">
        <v>132.14241160725695</v>
      </c>
      <c r="D41" s="3">
        <v>25.008328280425587</v>
      </c>
      <c r="E41" s="3">
        <v>-17.812538450952832</v>
      </c>
      <c r="F41" s="3">
        <v>95.22113669311851</v>
      </c>
      <c r="G41" s="3">
        <v>4.3905075751681153</v>
      </c>
      <c r="H41" s="3">
        <v>-0.53716484651185159</v>
      </c>
    </row>
    <row r="42" spans="1:8" x14ac:dyDescent="0.3">
      <c r="A42" s="2">
        <v>2021</v>
      </c>
      <c r="B42" s="3">
        <v>5</v>
      </c>
      <c r="C42" s="3">
        <v>142.20520554130761</v>
      </c>
      <c r="D42" s="3">
        <v>-3.5459816547534615</v>
      </c>
      <c r="E42" s="3">
        <v>-22.605030398539572</v>
      </c>
      <c r="F42" s="3">
        <v>100.51779047710954</v>
      </c>
      <c r="G42" s="3">
        <v>-0.19770757840795739</v>
      </c>
      <c r="H42" s="3">
        <v>-0.72774123028688242</v>
      </c>
    </row>
    <row r="43" spans="1:8" x14ac:dyDescent="0.3">
      <c r="A43" s="2">
        <v>2021</v>
      </c>
      <c r="B43" s="3">
        <v>6</v>
      </c>
      <c r="C43" s="3">
        <v>127.29464359904421</v>
      </c>
      <c r="D43" s="3">
        <v>-42.626843072513111</v>
      </c>
      <c r="E43" s="3">
        <v>-23.95243591109751</v>
      </c>
      <c r="F43" s="3">
        <v>96.579790397849465</v>
      </c>
      <c r="G43" s="3">
        <v>-10.423236621802104</v>
      </c>
      <c r="H43" s="3">
        <v>-0.91415185637481278</v>
      </c>
    </row>
    <row r="44" spans="1:8" x14ac:dyDescent="0.3">
      <c r="A44" s="2">
        <v>2021</v>
      </c>
      <c r="B44" s="3">
        <v>7</v>
      </c>
      <c r="C44" s="3">
        <v>132.24570264060745</v>
      </c>
      <c r="D44" s="3">
        <v>-30.303933773086101</v>
      </c>
      <c r="E44" s="3">
        <v>-20.264125451498206</v>
      </c>
      <c r="F44" s="3">
        <v>94.328582608506196</v>
      </c>
      <c r="G44" s="3">
        <v>-4.3784531983230579</v>
      </c>
      <c r="H44" s="3">
        <v>-1.0923118898361801</v>
      </c>
    </row>
    <row r="45" spans="1:8" x14ac:dyDescent="0.3">
      <c r="A45" s="2">
        <v>2021</v>
      </c>
      <c r="B45" s="3">
        <v>8</v>
      </c>
      <c r="C45" s="3">
        <v>95.01879448068108</v>
      </c>
      <c r="D45" s="3">
        <v>-29.831752362775447</v>
      </c>
      <c r="E45" s="3">
        <v>-17.855376652305551</v>
      </c>
      <c r="F45" s="3">
        <v>85.075110650706208</v>
      </c>
      <c r="G45" s="3">
        <v>-5.9773316797816847</v>
      </c>
      <c r="H45" s="3">
        <v>-1.2587968488402324</v>
      </c>
    </row>
    <row r="46" spans="1:8" x14ac:dyDescent="0.3">
      <c r="A46" s="2">
        <v>2021</v>
      </c>
      <c r="B46" s="3">
        <v>9</v>
      </c>
      <c r="C46" s="3">
        <v>139.16972303611135</v>
      </c>
      <c r="D46" s="3">
        <v>-8.5564413130305184</v>
      </c>
      <c r="E46" s="3">
        <v>-15.286124107966826</v>
      </c>
      <c r="F46" s="3">
        <v>92.203099513604229</v>
      </c>
      <c r="G46" s="3">
        <v>-1.7752158214128571</v>
      </c>
      <c r="H46" s="3">
        <v>-1.4104104558137511</v>
      </c>
    </row>
    <row r="47" spans="1:8" x14ac:dyDescent="0.3">
      <c r="A47" s="2">
        <v>2021</v>
      </c>
      <c r="B47" s="3">
        <v>10</v>
      </c>
      <c r="C47" s="3">
        <v>103.94553956841473</v>
      </c>
      <c r="D47" s="3">
        <v>-40.326257985752491</v>
      </c>
      <c r="E47" s="3">
        <v>-15.235759328938034</v>
      </c>
      <c r="F47" s="3">
        <v>89.522038216516506</v>
      </c>
      <c r="G47" s="3">
        <v>-7.9686467242299415</v>
      </c>
      <c r="H47" s="3">
        <v>-1.5442841092134443</v>
      </c>
    </row>
    <row r="48" spans="1:8" x14ac:dyDescent="0.3">
      <c r="A48" s="2">
        <v>2021</v>
      </c>
      <c r="B48" s="3">
        <v>11</v>
      </c>
      <c r="C48" s="3">
        <v>101.31095711850064</v>
      </c>
      <c r="D48" s="3">
        <v>-44.294332132701484</v>
      </c>
      <c r="E48" s="3">
        <v>-11.021882278572718</v>
      </c>
      <c r="F48" s="3">
        <v>87.811153110123101</v>
      </c>
      <c r="G48" s="3">
        <v>-9.8466674254175217</v>
      </c>
      <c r="H48" s="3">
        <v>-1.6575745412019642</v>
      </c>
    </row>
    <row r="49" spans="1:8" x14ac:dyDescent="0.3">
      <c r="A49" s="2">
        <v>2021</v>
      </c>
      <c r="B49" s="3">
        <v>12</v>
      </c>
      <c r="C49" s="3">
        <v>114.64260276257492</v>
      </c>
      <c r="D49" s="3">
        <v>-17.954457085187599</v>
      </c>
      <c r="E49" s="3">
        <v>-5.975853741298832</v>
      </c>
      <c r="F49" s="3">
        <v>83.792717907846566</v>
      </c>
      <c r="G49" s="3">
        <v>-11.705444466647364</v>
      </c>
      <c r="H49" s="3">
        <v>-1.7478846202346727</v>
      </c>
    </row>
    <row r="50" spans="1:8" x14ac:dyDescent="0.3">
      <c r="A50" s="2">
        <v>2022</v>
      </c>
      <c r="B50" s="3">
        <v>1</v>
      </c>
      <c r="C50" s="3">
        <v>88.83397953794794</v>
      </c>
      <c r="D50" s="3">
        <v>-36.815277115522477</v>
      </c>
      <c r="E50" s="3">
        <v>-3.9717519396807175</v>
      </c>
      <c r="F50" s="3">
        <v>80.663697312319044</v>
      </c>
      <c r="G50" s="3">
        <v>-11.391186186176782</v>
      </c>
      <c r="H50" s="3">
        <v>-1.8133859017727796</v>
      </c>
    </row>
    <row r="51" spans="1:8" x14ac:dyDescent="0.3">
      <c r="A51" s="2">
        <v>2022</v>
      </c>
      <c r="B51" s="3">
        <v>2</v>
      </c>
      <c r="C51" s="3">
        <v>121.32211968040099</v>
      </c>
      <c r="D51" s="3">
        <v>2.2847570057837032</v>
      </c>
      <c r="E51" s="3">
        <v>0.61671521432620913</v>
      </c>
      <c r="F51" s="3">
        <v>87.557427746101439</v>
      </c>
      <c r="G51" s="3">
        <v>-8.049176087802465</v>
      </c>
      <c r="H51" s="3">
        <v>-1.8529414384890512</v>
      </c>
    </row>
    <row r="52" spans="1:8" x14ac:dyDescent="0.3">
      <c r="A52" s="2">
        <v>2022</v>
      </c>
      <c r="B52" s="3">
        <v>3</v>
      </c>
      <c r="C52" s="3">
        <v>122.51747821902863</v>
      </c>
      <c r="D52" s="3">
        <v>-11.033620188442214</v>
      </c>
      <c r="E52" s="3">
        <v>0.46244462471081205</v>
      </c>
      <c r="F52" s="3">
        <v>87.697977575861927</v>
      </c>
      <c r="G52" s="3">
        <v>-10.865916592454681</v>
      </c>
      <c r="H52" s="3">
        <v>-1.8660794080760044</v>
      </c>
    </row>
    <row r="53" spans="1:8" x14ac:dyDescent="0.3">
      <c r="A53" s="2">
        <v>2022</v>
      </c>
      <c r="B53" s="3">
        <v>4</v>
      </c>
      <c r="C53" s="3">
        <v>133.74581666743586</v>
      </c>
      <c r="D53" s="3">
        <v>1.6034050601789147</v>
      </c>
      <c r="E53" s="3">
        <v>2.0207110587634163</v>
      </c>
      <c r="F53" s="3">
        <v>83.042090080714345</v>
      </c>
      <c r="G53" s="3">
        <v>-12.179046612404164</v>
      </c>
      <c r="H53" s="3">
        <v>-1.8527582822990247</v>
      </c>
    </row>
    <row r="54" spans="1:8" x14ac:dyDescent="0.3">
      <c r="A54" s="2">
        <v>2022</v>
      </c>
      <c r="B54" s="3">
        <v>5</v>
      </c>
      <c r="C54" s="3">
        <v>142.40644840792484</v>
      </c>
      <c r="D54" s="3">
        <v>0.20124286661723545</v>
      </c>
      <c r="E54" s="3">
        <v>2.0480142833859825</v>
      </c>
      <c r="F54" s="3">
        <v>88.04452161862713</v>
      </c>
      <c r="G54" s="3">
        <v>-12.473268858482413</v>
      </c>
      <c r="H54" s="3">
        <v>-1.8135615216168579</v>
      </c>
    </row>
    <row r="55" spans="1:8" x14ac:dyDescent="0.3">
      <c r="A55" s="2">
        <v>2022</v>
      </c>
      <c r="B55" s="3">
        <v>6</v>
      </c>
      <c r="C55" s="3">
        <v>140.6165171740941</v>
      </c>
      <c r="D55" s="3">
        <v>13.321873575049892</v>
      </c>
      <c r="E55" s="3">
        <v>2.2559590564287975</v>
      </c>
      <c r="F55" s="3">
        <v>86.630696610713301</v>
      </c>
      <c r="G55" s="3">
        <v>-9.9490937871361638</v>
      </c>
      <c r="H55" s="3">
        <v>-1.7497896898445071</v>
      </c>
    </row>
    <row r="56" spans="1:8" x14ac:dyDescent="0.3">
      <c r="A56" s="2">
        <v>2022</v>
      </c>
      <c r="B56" s="3">
        <v>7</v>
      </c>
      <c r="C56" s="3">
        <v>131.96174589939039</v>
      </c>
      <c r="D56" s="3">
        <v>-0.28395674121705383</v>
      </c>
      <c r="E56" s="3">
        <v>0.78220252040962668</v>
      </c>
      <c r="F56" s="3">
        <v>83.004711402239366</v>
      </c>
      <c r="G56" s="3">
        <v>-11.32387120626683</v>
      </c>
      <c r="H56" s="3">
        <v>-1.6634836082509241</v>
      </c>
    </row>
    <row r="57" spans="1:8" x14ac:dyDescent="0.3">
      <c r="A57" s="2">
        <v>2022</v>
      </c>
      <c r="B57" s="3">
        <v>8</v>
      </c>
      <c r="C57" s="3">
        <v>86.496650350287723</v>
      </c>
      <c r="D57" s="3">
        <v>-8.5221441303933574</v>
      </c>
      <c r="E57" s="3">
        <v>0.97142631008695657</v>
      </c>
      <c r="F57" s="3">
        <v>78.564388570497684</v>
      </c>
      <c r="G57" s="3">
        <v>-6.5107220802085237</v>
      </c>
      <c r="H57" s="3">
        <v>-1.5572534942229279</v>
      </c>
    </row>
    <row r="58" spans="1:8" x14ac:dyDescent="0.3">
      <c r="A58" s="2">
        <v>2022</v>
      </c>
      <c r="B58" s="3">
        <v>9</v>
      </c>
      <c r="C58" s="3">
        <v>129.6428717904796</v>
      </c>
      <c r="D58" s="3">
        <v>-9.5268512456317467</v>
      </c>
      <c r="E58" s="3">
        <v>2.2380141996110199</v>
      </c>
      <c r="F58" s="3">
        <v>83.229716925892376</v>
      </c>
      <c r="G58" s="3">
        <v>-8.9733825877118534</v>
      </c>
      <c r="H58" s="3">
        <v>-1.4343804253971997</v>
      </c>
    </row>
    <row r="59" spans="1:8" x14ac:dyDescent="0.3">
      <c r="A59" s="2">
        <v>2022</v>
      </c>
      <c r="B59" s="3">
        <v>10</v>
      </c>
      <c r="C59" s="3">
        <v>99.858163140740743</v>
      </c>
      <c r="D59" s="3">
        <v>-4.0873764276739877</v>
      </c>
      <c r="E59" s="3">
        <v>3.7131296043925461</v>
      </c>
      <c r="F59" s="3">
        <v>82.830336712451341</v>
      </c>
      <c r="G59" s="3">
        <v>-6.6917015040651648</v>
      </c>
      <c r="H59" s="3">
        <v>-1.2984894702844476</v>
      </c>
    </row>
    <row r="60" spans="1:8" x14ac:dyDescent="0.3">
      <c r="A60" s="2">
        <v>2022</v>
      </c>
      <c r="B60" s="3">
        <v>11</v>
      </c>
      <c r="C60" s="3">
        <v>97.684251664128368</v>
      </c>
      <c r="D60" s="3">
        <v>-3.6267054543722708</v>
      </c>
      <c r="E60" s="3">
        <v>4.5724011582821102</v>
      </c>
      <c r="F60" s="3">
        <v>91.85760881765087</v>
      </c>
      <c r="G60" s="3">
        <v>4.0464557075277696</v>
      </c>
      <c r="H60" s="3">
        <v>-1.1537292392122069</v>
      </c>
    </row>
    <row r="61" spans="1:8" x14ac:dyDescent="0.3">
      <c r="A61" s="2">
        <v>2022</v>
      </c>
      <c r="B61" s="3">
        <v>12</v>
      </c>
      <c r="C61" s="3">
        <v>94.759791432487134</v>
      </c>
      <c r="D61" s="3">
        <v>-19.88281133008779</v>
      </c>
      <c r="E61" s="3">
        <v>5.4137380898299066</v>
      </c>
      <c r="F61" s="3">
        <v>87.681898509549299</v>
      </c>
      <c r="G61" s="3">
        <v>3.8891806017027335</v>
      </c>
      <c r="H61" s="3">
        <v>-1.0046228711214702</v>
      </c>
    </row>
    <row r="62" spans="1:8" x14ac:dyDescent="0.3">
      <c r="A62" s="2">
        <v>2023</v>
      </c>
      <c r="B62" s="3">
        <v>1</v>
      </c>
      <c r="C62" s="3">
        <v>126.02206215233001</v>
      </c>
      <c r="D62" s="3">
        <v>37.188082614382068</v>
      </c>
      <c r="E62" s="3">
        <v>8.3871639593204961</v>
      </c>
      <c r="F62" s="3">
        <v>88.657849784636724</v>
      </c>
      <c r="G62" s="3">
        <v>7.9941524723176798</v>
      </c>
      <c r="H62" s="3">
        <v>-0.85533238099859499</v>
      </c>
    </row>
    <row r="63" spans="1:8" x14ac:dyDescent="0.3">
      <c r="A63" s="2">
        <v>2023</v>
      </c>
      <c r="B63" s="3">
        <v>2</v>
      </c>
      <c r="C63" s="3">
        <v>109.23172211487714</v>
      </c>
      <c r="D63" s="3">
        <v>-12.090397565523844</v>
      </c>
      <c r="E63" s="3">
        <v>4.1590421184944173</v>
      </c>
      <c r="F63" s="3">
        <v>93.016492072595312</v>
      </c>
      <c r="G63" s="3">
        <v>5.4590643264938734</v>
      </c>
      <c r="H63" s="3">
        <v>-0.70967993636654814</v>
      </c>
    </row>
    <row r="64" spans="1:8" x14ac:dyDescent="0.3">
      <c r="A64" s="2">
        <v>2023</v>
      </c>
      <c r="B64" s="3">
        <v>3</v>
      </c>
      <c r="C64" s="3">
        <v>131.10403570996348</v>
      </c>
      <c r="D64" s="3">
        <v>8.586557490934851</v>
      </c>
      <c r="E64" s="3">
        <v>5.9968581467951987</v>
      </c>
      <c r="F64" s="3">
        <v>99.596526498589569</v>
      </c>
      <c r="G64" s="3">
        <v>11.898548922727642</v>
      </c>
      <c r="H64" s="3">
        <v>-0.57087315718903853</v>
      </c>
    </row>
    <row r="65" spans="1:8" x14ac:dyDescent="0.3">
      <c r="A65" s="2">
        <v>2023</v>
      </c>
      <c r="B65" s="3">
        <v>4</v>
      </c>
      <c r="C65" s="3">
        <v>130.77632829649164</v>
      </c>
      <c r="D65" s="3">
        <v>-2.9694883709442195</v>
      </c>
      <c r="E65" s="3">
        <v>5.2606396084584075</v>
      </c>
      <c r="F65" s="3">
        <v>87.023491094541711</v>
      </c>
      <c r="G65" s="3">
        <v>3.9814010138273659</v>
      </c>
      <c r="H65" s="3">
        <v>-0.44169127841152084</v>
      </c>
    </row>
    <row r="66" spans="1:8" x14ac:dyDescent="0.3">
      <c r="A66" s="2">
        <v>2023</v>
      </c>
      <c r="B66" s="3">
        <v>5</v>
      </c>
      <c r="C66" s="3">
        <v>130.99949855621287</v>
      </c>
      <c r="D66" s="3">
        <v>-11.406949851711971</v>
      </c>
      <c r="E66" s="3">
        <v>5.9428208177753419</v>
      </c>
      <c r="F66" s="3">
        <v>91.602923011814752</v>
      </c>
      <c r="G66" s="3">
        <v>3.5584013931876228</v>
      </c>
      <c r="H66" s="3">
        <v>-0.32404760289056656</v>
      </c>
    </row>
    <row r="67" spans="1:8" x14ac:dyDescent="0.3">
      <c r="A67" s="2">
        <v>2023</v>
      </c>
      <c r="B67" s="3">
        <v>6</v>
      </c>
      <c r="C67" s="3">
        <v>156.77047819181314</v>
      </c>
      <c r="D67" s="3">
        <v>16.153961017719041</v>
      </c>
      <c r="E67" s="3">
        <v>7.7279579277939359</v>
      </c>
      <c r="F67" s="3">
        <v>93.518466667922482</v>
      </c>
      <c r="G67" s="3">
        <v>6.8877700572091811</v>
      </c>
      <c r="H67" s="3">
        <v>-0.21954827429578622</v>
      </c>
    </row>
    <row r="68" spans="1:8" x14ac:dyDescent="0.3">
      <c r="A68" s="2">
        <v>2023</v>
      </c>
      <c r="B68" s="3">
        <v>7</v>
      </c>
      <c r="C68" s="3">
        <v>138.832102102401</v>
      </c>
      <c r="D68" s="3">
        <v>6.8703562030106013</v>
      </c>
      <c r="E68" s="3">
        <v>6.0346960721288685</v>
      </c>
      <c r="F68" s="3">
        <v>86.130664247901876</v>
      </c>
      <c r="G68" s="3">
        <v>3.1259528456625105</v>
      </c>
      <c r="H68" s="3">
        <v>-0.12952982178317374</v>
      </c>
    </row>
    <row r="69" spans="1:8" x14ac:dyDescent="0.3">
      <c r="A69" s="2">
        <v>2023</v>
      </c>
      <c r="B69" s="3">
        <v>8</v>
      </c>
      <c r="C69" s="3">
        <v>103.18008913126604</v>
      </c>
      <c r="D69" s="3">
        <v>16.683438780978321</v>
      </c>
      <c r="E69" s="3">
        <v>5.3952233938122758</v>
      </c>
      <c r="F69" s="3">
        <v>85.510407747159917</v>
      </c>
      <c r="G69" s="3">
        <v>6.946019176662233</v>
      </c>
      <c r="H69" s="3">
        <v>-5.4835210735701842E-2</v>
      </c>
    </row>
    <row r="70" spans="1:8" x14ac:dyDescent="0.3">
      <c r="A70" s="2">
        <v>2023</v>
      </c>
      <c r="B70" s="3">
        <v>9</v>
      </c>
      <c r="C70" s="3">
        <v>101.73846958831064</v>
      </c>
      <c r="D70" s="3">
        <v>-27.904402202168967</v>
      </c>
      <c r="E70" s="3">
        <v>3.4151648859978412</v>
      </c>
      <c r="F70" s="3">
        <v>88.98709383705706</v>
      </c>
      <c r="G70" s="3">
        <v>5.757376911164684</v>
      </c>
      <c r="H70" s="3">
        <v>3.9186686488960117E-3</v>
      </c>
    </row>
    <row r="71" spans="1:8" x14ac:dyDescent="0.3">
      <c r="A71" s="2">
        <v>2023</v>
      </c>
      <c r="B71" s="3">
        <v>10</v>
      </c>
      <c r="C71" s="3">
        <v>113.08618156308941</v>
      </c>
      <c r="D71" s="3">
        <v>13.228018422348669</v>
      </c>
      <c r="E71" s="3">
        <v>7.0303636591277821</v>
      </c>
      <c r="F71" s="3">
        <v>86.272264301080398</v>
      </c>
      <c r="G71" s="3">
        <v>3.4419275886290563</v>
      </c>
      <c r="H71" s="3">
        <v>4.660109661645568E-2</v>
      </c>
    </row>
    <row r="72" spans="1:8" x14ac:dyDescent="0.3">
      <c r="A72" s="2">
        <v>2023</v>
      </c>
      <c r="B72" s="3">
        <v>11</v>
      </c>
      <c r="C72" s="3">
        <v>128.31558579069784</v>
      </c>
      <c r="D72" s="3">
        <v>30.63133412656947</v>
      </c>
      <c r="E72" s="3">
        <v>5.52874704629206</v>
      </c>
      <c r="F72" s="3">
        <v>93.496927099174513</v>
      </c>
      <c r="G72" s="3">
        <v>1.6393182815236429</v>
      </c>
      <c r="H72" s="3">
        <v>7.3480899124098831E-2</v>
      </c>
    </row>
    <row r="73" spans="1:8" x14ac:dyDescent="0.3">
      <c r="A73" s="2">
        <v>2023</v>
      </c>
      <c r="B73" s="3">
        <v>12</v>
      </c>
      <c r="C73" s="3">
        <v>106.43294244071504</v>
      </c>
      <c r="D73" s="3">
        <v>11.673151008227904</v>
      </c>
      <c r="E73" s="3">
        <v>1.6441472643273836</v>
      </c>
      <c r="F73" s="3">
        <v>89.484097777044241</v>
      </c>
      <c r="G73" s="3">
        <v>1.8021992674949416</v>
      </c>
      <c r="H73" s="3">
        <v>8.5062688690892466E-2</v>
      </c>
    </row>
    <row r="74" spans="1:8" x14ac:dyDescent="0.3">
      <c r="A74" s="2">
        <v>2024</v>
      </c>
      <c r="B74" s="3">
        <v>1</v>
      </c>
      <c r="C74" s="3">
        <v>115.69199274365116</v>
      </c>
      <c r="D74" s="3">
        <v>-10.330069408678852</v>
      </c>
      <c r="E74" s="3">
        <v>-7.3345690668433106E-2</v>
      </c>
      <c r="F74" s="3">
        <v>88.991914010069536</v>
      </c>
      <c r="G74" s="3">
        <v>0.33406422543281167</v>
      </c>
      <c r="H74" s="3">
        <v>8.1959816543014652E-2</v>
      </c>
    </row>
    <row r="75" spans="1:8" x14ac:dyDescent="0.3">
      <c r="A75" s="2">
        <v>2024</v>
      </c>
      <c r="B75" s="3">
        <v>2</v>
      </c>
      <c r="C75" s="3">
        <v>121.35635460905058</v>
      </c>
      <c r="D75" s="3">
        <v>12.12463249417344</v>
      </c>
      <c r="E75" s="3">
        <v>0.91446062957352403</v>
      </c>
      <c r="F75" s="3">
        <v>93.125431411710196</v>
      </c>
      <c r="G75" s="3">
        <v>0.10893933911488318</v>
      </c>
      <c r="H75" s="3">
        <v>6.4904879502393736E-2</v>
      </c>
    </row>
    <row r="76" spans="1:8" x14ac:dyDescent="0.3">
      <c r="A76" s="2">
        <v>2024</v>
      </c>
      <c r="B76" s="3">
        <v>3</v>
      </c>
      <c r="C76" s="3">
        <v>142.4099302570711</v>
      </c>
      <c r="D76" s="3">
        <v>11.305894547107613</v>
      </c>
      <c r="E76" s="3">
        <v>-0.95738596064930725</v>
      </c>
      <c r="F76" s="3">
        <v>93.947297806745965</v>
      </c>
      <c r="G76" s="3">
        <v>-5.6492286918436037</v>
      </c>
      <c r="H76" s="3">
        <v>3.4647981641575419E-2</v>
      </c>
    </row>
    <row r="77" spans="1:8" x14ac:dyDescent="0.3">
      <c r="A77" s="2">
        <v>2024</v>
      </c>
      <c r="B77" s="3">
        <v>4</v>
      </c>
      <c r="C77" s="3">
        <v>134.42664066526785</v>
      </c>
      <c r="D77" s="3">
        <v>3.6503123687762127</v>
      </c>
      <c r="E77" s="3">
        <v>-2.8653974257400328</v>
      </c>
      <c r="F77" s="3">
        <v>87.95287893200306</v>
      </c>
      <c r="G77" s="3">
        <v>0.92938783746134845</v>
      </c>
      <c r="H77" s="3">
        <v>-8.0577150183103827E-3</v>
      </c>
    </row>
    <row r="78" spans="1:8" x14ac:dyDescent="0.3">
      <c r="A78" s="2">
        <v>2024</v>
      </c>
      <c r="B78" s="3">
        <v>5</v>
      </c>
      <c r="C78" s="3">
        <v>117.51112090598919</v>
      </c>
      <c r="D78" s="3">
        <v>-13.488377650223683</v>
      </c>
      <c r="E78" s="3">
        <v>-3.9231626247746871</v>
      </c>
      <c r="F78" s="3">
        <v>93.663365958866493</v>
      </c>
      <c r="G78" s="3">
        <v>2.0604429470517402</v>
      </c>
      <c r="H78" s="3">
        <v>-6.2853762114014666E-2</v>
      </c>
    </row>
    <row r="79" spans="1:8" x14ac:dyDescent="0.3">
      <c r="A79" s="2">
        <v>2024</v>
      </c>
      <c r="B79" s="3">
        <v>6</v>
      </c>
      <c r="C79" s="3">
        <v>192.6435742256661</v>
      </c>
      <c r="D79" s="3">
        <v>35.87309603385296</v>
      </c>
      <c r="E79" s="3">
        <v>-2.8491314030045674</v>
      </c>
      <c r="F79" s="3">
        <v>97.883394607140545</v>
      </c>
      <c r="G79" s="3">
        <v>4.3649279392180631</v>
      </c>
      <c r="H79" s="3">
        <v>-0.12931661089669957</v>
      </c>
    </row>
    <row r="80" spans="1:8" x14ac:dyDescent="0.3">
      <c r="A80" s="2">
        <v>2024</v>
      </c>
      <c r="B80" s="3">
        <v>7</v>
      </c>
      <c r="C80" s="3">
        <v>129.53542733749705</v>
      </c>
      <c r="D80" s="3">
        <v>-9.2966747649039405</v>
      </c>
      <c r="E80" s="3">
        <v>-8.0875189458520804</v>
      </c>
      <c r="F80" s="3">
        <v>91.191110852606528</v>
      </c>
      <c r="G80" s="3">
        <v>5.0604466047046515</v>
      </c>
      <c r="H80" s="3">
        <v>-0.20687526145716853</v>
      </c>
    </row>
    <row r="81" spans="1:8" x14ac:dyDescent="0.3">
      <c r="A81" s="2">
        <v>2024</v>
      </c>
      <c r="B81" s="3">
        <v>8</v>
      </c>
      <c r="C81" s="3">
        <v>109.24649146165571</v>
      </c>
      <c r="D81" s="3">
        <v>6.0664023303896641</v>
      </c>
      <c r="E81" s="3">
        <v>-7.8319450534771287</v>
      </c>
      <c r="F81" s="3">
        <v>84.924563695995829</v>
      </c>
      <c r="G81" s="3">
        <v>-0.58584405116408789</v>
      </c>
      <c r="H81" s="3">
        <v>-0.29464661357024474</v>
      </c>
    </row>
    <row r="82" spans="1:8" x14ac:dyDescent="0.3">
      <c r="A82" s="2">
        <v>2024</v>
      </c>
      <c r="B82" s="3">
        <v>9</v>
      </c>
      <c r="C82" s="3">
        <v>142.9664142289258</v>
      </c>
      <c r="D82" s="3">
        <v>41.227944640615164</v>
      </c>
      <c r="E82" s="3">
        <v>-9.5354592743580202</v>
      </c>
      <c r="F82" s="3">
        <v>90.566014228960739</v>
      </c>
      <c r="G82" s="3">
        <v>1.5789203919036794</v>
      </c>
      <c r="H82" s="3">
        <v>-0.39138178077004582</v>
      </c>
    </row>
    <row r="83" spans="1:8" x14ac:dyDescent="0.3">
      <c r="A83" s="2">
        <v>2024</v>
      </c>
      <c r="B83" s="3">
        <v>10</v>
      </c>
      <c r="C83" s="3">
        <v>121.35749994362155</v>
      </c>
      <c r="D83" s="3">
        <v>8.2713183805321364</v>
      </c>
      <c r="E83" s="3">
        <v>-15.869731836765943</v>
      </c>
      <c r="F83" s="3">
        <v>89.97239587612178</v>
      </c>
      <c r="G83" s="3">
        <v>3.7001315750413823</v>
      </c>
      <c r="H83" s="3">
        <v>-0.49585209863496676</v>
      </c>
    </row>
    <row r="84" spans="1:8" x14ac:dyDescent="0.3">
      <c r="A84" s="2">
        <v>2024</v>
      </c>
      <c r="B84" s="3">
        <v>11</v>
      </c>
      <c r="C84" s="3">
        <v>114.76024069904769</v>
      </c>
      <c r="D84" s="3">
        <v>-13.555345091650153</v>
      </c>
      <c r="E84" s="3">
        <v>-18.319406169910799</v>
      </c>
      <c r="F84" s="3">
        <v>86.414903120183581</v>
      </c>
      <c r="G84" s="3">
        <v>-7.0820239789909323</v>
      </c>
      <c r="H84" s="3">
        <v>-0.60669207620363352</v>
      </c>
    </row>
    <row r="85" spans="1:8" x14ac:dyDescent="0.3">
      <c r="A85" s="2">
        <v>2024</v>
      </c>
      <c r="B85" s="3">
        <v>12</v>
      </c>
      <c r="C85" s="3">
        <v>70.234886385682685</v>
      </c>
      <c r="D85" s="3">
        <v>-36.198056055032353</v>
      </c>
      <c r="E85" s="3">
        <v>-18.055532071571839</v>
      </c>
      <c r="F85" s="3">
        <v>87.827892825339433</v>
      </c>
      <c r="G85" s="3">
        <v>-1.6562049517048081</v>
      </c>
      <c r="H85" s="3">
        <v>-0.72224483475955559</v>
      </c>
    </row>
    <row r="86" spans="1:8" x14ac:dyDescent="0.3">
      <c r="A86" s="2">
        <v>2025</v>
      </c>
      <c r="B86" s="3">
        <v>1</v>
      </c>
      <c r="C86" s="3">
        <v>125.0859451717306</v>
      </c>
      <c r="D86" s="3">
        <v>9.3939524280794444</v>
      </c>
      <c r="E86" s="3">
        <v>-14.795160764778817</v>
      </c>
      <c r="F86" s="3">
        <v>82.784622890117504</v>
      </c>
      <c r="G86" s="3">
        <v>-6.207291119952032</v>
      </c>
      <c r="H86" s="3">
        <v>-0.84130317141282496</v>
      </c>
    </row>
    <row r="87" spans="1:8" x14ac:dyDescent="0.3">
      <c r="A87" s="2">
        <v>2025</v>
      </c>
      <c r="B87" s="3">
        <v>2</v>
      </c>
      <c r="C87" s="3">
        <v>66.527049875779838</v>
      </c>
      <c r="D87" s="3">
        <v>-54.829304733270746</v>
      </c>
      <c r="E87" s="3">
        <v>-17.155362884697265</v>
      </c>
      <c r="F87" s="3">
        <v>90.324622515416337</v>
      </c>
      <c r="G87" s="3">
        <v>-2.8008088962938587</v>
      </c>
      <c r="H87" s="3">
        <v>-0.962724741614988</v>
      </c>
    </row>
    <row r="88" spans="1:8" x14ac:dyDescent="0.3">
      <c r="A88" s="2">
        <v>2025</v>
      </c>
      <c r="B88" s="3">
        <v>3</v>
      </c>
      <c r="C88" s="3">
        <v>100.99118416641413</v>
      </c>
      <c r="D88" s="3">
        <v>-41.418746090656967</v>
      </c>
      <c r="E88" s="3">
        <v>-11.322372296779609</v>
      </c>
      <c r="F88" s="3">
        <v>86.157674599651841</v>
      </c>
      <c r="G88" s="3">
        <v>-7.7896232070941238</v>
      </c>
      <c r="H88" s="3">
        <v>-1.0857398388695729</v>
      </c>
    </row>
    <row r="89" spans="1:8" x14ac:dyDescent="0.3">
      <c r="A89" s="2">
        <v>2025</v>
      </c>
      <c r="B89" s="3">
        <v>4</v>
      </c>
      <c r="C89" s="3">
        <v>133.8829688947223</v>
      </c>
      <c r="D89" s="3">
        <v>-0.54367177054555782</v>
      </c>
      <c r="E89" s="3">
        <v>-6.8015137818654336</v>
      </c>
      <c r="F89" s="3">
        <v>89.332009323581957</v>
      </c>
      <c r="G89" s="3">
        <v>1.3791303915788973</v>
      </c>
      <c r="H89" s="3">
        <v>-1.2097064014130718</v>
      </c>
    </row>
    <row r="90" spans="1:8" x14ac:dyDescent="0.3">
      <c r="A90" s="2">
        <v>2025</v>
      </c>
      <c r="B90" s="3">
        <v>5</v>
      </c>
      <c r="C90" s="3">
        <v>130.32076100513916</v>
      </c>
      <c r="D90" s="3">
        <v>12.809640099149973</v>
      </c>
      <c r="E90" s="3">
        <v>-7.236610341294198</v>
      </c>
      <c r="F90" s="3">
        <v>93.226926539429542</v>
      </c>
      <c r="G90" s="3">
        <v>-0.43643941943695097</v>
      </c>
      <c r="H90" s="3">
        <v>-1.3344479149381034</v>
      </c>
    </row>
    <row r="91" spans="1:8" x14ac:dyDescent="0.3">
      <c r="A91" s="2">
        <v>2025</v>
      </c>
      <c r="B91" s="3">
        <v>6</v>
      </c>
      <c r="C91" s="3">
        <v>115.10263043884672</v>
      </c>
      <c r="D91" s="3">
        <v>-77.540943786819383</v>
      </c>
      <c r="E91" s="3">
        <v>-9.3943023646750277</v>
      </c>
      <c r="F91" s="3">
        <v>90.395135207549671</v>
      </c>
      <c r="G91" s="3">
        <v>-7.4882593995908735</v>
      </c>
      <c r="H91" s="3">
        <v>-1.4596080848044397</v>
      </c>
    </row>
    <row r="92" spans="1:8" x14ac:dyDescent="0.3">
      <c r="B92" s="3"/>
      <c r="C92" s="3"/>
      <c r="D92" s="3"/>
      <c r="E92" s="3"/>
      <c r="F92" s="3"/>
      <c r="G92" s="3"/>
      <c r="H92" s="3"/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  <row r="98" spans="2:8" x14ac:dyDescent="0.3">
      <c r="C98" s="4"/>
      <c r="D98" s="3"/>
      <c r="E98" s="3"/>
      <c r="F98" s="4"/>
      <c r="G98" s="3"/>
      <c r="H98" s="3"/>
    </row>
  </sheetData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73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5" width="20.7109375" style="2" bestFit="1" customWidth="1"/>
    <col min="6" max="6" width="11.28515625" style="2" bestFit="1" customWidth="1"/>
    <col min="7" max="8" width="18.4257812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188</v>
      </c>
      <c r="D1" s="2" t="s">
        <v>189</v>
      </c>
      <c r="E1" s="2" t="s">
        <v>190</v>
      </c>
      <c r="F1" s="2" t="s">
        <v>191</v>
      </c>
      <c r="G1" s="2" t="s">
        <v>192</v>
      </c>
      <c r="H1" s="2" t="s">
        <v>193</v>
      </c>
    </row>
    <row r="2" spans="1:8" x14ac:dyDescent="0.3">
      <c r="A2" s="2">
        <v>2018</v>
      </c>
      <c r="B2" s="3">
        <v>1</v>
      </c>
      <c r="C2" s="3">
        <f>[1]Ipc!C206</f>
        <v>95.161000000000001</v>
      </c>
      <c r="D2" s="3">
        <f>[1]Ipc!D206</f>
        <v>0.4</v>
      </c>
      <c r="E2" s="3">
        <f>[1]Ipc!E206</f>
        <v>1.0402589407082359</v>
      </c>
      <c r="F2" s="3">
        <f>[1]Ipc!F206</f>
        <v>95.153000000000006</v>
      </c>
      <c r="G2" s="3">
        <f>[1]Ipc!G206</f>
        <v>0.6</v>
      </c>
      <c r="H2" s="3">
        <f>[1]Ipc!H206</f>
        <v>1.0740736835735143</v>
      </c>
    </row>
    <row r="3" spans="1:8" x14ac:dyDescent="0.3">
      <c r="A3" s="2">
        <f>A2</f>
        <v>2018</v>
      </c>
      <c r="B3" s="3">
        <v>2</v>
      </c>
      <c r="C3" s="3">
        <f>[1]Ipc!C207</f>
        <v>95.134</v>
      </c>
      <c r="D3" s="3">
        <f>[1]Ipc!D207</f>
        <v>1</v>
      </c>
      <c r="E3" s="3">
        <f>[1]Ipc!E207</f>
        <v>1.0519287519358622</v>
      </c>
      <c r="F3" s="3">
        <f>[1]Ipc!F207</f>
        <v>95.281000000000006</v>
      </c>
      <c r="G3" s="3">
        <f>[1]Ipc!G207</f>
        <v>1.1000000000000001</v>
      </c>
      <c r="H3" s="3">
        <f>[1]Ipc!H207</f>
        <v>1.0807373681254968</v>
      </c>
    </row>
    <row r="4" spans="1:8" x14ac:dyDescent="0.3">
      <c r="A4" s="2">
        <f t="shared" ref="A4:A13" si="0">A3</f>
        <v>2018</v>
      </c>
      <c r="B4" s="3">
        <v>3</v>
      </c>
      <c r="C4" s="3">
        <f>[1]Ipc!C208</f>
        <v>95.153999999999996</v>
      </c>
      <c r="D4" s="3">
        <f>[1]Ipc!D208</f>
        <v>1.2</v>
      </c>
      <c r="E4" s="3">
        <f>[1]Ipc!E208</f>
        <v>1.0599944883700048</v>
      </c>
      <c r="F4" s="3">
        <f>[1]Ipc!F208</f>
        <v>95.393000000000001</v>
      </c>
      <c r="G4" s="3">
        <f>[1]Ipc!G208</f>
        <v>1.2</v>
      </c>
      <c r="H4" s="3">
        <f>[1]Ipc!H208</f>
        <v>1.084090908471331</v>
      </c>
    </row>
    <row r="5" spans="1:8" x14ac:dyDescent="0.3">
      <c r="A5" s="2">
        <f t="shared" si="0"/>
        <v>2018</v>
      </c>
      <c r="B5" s="3">
        <v>4</v>
      </c>
      <c r="C5" s="3">
        <f>[1]Ipc!C209</f>
        <v>95.784000000000006</v>
      </c>
      <c r="D5" s="3">
        <f>[1]Ipc!D209</f>
        <v>1.2</v>
      </c>
      <c r="E5" s="3">
        <f>[1]Ipc!E209</f>
        <v>1.0645998391352616</v>
      </c>
      <c r="F5" s="3">
        <f>[1]Ipc!F209</f>
        <v>96.180999999999997</v>
      </c>
      <c r="G5" s="3">
        <f>[1]Ipc!G209</f>
        <v>1.1000000000000001</v>
      </c>
      <c r="H5" s="3">
        <f>[1]Ipc!H209</f>
        <v>1.0842944072953851</v>
      </c>
    </row>
    <row r="6" spans="1:8" x14ac:dyDescent="0.3">
      <c r="A6" s="2">
        <f t="shared" si="0"/>
        <v>2018</v>
      </c>
      <c r="B6" s="3">
        <v>5</v>
      </c>
      <c r="C6" s="3">
        <f>[1]Ipc!C210</f>
        <v>96.736000000000004</v>
      </c>
      <c r="D6" s="3">
        <f>[1]Ipc!D210</f>
        <v>2.1</v>
      </c>
      <c r="E6" s="3">
        <f>[1]Ipc!E210</f>
        <v>1.0658982159612049</v>
      </c>
      <c r="F6" s="3">
        <f>[1]Ipc!F210</f>
        <v>97.048000000000002</v>
      </c>
      <c r="G6" s="3">
        <f>[1]Ipc!G210</f>
        <v>2.1</v>
      </c>
      <c r="H6" s="3">
        <f>[1]Ipc!H210</f>
        <v>1.0815160165244944</v>
      </c>
    </row>
    <row r="7" spans="1:8" x14ac:dyDescent="0.3">
      <c r="A7" s="2">
        <f t="shared" si="0"/>
        <v>2018</v>
      </c>
      <c r="B7" s="3">
        <v>6</v>
      </c>
      <c r="C7" s="3">
        <f>[1]Ipc!C211</f>
        <v>97.102999999999994</v>
      </c>
      <c r="D7" s="3">
        <f>[1]Ipc!D211</f>
        <v>2.5</v>
      </c>
      <c r="E7" s="3">
        <f>[1]Ipc!E211</f>
        <v>1.0640524333663566</v>
      </c>
      <c r="F7" s="3">
        <f>[1]Ipc!F211</f>
        <v>97.302000000000007</v>
      </c>
      <c r="G7" s="3">
        <f>[1]Ipc!G211</f>
        <v>2.2999999999999998</v>
      </c>
      <c r="H7" s="3">
        <f>[1]Ipc!H211</f>
        <v>1.0759249787516547</v>
      </c>
    </row>
    <row r="8" spans="1:8" x14ac:dyDescent="0.3">
      <c r="A8" s="2">
        <f t="shared" si="0"/>
        <v>2018</v>
      </c>
      <c r="B8" s="3">
        <v>7</v>
      </c>
      <c r="C8" s="3">
        <f>[1]Ipc!C212</f>
        <v>96.634</v>
      </c>
      <c r="D8" s="3">
        <f>[1]Ipc!D212</f>
        <v>2.5</v>
      </c>
      <c r="E8" s="3">
        <f>[1]Ipc!E212</f>
        <v>1.0592971184931299</v>
      </c>
      <c r="F8" s="3">
        <f>[1]Ipc!F212</f>
        <v>96.603999999999999</v>
      </c>
      <c r="G8" s="3">
        <f>[1]Ipc!G212</f>
        <v>2.2000000000000002</v>
      </c>
      <c r="H8" s="3">
        <f>[1]Ipc!H212</f>
        <v>1.06776126462427</v>
      </c>
    </row>
    <row r="9" spans="1:8" x14ac:dyDescent="0.3">
      <c r="A9" s="2">
        <f t="shared" si="0"/>
        <v>2018</v>
      </c>
      <c r="B9" s="3">
        <v>8</v>
      </c>
      <c r="C9" s="3">
        <f>[1]Ipc!C213</f>
        <v>96.968000000000004</v>
      </c>
      <c r="D9" s="3">
        <f>[1]Ipc!D213</f>
        <v>2.4</v>
      </c>
      <c r="E9" s="3">
        <f>[1]Ipc!E213</f>
        <v>1.0519666170649542</v>
      </c>
      <c r="F9" s="3">
        <f>[1]Ipc!F213</f>
        <v>96.742000000000004</v>
      </c>
      <c r="G9" s="3">
        <f>[1]Ipc!G213</f>
        <v>2.2000000000000002</v>
      </c>
      <c r="H9" s="3">
        <f>[1]Ipc!H213</f>
        <v>1.0573498499995531</v>
      </c>
    </row>
    <row r="10" spans="1:8" x14ac:dyDescent="0.3">
      <c r="A10" s="2">
        <f t="shared" si="0"/>
        <v>2018</v>
      </c>
      <c r="B10" s="3">
        <v>9</v>
      </c>
      <c r="C10" s="3">
        <f>[1]Ipc!C214</f>
        <v>96.741</v>
      </c>
      <c r="D10" s="3">
        <f>[1]Ipc!D214</f>
        <v>2.2000000000000002</v>
      </c>
      <c r="E10" s="3">
        <f>[1]Ipc!E214</f>
        <v>1.0424953236164747</v>
      </c>
      <c r="F10" s="3">
        <f>[1]Ipc!F214</f>
        <v>96.977999999999994</v>
      </c>
      <c r="G10" s="3">
        <f>[1]Ipc!G214</f>
        <v>2.2999999999999998</v>
      </c>
      <c r="H10" s="3">
        <f>[1]Ipc!H214</f>
        <v>1.0450943384246731</v>
      </c>
    </row>
    <row r="11" spans="1:8" x14ac:dyDescent="0.3">
      <c r="A11" s="2">
        <f t="shared" si="0"/>
        <v>2018</v>
      </c>
      <c r="B11" s="3">
        <v>10</v>
      </c>
      <c r="C11" s="3">
        <f>[1]Ipc!C215</f>
        <v>97.724000000000004</v>
      </c>
      <c r="D11" s="3">
        <f>[1]Ipc!D215</f>
        <v>2.4</v>
      </c>
      <c r="E11" s="3">
        <f>[1]Ipc!E215</f>
        <v>1.0314112461117069</v>
      </c>
      <c r="F11" s="3">
        <f>[1]Ipc!F215</f>
        <v>97.875</v>
      </c>
      <c r="G11" s="3">
        <f>[1]Ipc!G215</f>
        <v>2.2999999999999998</v>
      </c>
      <c r="H11" s="3">
        <f>[1]Ipc!H215</f>
        <v>1.0314776841516606</v>
      </c>
    </row>
    <row r="12" spans="1:8" x14ac:dyDescent="0.3">
      <c r="A12" s="2">
        <f t="shared" si="0"/>
        <v>2018</v>
      </c>
      <c r="B12" s="3">
        <v>11</v>
      </c>
      <c r="C12" s="3">
        <f>[1]Ipc!C216</f>
        <v>97.823999999999998</v>
      </c>
      <c r="D12" s="3">
        <f>[1]Ipc!D216</f>
        <v>1.6</v>
      </c>
      <c r="E12" s="3">
        <f>[1]Ipc!E216</f>
        <v>1.0193227747838598</v>
      </c>
      <c r="F12" s="3">
        <f>[1]Ipc!F216</f>
        <v>97.768000000000001</v>
      </c>
      <c r="G12" s="3">
        <f>[1]Ipc!G216</f>
        <v>1.7</v>
      </c>
      <c r="H12" s="3">
        <f>[1]Ipc!H216</f>
        <v>1.0170699876590445</v>
      </c>
    </row>
    <row r="13" spans="1:8" x14ac:dyDescent="0.3">
      <c r="A13" s="2">
        <f t="shared" si="0"/>
        <v>2018</v>
      </c>
      <c r="B13" s="3">
        <v>12</v>
      </c>
      <c r="C13" s="3">
        <f>[1]Ipc!C217</f>
        <v>97.275999999999996</v>
      </c>
      <c r="D13" s="3">
        <f>[1]Ipc!D217</f>
        <v>1</v>
      </c>
      <c r="E13" s="3">
        <f>[1]Ipc!E217</f>
        <v>1.0069333407518293</v>
      </c>
      <c r="F13" s="3">
        <f>[1]Ipc!F217</f>
        <v>97.328999999999994</v>
      </c>
      <c r="G13" s="3">
        <f>[1]Ipc!G217</f>
        <v>1.2</v>
      </c>
      <c r="H13" s="3">
        <f>[1]Ipc!H217</f>
        <v>1.0025294412528429</v>
      </c>
    </row>
    <row r="14" spans="1:8" x14ac:dyDescent="0.3">
      <c r="A14" s="2">
        <v>2019</v>
      </c>
      <c r="B14" s="3">
        <v>1</v>
      </c>
      <c r="C14" s="3">
        <f>[1]Ipc!C218</f>
        <v>96.024000000000001</v>
      </c>
      <c r="D14" s="3">
        <f>[1]Ipc!D218</f>
        <v>0.9</v>
      </c>
      <c r="E14" s="3">
        <f>[1]Ipc!E218</f>
        <v>0.99498669994181743</v>
      </c>
      <c r="F14" s="3">
        <f>[1]Ipc!F218</f>
        <v>96.084999999999994</v>
      </c>
      <c r="G14" s="3">
        <f>[1]Ipc!G218</f>
        <v>1</v>
      </c>
      <c r="H14" s="3">
        <f>[1]Ipc!H218</f>
        <v>0.98856166293437553</v>
      </c>
    </row>
    <row r="15" spans="1:8" x14ac:dyDescent="0.3">
      <c r="A15" s="2">
        <f>A14</f>
        <v>2019</v>
      </c>
      <c r="B15" s="3">
        <v>2</v>
      </c>
      <c r="C15" s="3">
        <f>[1]Ipc!C219</f>
        <v>96.143000000000001</v>
      </c>
      <c r="D15" s="3">
        <f>[1]Ipc!D219</f>
        <v>1.1000000000000001</v>
      </c>
      <c r="E15" s="3">
        <f>[1]Ipc!E219</f>
        <v>0.98422612679802968</v>
      </c>
      <c r="F15" s="3">
        <f>[1]Ipc!F219</f>
        <v>96.32</v>
      </c>
      <c r="G15" s="3">
        <f>[1]Ipc!G219</f>
        <v>1.1000000000000001</v>
      </c>
      <c r="H15" s="3">
        <f>[1]Ipc!H219</f>
        <v>0.97588598393820791</v>
      </c>
    </row>
    <row r="16" spans="1:8" x14ac:dyDescent="0.3">
      <c r="A16" s="2">
        <f t="shared" ref="A16:A25" si="1">A15</f>
        <v>2019</v>
      </c>
      <c r="B16" s="3">
        <v>3</v>
      </c>
      <c r="C16" s="3">
        <f>[1]Ipc!C220</f>
        <v>96.364000000000004</v>
      </c>
      <c r="D16" s="3">
        <f>[1]Ipc!D220</f>
        <v>1.3</v>
      </c>
      <c r="E16" s="3">
        <f>[1]Ipc!E220</f>
        <v>0.9753882994660642</v>
      </c>
      <c r="F16" s="3">
        <f>[1]Ipc!F220</f>
        <v>96.668999999999997</v>
      </c>
      <c r="G16" s="3">
        <f>[1]Ipc!G220</f>
        <v>1.3</v>
      </c>
      <c r="H16" s="3">
        <f>[1]Ipc!H220</f>
        <v>0.96522252982786871</v>
      </c>
    </row>
    <row r="17" spans="1:8" x14ac:dyDescent="0.3">
      <c r="A17" s="2">
        <f t="shared" si="1"/>
        <v>2019</v>
      </c>
      <c r="B17" s="3">
        <v>4</v>
      </c>
      <c r="C17" s="3">
        <f>[1]Ipc!C221</f>
        <v>97.26</v>
      </c>
      <c r="D17" s="3">
        <f>[1]Ipc!D221</f>
        <v>1.5</v>
      </c>
      <c r="E17" s="3">
        <f>[1]Ipc!E221</f>
        <v>0.96921793594382477</v>
      </c>
      <c r="F17" s="3">
        <f>[1]Ipc!F221</f>
        <v>97.644000000000005</v>
      </c>
      <c r="G17" s="3">
        <f>[1]Ipc!G221</f>
        <v>1.5</v>
      </c>
      <c r="H17" s="3">
        <f>[1]Ipc!H221</f>
        <v>0.9573000451957796</v>
      </c>
    </row>
    <row r="18" spans="1:8" x14ac:dyDescent="0.3">
      <c r="A18" s="2">
        <f t="shared" si="1"/>
        <v>2019</v>
      </c>
      <c r="B18" s="3">
        <v>5</v>
      </c>
      <c r="C18" s="3">
        <f>[1]Ipc!C222</f>
        <v>97.679000000000002</v>
      </c>
      <c r="D18" s="3">
        <f>[1]Ipc!D222</f>
        <v>1</v>
      </c>
      <c r="E18" s="3">
        <f>[1]Ipc!E222</f>
        <v>0.9664822967084189</v>
      </c>
      <c r="F18" s="3">
        <f>[1]Ipc!F222</f>
        <v>97.834000000000003</v>
      </c>
      <c r="G18" s="3">
        <f>[1]Ipc!G222</f>
        <v>0.8</v>
      </c>
      <c r="H18" s="3">
        <f>[1]Ipc!H222</f>
        <v>0.9528705230697907</v>
      </c>
    </row>
    <row r="19" spans="1:8" x14ac:dyDescent="0.3">
      <c r="A19" s="2">
        <f t="shared" si="1"/>
        <v>2019</v>
      </c>
      <c r="B19" s="3">
        <v>6</v>
      </c>
      <c r="C19" s="3">
        <f>[1]Ipc!C223</f>
        <v>97.488</v>
      </c>
      <c r="D19" s="3">
        <f>[1]Ipc!D223</f>
        <v>0.4</v>
      </c>
      <c r="E19" s="3">
        <f>[1]Ipc!E223</f>
        <v>0.96798550210251344</v>
      </c>
      <c r="F19" s="3">
        <f>[1]Ipc!F223</f>
        <v>97.718999999999994</v>
      </c>
      <c r="G19" s="3">
        <f>[1]Ipc!G223</f>
        <v>0.4</v>
      </c>
      <c r="H19" s="3">
        <f>[1]Ipc!H223</f>
        <v>0.95272364397461351</v>
      </c>
    </row>
    <row r="20" spans="1:8" x14ac:dyDescent="0.3">
      <c r="A20" s="2">
        <f t="shared" si="1"/>
        <v>2019</v>
      </c>
      <c r="B20" s="3">
        <v>7</v>
      </c>
      <c r="C20" s="3">
        <f>[1]Ipc!C224</f>
        <v>97.018000000000001</v>
      </c>
      <c r="D20" s="3">
        <f>[1]Ipc!D224</f>
        <v>0.4</v>
      </c>
      <c r="E20" s="3">
        <f>[1]Ipc!E224</f>
        <v>0.97453400008705926</v>
      </c>
      <c r="F20" s="3">
        <f>[1]Ipc!F224</f>
        <v>97.113</v>
      </c>
      <c r="G20" s="3">
        <f>[1]Ipc!G224</f>
        <v>0.5</v>
      </c>
      <c r="H20" s="3">
        <f>[1]Ipc!H224</f>
        <v>0.95763847242641287</v>
      </c>
    </row>
    <row r="21" spans="1:8" x14ac:dyDescent="0.3">
      <c r="A21" s="2">
        <f t="shared" si="1"/>
        <v>2019</v>
      </c>
      <c r="B21" s="3">
        <v>8</v>
      </c>
      <c r="C21" s="3">
        <f>[1]Ipc!C225</f>
        <v>97.231999999999999</v>
      </c>
      <c r="D21" s="3">
        <f>[1]Ipc!D225</f>
        <v>0.3</v>
      </c>
      <c r="E21" s="3">
        <f>[1]Ipc!E225</f>
        <v>0.98689479518536094</v>
      </c>
      <c r="F21" s="3">
        <f>[1]Ipc!F225</f>
        <v>97.058999999999997</v>
      </c>
      <c r="G21" s="3">
        <f>[1]Ipc!G225</f>
        <v>0.3</v>
      </c>
      <c r="H21" s="3">
        <f>[1]Ipc!H225</f>
        <v>0.9683556893549663</v>
      </c>
    </row>
    <row r="22" spans="1:8" x14ac:dyDescent="0.3">
      <c r="A22" s="2">
        <f t="shared" si="1"/>
        <v>2019</v>
      </c>
      <c r="B22" s="3">
        <v>9</v>
      </c>
      <c r="C22" s="3">
        <f>[1]Ipc!C226</f>
        <v>96.819000000000003</v>
      </c>
      <c r="D22" s="3">
        <f>[1]Ipc!D226</f>
        <v>0.1</v>
      </c>
      <c r="E22" s="3">
        <f>[1]Ipc!E226</f>
        <v>1.0057949937262725</v>
      </c>
      <c r="F22" s="3">
        <f>[1]Ipc!F226</f>
        <v>97.058999999999997</v>
      </c>
      <c r="G22" s="3">
        <f>[1]Ipc!G226</f>
        <v>0.1</v>
      </c>
      <c r="H22" s="3">
        <f>[1]Ipc!H226</f>
        <v>0.98558419524057705</v>
      </c>
    </row>
    <row r="23" spans="1:8" x14ac:dyDescent="0.3">
      <c r="A23" s="2">
        <f t="shared" si="1"/>
        <v>2019</v>
      </c>
      <c r="B23" s="3">
        <v>10</v>
      </c>
      <c r="C23" s="3">
        <f>[1]Ipc!C227</f>
        <v>97.751999999999995</v>
      </c>
      <c r="D23" s="3">
        <f>[1]Ipc!D227</f>
        <v>0</v>
      </c>
      <c r="E23" s="3">
        <f>[1]Ipc!E227</f>
        <v>1.0319140010112047</v>
      </c>
      <c r="F23" s="3">
        <f>[1]Ipc!F227</f>
        <v>98.001000000000005</v>
      </c>
      <c r="G23" s="3">
        <f>[1]Ipc!G227</f>
        <v>0.1</v>
      </c>
      <c r="H23" s="3">
        <f>[1]Ipc!H227</f>
        <v>1.0099864769740101</v>
      </c>
    </row>
    <row r="24" spans="1:8" x14ac:dyDescent="0.3">
      <c r="A24" s="2">
        <f t="shared" si="1"/>
        <v>2019</v>
      </c>
      <c r="B24" s="3">
        <v>11</v>
      </c>
      <c r="C24" s="3">
        <f>[1]Ipc!C228</f>
        <v>98.222999999999999</v>
      </c>
      <c r="D24" s="3">
        <f>[1]Ipc!D228</f>
        <v>0.4</v>
      </c>
      <c r="E24" s="3">
        <f>[1]Ipc!E228</f>
        <v>1.0658683199114485</v>
      </c>
      <c r="F24" s="3">
        <f>[1]Ipc!F228</f>
        <v>98.167000000000002</v>
      </c>
      <c r="G24" s="3">
        <f>[1]Ipc!G228</f>
        <v>0.4</v>
      </c>
      <c r="H24" s="3">
        <f>[1]Ipc!H228</f>
        <v>1.0421635225435832</v>
      </c>
    </row>
    <row r="25" spans="1:8" x14ac:dyDescent="0.3">
      <c r="A25" s="2">
        <f t="shared" si="1"/>
        <v>2019</v>
      </c>
      <c r="B25" s="3">
        <v>12</v>
      </c>
      <c r="C25" s="3">
        <f>[1]Ipc!C229</f>
        <v>98.194000000000003</v>
      </c>
      <c r="D25" s="3">
        <f>[1]Ipc!D229</f>
        <v>0.9</v>
      </c>
      <c r="E25" s="3">
        <f>[1]Ipc!E229</f>
        <v>1.1082027926037803</v>
      </c>
      <c r="F25" s="3">
        <f>[1]Ipc!F229</f>
        <v>98.096000000000004</v>
      </c>
      <c r="G25" s="3">
        <f>[1]Ipc!G229</f>
        <v>0.8</v>
      </c>
      <c r="H25" s="3">
        <f>[1]Ipc!H229</f>
        <v>1.082653126432269</v>
      </c>
    </row>
    <row r="26" spans="1:8" x14ac:dyDescent="0.3">
      <c r="A26" s="2">
        <v>2020</v>
      </c>
      <c r="B26" s="3">
        <v>1</v>
      </c>
      <c r="C26" s="3">
        <f>[1]Ipc!C230</f>
        <v>97.087000000000003</v>
      </c>
      <c r="D26" s="3">
        <f>[1]Ipc!D230</f>
        <v>1.1000000000000001</v>
      </c>
      <c r="E26" s="3">
        <f>[1]Ipc!E230</f>
        <v>1.1594160204094268</v>
      </c>
      <c r="F26" s="3">
        <f>[1]Ipc!F230</f>
        <v>97.138999999999996</v>
      </c>
      <c r="G26" s="3">
        <f>[1]Ipc!G230</f>
        <v>1.1000000000000001</v>
      </c>
      <c r="H26" s="3">
        <f>[1]Ipc!H230</f>
        <v>1.1319484884339741</v>
      </c>
    </row>
    <row r="27" spans="1:8" x14ac:dyDescent="0.3">
      <c r="A27" s="2">
        <f>A26</f>
        <v>2020</v>
      </c>
      <c r="B27" s="3">
        <v>2</v>
      </c>
      <c r="C27" s="3">
        <f>[1]Ipc!C231</f>
        <v>96.882000000000005</v>
      </c>
      <c r="D27" s="3">
        <f>[1]Ipc!D231</f>
        <v>0.8</v>
      </c>
      <c r="E27" s="3">
        <f>[1]Ipc!E231</f>
        <v>1.2199921461223506</v>
      </c>
      <c r="F27" s="3">
        <f>[1]Ipc!F231</f>
        <v>97.024000000000001</v>
      </c>
      <c r="G27" s="3">
        <f>[1]Ipc!G231</f>
        <v>0.7</v>
      </c>
      <c r="H27" s="3">
        <f>[1]Ipc!H231</f>
        <v>1.1905231796532696</v>
      </c>
    </row>
    <row r="28" spans="1:8" x14ac:dyDescent="0.3">
      <c r="A28" s="2">
        <f t="shared" ref="A28:A37" si="2">A27</f>
        <v>2020</v>
      </c>
      <c r="B28" s="3">
        <v>3</v>
      </c>
      <c r="C28" s="3">
        <f>[1]Ipc!C232</f>
        <v>96.34</v>
      </c>
      <c r="D28" s="3">
        <f>[1]Ipc!D232</f>
        <v>0</v>
      </c>
      <c r="E28" s="3">
        <f>[1]Ipc!E232</f>
        <v>1.2904111864239858</v>
      </c>
      <c r="F28" s="3">
        <f>[1]Ipc!F232</f>
        <v>96.652000000000001</v>
      </c>
      <c r="G28" s="3">
        <f>[1]Ipc!G232</f>
        <v>0</v>
      </c>
      <c r="H28" s="3">
        <f>[1]Ipc!H232</f>
        <v>1.2588485525496962</v>
      </c>
    </row>
    <row r="29" spans="1:8" x14ac:dyDescent="0.3">
      <c r="A29" s="2">
        <f t="shared" si="2"/>
        <v>2020</v>
      </c>
      <c r="B29" s="3">
        <v>4</v>
      </c>
      <c r="C29" s="3">
        <f>[1]Ipc!C233</f>
        <v>96.582999999999998</v>
      </c>
      <c r="D29" s="3">
        <f>[1]Ipc!D233</f>
        <v>-0.7</v>
      </c>
      <c r="E29" s="3">
        <f>[1]Ipc!E233</f>
        <v>1.3711239918745077</v>
      </c>
      <c r="F29" s="3">
        <f>[1]Ipc!F233</f>
        <v>96.944000000000003</v>
      </c>
      <c r="G29" s="3">
        <f>[1]Ipc!G233</f>
        <v>-0.7</v>
      </c>
      <c r="H29" s="3">
        <f>[1]Ipc!H233</f>
        <v>1.3373618954730968</v>
      </c>
    </row>
    <row r="30" spans="1:8" x14ac:dyDescent="0.3">
      <c r="A30" s="2">
        <f t="shared" si="2"/>
        <v>2020</v>
      </c>
      <c r="B30" s="3">
        <v>5</v>
      </c>
      <c r="C30" s="3">
        <f>[1]Ipc!C234</f>
        <v>96.628</v>
      </c>
      <c r="D30" s="3">
        <f>[1]Ipc!D234</f>
        <v>-1.1000000000000001</v>
      </c>
      <c r="E30" s="3">
        <f>[1]Ipc!E234</f>
        <v>1.4624918011461461</v>
      </c>
      <c r="F30" s="3">
        <f>[1]Ipc!F234</f>
        <v>96.938000000000002</v>
      </c>
      <c r="G30" s="3">
        <f>[1]Ipc!G234</f>
        <v>-0.9</v>
      </c>
      <c r="H30" s="3">
        <f>[1]Ipc!H234</f>
        <v>1.4264130767349428</v>
      </c>
    </row>
    <row r="31" spans="1:8" x14ac:dyDescent="0.3">
      <c r="A31" s="2">
        <f t="shared" si="2"/>
        <v>2020</v>
      </c>
      <c r="B31" s="3">
        <v>6</v>
      </c>
      <c r="C31" s="3">
        <f>[1]Ipc!C235</f>
        <v>97.003</v>
      </c>
      <c r="D31" s="3">
        <f>[1]Ipc!D235</f>
        <v>-0.5</v>
      </c>
      <c r="E31" s="3">
        <f>[1]Ipc!E235</f>
        <v>1.5647320248561392</v>
      </c>
      <c r="F31" s="3">
        <f>[1]Ipc!F235</f>
        <v>97.385000000000005</v>
      </c>
      <c r="G31" s="3">
        <f>[1]Ipc!G235</f>
        <v>-0.3</v>
      </c>
      <c r="H31" s="3">
        <f>[1]Ipc!H235</f>
        <v>1.5262104811817421</v>
      </c>
    </row>
    <row r="32" spans="1:8" x14ac:dyDescent="0.3">
      <c r="A32" s="2">
        <f t="shared" si="2"/>
        <v>2020</v>
      </c>
      <c r="B32" s="3">
        <v>7</v>
      </c>
      <c r="C32" s="3">
        <f>[1]Ipc!C236</f>
        <v>96.623999999999995</v>
      </c>
      <c r="D32" s="3">
        <f>[1]Ipc!D236</f>
        <v>-0.4</v>
      </c>
      <c r="E32" s="3">
        <f>[1]Ipc!E236</f>
        <v>1.6778841228022012</v>
      </c>
      <c r="F32" s="3">
        <f>[1]Ipc!F236</f>
        <v>96.510999999999996</v>
      </c>
      <c r="G32" s="3">
        <f>[1]Ipc!G236</f>
        <v>-0.6</v>
      </c>
      <c r="H32" s="3">
        <f>[1]Ipc!H236</f>
        <v>1.6368009371963406</v>
      </c>
    </row>
    <row r="33" spans="1:8" x14ac:dyDescent="0.3">
      <c r="A33" s="2">
        <f t="shared" si="2"/>
        <v>2020</v>
      </c>
      <c r="B33" s="3">
        <v>8</v>
      </c>
      <c r="C33" s="3">
        <f>[1]Ipc!C237</f>
        <v>96.679000000000002</v>
      </c>
      <c r="D33" s="3">
        <f>[1]Ipc!D237</f>
        <v>-0.6</v>
      </c>
      <c r="E33" s="3">
        <f>[1]Ipc!E237</f>
        <v>1.8018441706136543</v>
      </c>
      <c r="F33" s="3">
        <f>[1]Ipc!F237</f>
        <v>96.555000000000007</v>
      </c>
      <c r="G33" s="3">
        <f>[1]Ipc!G237</f>
        <v>-0.5</v>
      </c>
      <c r="H33" s="3">
        <f>[1]Ipc!H237</f>
        <v>1.7581044529892802</v>
      </c>
    </row>
    <row r="34" spans="1:8" x14ac:dyDescent="0.3">
      <c r="A34" s="2">
        <f t="shared" si="2"/>
        <v>2020</v>
      </c>
      <c r="B34" s="3">
        <v>9</v>
      </c>
      <c r="C34" s="3">
        <f>[1]Ipc!C238</f>
        <v>96.400999999999996</v>
      </c>
      <c r="D34" s="3">
        <f>[1]Ipc!D238</f>
        <v>-0.4</v>
      </c>
      <c r="E34" s="3">
        <f>[1]Ipc!E238</f>
        <v>1.9363639464112925</v>
      </c>
      <c r="F34" s="3">
        <f>[1]Ipc!F238</f>
        <v>96.7</v>
      </c>
      <c r="G34" s="3">
        <f>[1]Ipc!G238</f>
        <v>-0.4</v>
      </c>
      <c r="H34" s="3">
        <f>[1]Ipc!H238</f>
        <v>1.8898857033726866</v>
      </c>
    </row>
    <row r="35" spans="1:8" x14ac:dyDescent="0.3">
      <c r="A35" s="2">
        <f t="shared" si="2"/>
        <v>2020</v>
      </c>
      <c r="B35" s="3">
        <v>10</v>
      </c>
      <c r="C35" s="3">
        <f>[1]Ipc!C239</f>
        <v>96.971999999999994</v>
      </c>
      <c r="D35" s="3">
        <f>[1]Ipc!D239</f>
        <v>-0.8</v>
      </c>
      <c r="E35" s="3">
        <f>[1]Ipc!E239</f>
        <v>2.0810284335818396</v>
      </c>
      <c r="F35" s="3">
        <f>[1]Ipc!F239</f>
        <v>97.207999999999998</v>
      </c>
      <c r="G35" s="3">
        <f>[1]Ipc!G239</f>
        <v>-0.8</v>
      </c>
      <c r="H35" s="3">
        <f>[1]Ipc!H239</f>
        <v>2.03175255034945</v>
      </c>
    </row>
    <row r="36" spans="1:8" x14ac:dyDescent="0.3">
      <c r="A36" s="2">
        <f t="shared" si="2"/>
        <v>2020</v>
      </c>
      <c r="B36" s="3">
        <v>11</v>
      </c>
      <c r="C36" s="3">
        <f>[1]Ipc!C240</f>
        <v>97.314999999999998</v>
      </c>
      <c r="D36" s="3">
        <f>[1]Ipc!D240</f>
        <v>-0.9</v>
      </c>
      <c r="E36" s="3">
        <f>[1]Ipc!E240</f>
        <v>2.2352603680157408</v>
      </c>
      <c r="F36" s="3">
        <f>[1]Ipc!F240</f>
        <v>97.367000000000004</v>
      </c>
      <c r="G36" s="3">
        <f>[1]Ipc!G240</f>
        <v>-0.8</v>
      </c>
      <c r="H36" s="3">
        <f>[1]Ipc!H240</f>
        <v>2.1831538360819489</v>
      </c>
    </row>
    <row r="37" spans="1:8" x14ac:dyDescent="0.3">
      <c r="A37" s="2">
        <f t="shared" si="2"/>
        <v>2020</v>
      </c>
      <c r="B37" s="3">
        <v>12</v>
      </c>
      <c r="C37" s="3">
        <f>[1]Ipc!C241</f>
        <v>97.656999999999996</v>
      </c>
      <c r="D37" s="3">
        <f>[1]Ipc!D241</f>
        <v>-0.5</v>
      </c>
      <c r="E37" s="3">
        <f>[1]Ipc!E241</f>
        <v>2.3982824141844423</v>
      </c>
      <c r="F37" s="3">
        <f>[1]Ipc!F241</f>
        <v>97.573999999999998</v>
      </c>
      <c r="G37" s="3">
        <f>[1]Ipc!G241</f>
        <v>-0.5</v>
      </c>
      <c r="H37" s="3">
        <f>[1]Ipc!H241</f>
        <v>2.3433417532498981</v>
      </c>
    </row>
    <row r="38" spans="1:8" x14ac:dyDescent="0.3">
      <c r="A38" s="2">
        <v>2021</v>
      </c>
      <c r="B38" s="3">
        <v>1</v>
      </c>
      <c r="C38" s="3">
        <f>[1]Ipc!C242</f>
        <v>97.566999999999993</v>
      </c>
      <c r="D38" s="3">
        <f>[1]Ipc!D242</f>
        <v>0.5</v>
      </c>
      <c r="E38" s="3">
        <f>[1]Ipc!E242</f>
        <v>2.569099510144945</v>
      </c>
      <c r="F38" s="3">
        <f>[1]Ipc!F242</f>
        <v>97.582999999999998</v>
      </c>
      <c r="G38" s="3">
        <f>[1]Ipc!G242</f>
        <v>0.5</v>
      </c>
      <c r="H38" s="3">
        <f>[1]Ipc!H242</f>
        <v>2.5113613310721736</v>
      </c>
    </row>
    <row r="39" spans="1:8" x14ac:dyDescent="0.3">
      <c r="A39" s="2">
        <f>A38</f>
        <v>2021</v>
      </c>
      <c r="B39" s="3">
        <v>2</v>
      </c>
      <c r="C39" s="3">
        <f>[1]Ipc!C243</f>
        <v>96.828999999999994</v>
      </c>
      <c r="D39" s="3">
        <f>[1]Ipc!D243</f>
        <v>-0.1</v>
      </c>
      <c r="E39" s="3">
        <f>[1]Ipc!E243</f>
        <v>2.7465153243421532</v>
      </c>
      <c r="F39" s="3">
        <f>[1]Ipc!F243</f>
        <v>97.007999999999996</v>
      </c>
      <c r="G39" s="3">
        <f>[1]Ipc!G243</f>
        <v>0</v>
      </c>
      <c r="H39" s="3">
        <f>[1]Ipc!H243</f>
        <v>2.6860601444792311</v>
      </c>
    </row>
    <row r="40" spans="1:8" x14ac:dyDescent="0.3">
      <c r="A40" s="2">
        <f t="shared" ref="A40:A49" si="3">A39</f>
        <v>2021</v>
      </c>
      <c r="B40" s="3">
        <v>3</v>
      </c>
      <c r="C40" s="3">
        <f>[1]Ipc!C244</f>
        <v>97.768000000000001</v>
      </c>
      <c r="D40" s="3">
        <f>[1]Ipc!D244</f>
        <v>1.5</v>
      </c>
      <c r="E40" s="3">
        <f>[1]Ipc!E244</f>
        <v>2.9291898377549885</v>
      </c>
      <c r="F40" s="3">
        <f>[1]Ipc!F244</f>
        <v>97.948999999999998</v>
      </c>
      <c r="G40" s="3">
        <f>[1]Ipc!G244</f>
        <v>1.3</v>
      </c>
      <c r="H40" s="3">
        <f>[1]Ipc!H244</f>
        <v>2.8661460905313123</v>
      </c>
    </row>
    <row r="41" spans="1:8" x14ac:dyDescent="0.3">
      <c r="A41" s="2">
        <f t="shared" si="3"/>
        <v>2021</v>
      </c>
      <c r="B41" s="3">
        <v>4</v>
      </c>
      <c r="C41" s="3">
        <f>[1]Ipc!C245</f>
        <v>98.784999999999997</v>
      </c>
      <c r="D41" s="3">
        <f>[1]Ipc!D245</f>
        <v>2.2999999999999998</v>
      </c>
      <c r="E41" s="3">
        <f>[1]Ipc!E245</f>
        <v>3.1155853566870713</v>
      </c>
      <c r="F41" s="3">
        <f>[1]Ipc!F245</f>
        <v>99.105000000000004</v>
      </c>
      <c r="G41" s="3">
        <f>[1]Ipc!G245</f>
        <v>2.2000000000000002</v>
      </c>
      <c r="H41" s="3">
        <f>[1]Ipc!H245</f>
        <v>3.0501405343341816</v>
      </c>
    </row>
    <row r="42" spans="1:8" x14ac:dyDescent="0.3">
      <c r="A42" s="2">
        <f t="shared" si="3"/>
        <v>2021</v>
      </c>
      <c r="B42" s="3">
        <v>5</v>
      </c>
      <c r="C42" s="3">
        <f>[1]Ipc!C246</f>
        <v>99.27</v>
      </c>
      <c r="D42" s="3">
        <f>[1]Ipc!D246</f>
        <v>2.7</v>
      </c>
      <c r="E42" s="3">
        <f>[1]Ipc!E246</f>
        <v>3.3040649381477336</v>
      </c>
      <c r="F42" s="3">
        <f>[1]Ipc!F246</f>
        <v>99.572000000000003</v>
      </c>
      <c r="G42" s="3">
        <f>[1]Ipc!G246</f>
        <v>2.7</v>
      </c>
      <c r="H42" s="3">
        <f>[1]Ipc!H246</f>
        <v>3.236456080848428</v>
      </c>
    </row>
    <row r="43" spans="1:8" x14ac:dyDescent="0.3">
      <c r="A43" s="2">
        <f t="shared" si="3"/>
        <v>2021</v>
      </c>
      <c r="B43" s="3">
        <v>6</v>
      </c>
      <c r="C43" s="3">
        <f>[1]Ipc!C247</f>
        <v>100.02200000000001</v>
      </c>
      <c r="D43" s="3">
        <f>[1]Ipc!D247</f>
        <v>3.1</v>
      </c>
      <c r="E43" s="3">
        <f>[1]Ipc!E247</f>
        <v>3.4929350012743159</v>
      </c>
      <c r="F43" s="3">
        <f>[1]Ipc!F247</f>
        <v>100.04600000000001</v>
      </c>
      <c r="G43" s="3">
        <f>[1]Ipc!G247</f>
        <v>2.7</v>
      </c>
      <c r="H43" s="3">
        <f>[1]Ipc!H247</f>
        <v>3.4234462974975339</v>
      </c>
    </row>
    <row r="44" spans="1:8" x14ac:dyDescent="0.3">
      <c r="A44" s="2">
        <f t="shared" si="3"/>
        <v>2021</v>
      </c>
      <c r="B44" s="3">
        <v>7</v>
      </c>
      <c r="C44" s="3">
        <f>[1]Ipc!C248</f>
        <v>99.503</v>
      </c>
      <c r="D44" s="3">
        <f>[1]Ipc!D248</f>
        <v>3</v>
      </c>
      <c r="E44" s="3">
        <f>[1]Ipc!E248</f>
        <v>3.68046001625012</v>
      </c>
      <c r="F44" s="3">
        <f>[1]Ipc!F248</f>
        <v>99.292000000000002</v>
      </c>
      <c r="G44" s="3">
        <f>[1]Ipc!G248</f>
        <v>2.9</v>
      </c>
      <c r="H44" s="3">
        <f>[1]Ipc!H248</f>
        <v>3.6094274978104788</v>
      </c>
    </row>
    <row r="45" spans="1:8" x14ac:dyDescent="0.3">
      <c r="A45" s="2">
        <f t="shared" si="3"/>
        <v>2021</v>
      </c>
      <c r="B45" s="3">
        <v>8</v>
      </c>
      <c r="C45" s="3">
        <f>[1]Ipc!C249</f>
        <v>100.11</v>
      </c>
      <c r="D45" s="3">
        <f>[1]Ipc!D249</f>
        <v>3.5</v>
      </c>
      <c r="E45" s="3">
        <f>[1]Ipc!E249</f>
        <v>3.8648771661055825</v>
      </c>
      <c r="F45" s="3">
        <f>[1]Ipc!F249</f>
        <v>99.742999999999995</v>
      </c>
      <c r="G45" s="3">
        <f>[1]Ipc!G249</f>
        <v>3.3</v>
      </c>
      <c r="H45" s="3">
        <f>[1]Ipc!H249</f>
        <v>3.7926657559900274</v>
      </c>
    </row>
    <row r="46" spans="1:8" x14ac:dyDescent="0.3">
      <c r="A46" s="2">
        <f t="shared" si="3"/>
        <v>2021</v>
      </c>
      <c r="B46" s="3">
        <v>9</v>
      </c>
      <c r="C46" s="3">
        <f>[1]Ipc!C250</f>
        <v>100.747</v>
      </c>
      <c r="D46" s="3">
        <f>[1]Ipc!D250</f>
        <v>4.5</v>
      </c>
      <c r="E46" s="3">
        <f>[1]Ipc!E250</f>
        <v>4.044376379703345</v>
      </c>
      <c r="F46" s="3">
        <f>[1]Ipc!F250</f>
        <v>100.575</v>
      </c>
      <c r="G46" s="3">
        <f>[1]Ipc!G250</f>
        <v>4</v>
      </c>
      <c r="H46" s="3">
        <f>[1]Ipc!H250</f>
        <v>3.9713778804404853</v>
      </c>
    </row>
    <row r="47" spans="1:8" x14ac:dyDescent="0.3">
      <c r="A47" s="2">
        <f t="shared" si="3"/>
        <v>2021</v>
      </c>
      <c r="B47" s="3">
        <v>10</v>
      </c>
      <c r="C47" s="3">
        <f>[1]Ipc!C251</f>
        <v>102.28700000000001</v>
      </c>
      <c r="D47" s="3">
        <f>[1]Ipc!D251</f>
        <v>5.5</v>
      </c>
      <c r="E47" s="3">
        <f>[1]Ipc!E251</f>
        <v>4.2171222472139567</v>
      </c>
      <c r="F47" s="3">
        <f>[1]Ipc!F251</f>
        <v>102.425</v>
      </c>
      <c r="G47" s="3">
        <f>[1]Ipc!G251</f>
        <v>5.4</v>
      </c>
      <c r="H47" s="3">
        <f>[1]Ipc!H251</f>
        <v>4.1437464666664354</v>
      </c>
    </row>
    <row r="48" spans="1:8" x14ac:dyDescent="0.3">
      <c r="A48" s="2">
        <f t="shared" si="3"/>
        <v>2021</v>
      </c>
      <c r="B48" s="3">
        <v>11</v>
      </c>
      <c r="C48" s="3">
        <f>[1]Ipc!C252</f>
        <v>102.85</v>
      </c>
      <c r="D48" s="3">
        <f>[1]Ipc!D252</f>
        <v>5.7</v>
      </c>
      <c r="E48" s="3">
        <f>[1]Ipc!E252</f>
        <v>4.3813109993371553</v>
      </c>
      <c r="F48" s="3">
        <f>[1]Ipc!F252</f>
        <v>102.738</v>
      </c>
      <c r="G48" s="3">
        <f>[1]Ipc!G252</f>
        <v>5.5</v>
      </c>
      <c r="H48" s="3">
        <f>[1]Ipc!H252</f>
        <v>4.3079560978196527</v>
      </c>
    </row>
    <row r="49" spans="1:8" x14ac:dyDescent="0.3">
      <c r="A49" s="2">
        <f t="shared" si="3"/>
        <v>2021</v>
      </c>
      <c r="B49" s="3">
        <v>12</v>
      </c>
      <c r="C49" s="3">
        <f>[1]Ipc!C253</f>
        <v>104.261</v>
      </c>
      <c r="D49" s="3">
        <f>[1]Ipc!D253</f>
        <v>6.8</v>
      </c>
      <c r="E49" s="3">
        <f>[1]Ipc!E253</f>
        <v>4.5352279555055102</v>
      </c>
      <c r="F49" s="3">
        <f>[1]Ipc!F253</f>
        <v>103.965</v>
      </c>
      <c r="G49" s="3">
        <f>[1]Ipc!G253</f>
        <v>6.5</v>
      </c>
      <c r="H49" s="3">
        <f>[1]Ipc!H253</f>
        <v>4.4622785968806156</v>
      </c>
    </row>
    <row r="50" spans="1:8" x14ac:dyDescent="0.3">
      <c r="A50" s="2">
        <v>2022</v>
      </c>
      <c r="B50" s="3">
        <v>1</v>
      </c>
      <c r="C50" s="3">
        <f>[1]Ipc!C254</f>
        <v>103.63500000000001</v>
      </c>
      <c r="D50" s="3">
        <f>[1]Ipc!D254</f>
        <v>6.2</v>
      </c>
      <c r="E50" s="3">
        <f>[1]Ipc!E254</f>
        <v>4.6772500107766364</v>
      </c>
      <c r="F50" s="3">
        <f>[1]Ipc!F254</f>
        <v>103.56699999999999</v>
      </c>
      <c r="G50" s="3">
        <f>[1]Ipc!G254</f>
        <v>6.1</v>
      </c>
      <c r="H50" s="3">
        <f>[1]Ipc!H254</f>
        <v>4.6050685676563425</v>
      </c>
    </row>
    <row r="51" spans="1:8" x14ac:dyDescent="0.3">
      <c r="A51" s="2">
        <f>A50</f>
        <v>2022</v>
      </c>
      <c r="B51" s="3">
        <v>2</v>
      </c>
      <c r="C51" s="3">
        <f>[1]Ipc!C255</f>
        <v>104.313</v>
      </c>
      <c r="D51" s="3">
        <f>[1]Ipc!D255</f>
        <v>7.7</v>
      </c>
      <c r="E51" s="3">
        <f>[1]Ipc!E255</f>
        <v>4.8059113360445727</v>
      </c>
      <c r="F51" s="3">
        <f>[1]Ipc!F255</f>
        <v>104.40300000000001</v>
      </c>
      <c r="G51" s="3">
        <f>[1]Ipc!G255</f>
        <v>7.6</v>
      </c>
      <c r="H51" s="3">
        <f>[1]Ipc!H255</f>
        <v>4.7348221223846245</v>
      </c>
    </row>
    <row r="52" spans="1:8" x14ac:dyDescent="0.3">
      <c r="A52" s="2">
        <f t="shared" ref="A52:A61" si="4">A51</f>
        <v>2022</v>
      </c>
      <c r="B52" s="3">
        <v>3</v>
      </c>
      <c r="C52" s="3">
        <f>[1]Ipc!C256</f>
        <v>107.727</v>
      </c>
      <c r="D52" s="3">
        <f>[1]Ipc!D256</f>
        <v>10.199999999999999</v>
      </c>
      <c r="E52" s="3">
        <f>[1]Ipc!E256</f>
        <v>4.9198518487303868</v>
      </c>
      <c r="F52" s="3">
        <f>[1]Ipc!F256</f>
        <v>107.566</v>
      </c>
      <c r="G52" s="3">
        <f>[1]Ipc!G256</f>
        <v>9.8000000000000007</v>
      </c>
      <c r="H52" s="3">
        <f>[1]Ipc!H256</f>
        <v>4.8501391879860547</v>
      </c>
    </row>
    <row r="53" spans="1:8" x14ac:dyDescent="0.3">
      <c r="A53" s="2">
        <f t="shared" si="4"/>
        <v>2022</v>
      </c>
      <c r="B53" s="3">
        <v>4</v>
      </c>
      <c r="C53" s="3">
        <f>[1]Ipc!C257</f>
        <v>107.21</v>
      </c>
      <c r="D53" s="3">
        <f>[1]Ipc!D257</f>
        <v>8.5</v>
      </c>
      <c r="E53" s="3">
        <f>[1]Ipc!E257</f>
        <v>5.0179124446345886</v>
      </c>
      <c r="F53" s="3">
        <f>[1]Ipc!F257</f>
        <v>107.375</v>
      </c>
      <c r="G53" s="3">
        <f>[1]Ipc!G257</f>
        <v>8.3000000000000007</v>
      </c>
      <c r="H53" s="3">
        <f>[1]Ipc!H257</f>
        <v>4.9498186620671714</v>
      </c>
    </row>
    <row r="54" spans="1:8" x14ac:dyDescent="0.3">
      <c r="A54" s="2">
        <f t="shared" si="4"/>
        <v>2022</v>
      </c>
      <c r="B54" s="3">
        <v>5</v>
      </c>
      <c r="C54" s="3">
        <f>[1]Ipc!C258</f>
        <v>107.995</v>
      </c>
      <c r="D54" s="3">
        <f>[1]Ipc!D258</f>
        <v>8.8000000000000007</v>
      </c>
      <c r="E54" s="3">
        <f>[1]Ipc!E258</f>
        <v>5.0993006965126373</v>
      </c>
      <c r="F54" s="3">
        <f>[1]Ipc!F258</f>
        <v>108.262</v>
      </c>
      <c r="G54" s="3">
        <f>[1]Ipc!G258</f>
        <v>8.6999999999999993</v>
      </c>
      <c r="H54" s="3">
        <f>[1]Ipc!H258</f>
        <v>5.033003182568681</v>
      </c>
    </row>
    <row r="55" spans="1:8" x14ac:dyDescent="0.3">
      <c r="A55" s="2">
        <f t="shared" si="4"/>
        <v>2022</v>
      </c>
      <c r="B55" s="3">
        <v>6</v>
      </c>
      <c r="C55" s="3">
        <f>[1]Ipc!C259</f>
        <v>110.033</v>
      </c>
      <c r="D55" s="3">
        <f>[1]Ipc!D259</f>
        <v>10</v>
      </c>
      <c r="E55" s="3">
        <f>[1]Ipc!E259</f>
        <v>5.1634659887557817</v>
      </c>
      <c r="F55" s="3">
        <f>[1]Ipc!F259</f>
        <v>110.267</v>
      </c>
      <c r="G55" s="3">
        <f>[1]Ipc!G259</f>
        <v>10.199999999999999</v>
      </c>
      <c r="H55" s="3">
        <f>[1]Ipc!H259</f>
        <v>5.0990680389130913</v>
      </c>
    </row>
    <row r="56" spans="1:8" x14ac:dyDescent="0.3">
      <c r="A56" s="2">
        <f t="shared" si="4"/>
        <v>2022</v>
      </c>
      <c r="B56" s="3">
        <v>7</v>
      </c>
      <c r="C56" s="3">
        <f>[1]Ipc!C260</f>
        <v>109.929</v>
      </c>
      <c r="D56" s="3">
        <f>[1]Ipc!D260</f>
        <v>10.5</v>
      </c>
      <c r="E56" s="3">
        <f>[1]Ipc!E260</f>
        <v>5.2101146987624567</v>
      </c>
      <c r="F56" s="3">
        <f>[1]Ipc!F260</f>
        <v>109.986</v>
      </c>
      <c r="G56" s="3">
        <f>[1]Ipc!G260</f>
        <v>10.8</v>
      </c>
      <c r="H56" s="3">
        <f>[1]Ipc!H260</f>
        <v>5.1476431730796754</v>
      </c>
    </row>
    <row r="57" spans="1:8" x14ac:dyDescent="0.3">
      <c r="A57" s="2">
        <f t="shared" si="4"/>
        <v>2022</v>
      </c>
      <c r="B57" s="3">
        <v>8</v>
      </c>
      <c r="C57" s="3">
        <f>[1]Ipc!C261</f>
        <v>110.17700000000001</v>
      </c>
      <c r="D57" s="3">
        <f>[1]Ipc!D261</f>
        <v>10.1</v>
      </c>
      <c r="E57" s="3">
        <f>[1]Ipc!E261</f>
        <v>5.2392890743485436</v>
      </c>
      <c r="F57" s="3">
        <f>[1]Ipc!F261</f>
        <v>110.265</v>
      </c>
      <c r="G57" s="3">
        <f>[1]Ipc!G261</f>
        <v>10.5</v>
      </c>
      <c r="H57" s="3">
        <f>[1]Ipc!H261</f>
        <v>5.1787127584338917</v>
      </c>
    </row>
    <row r="58" spans="1:8" x14ac:dyDescent="0.3">
      <c r="A58" s="2">
        <f t="shared" si="4"/>
        <v>2022</v>
      </c>
      <c r="B58" s="3">
        <v>9</v>
      </c>
      <c r="C58" s="3">
        <f>[1]Ipc!C262</f>
        <v>109.145</v>
      </c>
      <c r="D58" s="3">
        <f>[1]Ipc!D262</f>
        <v>8.3000000000000007</v>
      </c>
      <c r="E58" s="3">
        <f>[1]Ipc!E262</f>
        <v>5.251398716475844</v>
      </c>
      <c r="F58" s="3">
        <f>[1]Ipc!F262</f>
        <v>109.498</v>
      </c>
      <c r="G58" s="3">
        <f>[1]Ipc!G262</f>
        <v>8.9</v>
      </c>
      <c r="H58" s="3">
        <f>[1]Ipc!H262</f>
        <v>5.1926534931208472</v>
      </c>
    </row>
    <row r="59" spans="1:8" x14ac:dyDescent="0.3">
      <c r="A59" s="2">
        <f t="shared" si="4"/>
        <v>2022</v>
      </c>
      <c r="B59" s="3">
        <v>10</v>
      </c>
      <c r="C59" s="3">
        <f>[1]Ipc!C263</f>
        <v>109.523</v>
      </c>
      <c r="D59" s="3">
        <f>[1]Ipc!D263</f>
        <v>7.1</v>
      </c>
      <c r="E59" s="3">
        <f>[1]Ipc!E263</f>
        <v>5.2471907754759961</v>
      </c>
      <c r="F59" s="3">
        <f>[1]Ipc!F263</f>
        <v>109.866</v>
      </c>
      <c r="G59" s="3">
        <f>[1]Ipc!G263</f>
        <v>7.3</v>
      </c>
      <c r="H59" s="3">
        <f>[1]Ipc!H263</f>
        <v>5.1902116091218682</v>
      </c>
    </row>
    <row r="60" spans="1:8" x14ac:dyDescent="0.3">
      <c r="A60" s="2">
        <f t="shared" si="4"/>
        <v>2022</v>
      </c>
      <c r="B60" s="3">
        <v>11</v>
      </c>
      <c r="C60" s="3">
        <f>[1]Ipc!C264</f>
        <v>109.75700000000001</v>
      </c>
      <c r="D60" s="3">
        <f>[1]Ipc!D264</f>
        <v>6.7</v>
      </c>
      <c r="E60" s="3">
        <f>[1]Ipc!E264</f>
        <v>5.227624110103104</v>
      </c>
      <c r="F60" s="3">
        <f>[1]Ipc!F264</f>
        <v>109.73399999999999</v>
      </c>
      <c r="G60" s="3">
        <f>[1]Ipc!G264</f>
        <v>6.8</v>
      </c>
      <c r="H60" s="3">
        <f>[1]Ipc!H264</f>
        <v>5.1723907930368132</v>
      </c>
    </row>
    <row r="61" spans="1:8" x14ac:dyDescent="0.3">
      <c r="A61" s="2">
        <f t="shared" si="4"/>
        <v>2022</v>
      </c>
      <c r="B61" s="3">
        <v>12</v>
      </c>
      <c r="C61" s="3">
        <f>[1]Ipc!C265</f>
        <v>109.755</v>
      </c>
      <c r="D61" s="3">
        <f>[1]Ipc!D265</f>
        <v>5.3</v>
      </c>
      <c r="E61" s="3">
        <f>[1]Ipc!E265</f>
        <v>5.1937862464185311</v>
      </c>
      <c r="F61" s="3">
        <f>[1]Ipc!F265</f>
        <v>109.899</v>
      </c>
      <c r="G61" s="3">
        <f>[1]Ipc!G265</f>
        <v>5.7</v>
      </c>
      <c r="H61" s="3">
        <f>[1]Ipc!H265</f>
        <v>5.1403412445482415</v>
      </c>
    </row>
    <row r="62" spans="1:8" x14ac:dyDescent="0.3">
      <c r="A62" s="2">
        <v>2023</v>
      </c>
      <c r="B62" s="3">
        <v>1</v>
      </c>
      <c r="C62" s="3">
        <f>[1]Ipc!C266</f>
        <v>109.562</v>
      </c>
      <c r="D62" s="3">
        <f>[1]Ipc!D266</f>
        <v>5.7</v>
      </c>
      <c r="E62" s="3">
        <f>[1]Ipc!E266</f>
        <v>5.1468669588093272</v>
      </c>
      <c r="F62" s="3">
        <f>[1]Ipc!F266</f>
        <v>109.66800000000001</v>
      </c>
      <c r="G62" s="3">
        <f>[1]Ipc!G266</f>
        <v>5.9</v>
      </c>
      <c r="H62" s="3">
        <f>[1]Ipc!H266</f>
        <v>5.0953261917558619</v>
      </c>
    </row>
    <row r="63" spans="1:8" x14ac:dyDescent="0.3">
      <c r="A63" s="2">
        <f>A62</f>
        <v>2023</v>
      </c>
      <c r="B63" s="3">
        <v>2</v>
      </c>
      <c r="C63" s="3">
        <f>[1]Ipc!C267</f>
        <v>110.67400000000001</v>
      </c>
      <c r="D63" s="3">
        <f>[1]Ipc!D267</f>
        <v>6.1</v>
      </c>
      <c r="E63" s="3">
        <f>[1]Ipc!E267</f>
        <v>5.0880633976176526</v>
      </c>
      <c r="F63" s="3">
        <f>[1]Ipc!F267</f>
        <v>110.703</v>
      </c>
      <c r="G63" s="3">
        <f>[1]Ipc!G267</f>
        <v>6</v>
      </c>
      <c r="H63" s="3">
        <f>[1]Ipc!H267</f>
        <v>5.0386477279507336</v>
      </c>
    </row>
    <row r="64" spans="1:8" x14ac:dyDescent="0.3">
      <c r="A64" s="2">
        <f t="shared" ref="A64:A73" si="5">A63</f>
        <v>2023</v>
      </c>
      <c r="B64" s="3">
        <v>3</v>
      </c>
      <c r="C64" s="3">
        <f>[1]Ipc!C268</f>
        <v>111.17100000000001</v>
      </c>
      <c r="D64" s="3">
        <f>[1]Ipc!D268</f>
        <v>3.2</v>
      </c>
      <c r="E64" s="3">
        <f>[1]Ipc!E268</f>
        <v>5.0186111252024164</v>
      </c>
      <c r="F64" s="3">
        <f>[1]Ipc!F268</f>
        <v>111.111</v>
      </c>
      <c r="G64" s="3">
        <f>[1]Ipc!G268</f>
        <v>3.3</v>
      </c>
      <c r="H64" s="3">
        <f>[1]Ipc!H268</f>
        <v>4.9716638265494888</v>
      </c>
    </row>
    <row r="65" spans="1:8" x14ac:dyDescent="0.3">
      <c r="A65" s="2">
        <f t="shared" si="5"/>
        <v>2023</v>
      </c>
      <c r="B65" s="3">
        <v>4</v>
      </c>
      <c r="C65" s="3">
        <f>[1]Ipc!C269</f>
        <v>111.857</v>
      </c>
      <c r="D65" s="3">
        <f>[1]Ipc!D269</f>
        <v>4.3</v>
      </c>
      <c r="E65" s="3">
        <f>[1]Ipc!E269</f>
        <v>4.939815977297692</v>
      </c>
      <c r="F65" s="3">
        <f>[1]Ipc!F269</f>
        <v>111.773</v>
      </c>
      <c r="G65" s="3">
        <f>[1]Ipc!G269</f>
        <v>4.0999999999999996</v>
      </c>
      <c r="H65" s="3">
        <f>[1]Ipc!H269</f>
        <v>4.8957992215432071</v>
      </c>
    </row>
    <row r="66" spans="1:8" x14ac:dyDescent="0.3">
      <c r="A66" s="2">
        <f t="shared" si="5"/>
        <v>2023</v>
      </c>
      <c r="B66" s="3">
        <v>5</v>
      </c>
      <c r="C66" s="3">
        <f>[1]Ipc!C270</f>
        <v>111.82599999999999</v>
      </c>
      <c r="D66" s="3">
        <f>[1]Ipc!D270</f>
        <v>3.5</v>
      </c>
      <c r="E66" s="3">
        <f>[1]Ipc!E270</f>
        <v>4.8528574971983032</v>
      </c>
      <c r="F66" s="3">
        <f>[1]Ipc!F270</f>
        <v>111.71899999999999</v>
      </c>
      <c r="G66" s="3">
        <f>[1]Ipc!G270</f>
        <v>3.2</v>
      </c>
      <c r="H66" s="3">
        <f>[1]Ipc!H270</f>
        <v>4.8123625591572345</v>
      </c>
    </row>
    <row r="67" spans="1:8" x14ac:dyDescent="0.3">
      <c r="A67" s="2">
        <f t="shared" si="5"/>
        <v>2023</v>
      </c>
      <c r="B67" s="3">
        <v>6</v>
      </c>
      <c r="C67" s="3">
        <f>[1]Ipc!C271</f>
        <v>112.56100000000001</v>
      </c>
      <c r="D67" s="3">
        <f>[1]Ipc!D271</f>
        <v>2.2999999999999998</v>
      </c>
      <c r="E67" s="3">
        <f>[1]Ipc!E271</f>
        <v>4.7588707965339836</v>
      </c>
      <c r="F67" s="3">
        <f>[1]Ipc!F271</f>
        <v>112.354</v>
      </c>
      <c r="G67" s="3">
        <f>[1]Ipc!G271</f>
        <v>1.9</v>
      </c>
      <c r="H67" s="3">
        <f>[1]Ipc!H271</f>
        <v>4.7226072217820878</v>
      </c>
    </row>
    <row r="68" spans="1:8" x14ac:dyDescent="0.3">
      <c r="A68" s="2">
        <f t="shared" si="5"/>
        <v>2023</v>
      </c>
      <c r="B68" s="3">
        <v>7</v>
      </c>
      <c r="C68" s="3">
        <f>[1]Ipc!C272</f>
        <v>112.825</v>
      </c>
      <c r="D68" s="3">
        <f>[1]Ipc!D272</f>
        <v>2.6</v>
      </c>
      <c r="E68" s="3">
        <f>[1]Ipc!E272</f>
        <v>4.6588970384971597</v>
      </c>
      <c r="F68" s="3">
        <f>[1]Ipc!F272</f>
        <v>112.544</v>
      </c>
      <c r="G68" s="3">
        <f>[1]Ipc!G272</f>
        <v>2.2999999999999998</v>
      </c>
      <c r="H68" s="3">
        <f>[1]Ipc!H272</f>
        <v>4.6276746221861194</v>
      </c>
    </row>
    <row r="69" spans="1:8" x14ac:dyDescent="0.3">
      <c r="A69" s="2">
        <f t="shared" si="5"/>
        <v>2023</v>
      </c>
      <c r="B69" s="3">
        <v>8</v>
      </c>
      <c r="C69" s="3">
        <f>[1]Ipc!C273</f>
        <v>113.675</v>
      </c>
      <c r="D69" s="3">
        <f>[1]Ipc!D273</f>
        <v>3.2</v>
      </c>
      <c r="E69" s="3">
        <f>[1]Ipc!E273</f>
        <v>4.5538066313638339</v>
      </c>
      <c r="F69" s="3">
        <f>[1]Ipc!F273</f>
        <v>113.149</v>
      </c>
      <c r="G69" s="3">
        <f>[1]Ipc!G273</f>
        <v>2.6</v>
      </c>
      <c r="H69" s="3">
        <f>[1]Ipc!H273</f>
        <v>4.5285101587472809</v>
      </c>
    </row>
    <row r="70" spans="1:8" x14ac:dyDescent="0.3">
      <c r="A70" s="2">
        <f t="shared" si="5"/>
        <v>2023</v>
      </c>
      <c r="B70" s="3">
        <v>9</v>
      </c>
      <c r="C70" s="3">
        <f>[1]Ipc!C274</f>
        <v>113.648</v>
      </c>
      <c r="D70" s="3">
        <f>[1]Ipc!D274</f>
        <v>4.0999999999999996</v>
      </c>
      <c r="E70" s="3">
        <f>[1]Ipc!E274</f>
        <v>4.4443270044490006</v>
      </c>
      <c r="F70" s="3">
        <f>[1]Ipc!F274</f>
        <v>113.348</v>
      </c>
      <c r="G70" s="3">
        <f>[1]Ipc!G274</f>
        <v>3.5</v>
      </c>
      <c r="H70" s="3">
        <f>[1]Ipc!H274</f>
        <v>4.4258975857725389</v>
      </c>
    </row>
    <row r="71" spans="1:8" x14ac:dyDescent="0.3">
      <c r="A71" s="2">
        <f t="shared" si="5"/>
        <v>2023</v>
      </c>
      <c r="B71" s="3">
        <v>10</v>
      </c>
      <c r="C71" s="3">
        <f>[1]Ipc!C275</f>
        <v>113.76</v>
      </c>
      <c r="D71" s="3">
        <f>[1]Ipc!D275</f>
        <v>3.9</v>
      </c>
      <c r="E71" s="3">
        <f>[1]Ipc!E275</f>
        <v>4.3310915727182548</v>
      </c>
      <c r="F71" s="3">
        <f>[1]Ipc!F275</f>
        <v>113.676</v>
      </c>
      <c r="G71" s="3">
        <f>[1]Ipc!G275</f>
        <v>3.5</v>
      </c>
      <c r="H71" s="3">
        <f>[1]Ipc!H275</f>
        <v>4.3204867332522801</v>
      </c>
    </row>
    <row r="72" spans="1:8" x14ac:dyDescent="0.3">
      <c r="A72" s="2">
        <f t="shared" si="5"/>
        <v>2023</v>
      </c>
      <c r="B72" s="3">
        <v>11</v>
      </c>
      <c r="C72" s="3">
        <f>[1]Ipc!C276</f>
        <v>113.503</v>
      </c>
      <c r="D72" s="3">
        <f>[1]Ipc!D276</f>
        <v>3.4</v>
      </c>
      <c r="E72" s="3">
        <f>[1]Ipc!E276</f>
        <v>4.2147098395396601</v>
      </c>
      <c r="F72" s="3">
        <f>[1]Ipc!F276</f>
        <v>113.28</v>
      </c>
      <c r="G72" s="3">
        <f>[1]Ipc!G276</f>
        <v>3.2</v>
      </c>
      <c r="H72" s="3">
        <f>[1]Ipc!H276</f>
        <v>4.2128631327334345</v>
      </c>
    </row>
    <row r="73" spans="1:8" x14ac:dyDescent="0.3">
      <c r="A73" s="2">
        <f t="shared" si="5"/>
        <v>2023</v>
      </c>
      <c r="B73" s="3">
        <v>12</v>
      </c>
      <c r="C73" s="3">
        <f>[1]Ipc!C277</f>
        <v>113.345</v>
      </c>
      <c r="D73" s="3">
        <f>[1]Ipc!D277</f>
        <v>3.3</v>
      </c>
      <c r="E73" s="3">
        <f>[1]Ipc!E277</f>
        <v>4.0957613713665078</v>
      </c>
      <c r="F73" s="3">
        <f>[1]Ipc!F277</f>
        <v>113.30800000000001</v>
      </c>
      <c r="G73" s="3">
        <f>[1]Ipc!G277</f>
        <v>3.1</v>
      </c>
      <c r="H73" s="3">
        <f>[1]Ipc!H277</f>
        <v>4.1035553375175677</v>
      </c>
    </row>
    <row r="74" spans="1:8" x14ac:dyDescent="0.3">
      <c r="A74" s="2">
        <v>2024</v>
      </c>
      <c r="B74" s="3">
        <v>1</v>
      </c>
      <c r="C74" s="3">
        <f>[1]Ipc!C278</f>
        <v>113.61799999999999</v>
      </c>
      <c r="D74" s="3">
        <f>[1]Ipc!D278</f>
        <v>3.7</v>
      </c>
      <c r="E74" s="3">
        <f>[1]Ipc!E278</f>
        <v>3.9747691575798996</v>
      </c>
      <c r="F74" s="3">
        <f>[1]Ipc!F278</f>
        <v>113.404</v>
      </c>
      <c r="G74" s="3">
        <f>[1]Ipc!G278</f>
        <v>3.4</v>
      </c>
      <c r="H74" s="3">
        <f>[1]Ipc!H278</f>
        <v>3.9930215631886949</v>
      </c>
    </row>
    <row r="75" spans="1:8" x14ac:dyDescent="0.3">
      <c r="A75" s="2">
        <f>A74</f>
        <v>2024</v>
      </c>
      <c r="B75" s="3">
        <v>2</v>
      </c>
      <c r="C75" s="3">
        <f>[1]Ipc!C279</f>
        <v>113.798</v>
      </c>
      <c r="D75" s="3">
        <f>[1]Ipc!D279</f>
        <v>2.8</v>
      </c>
      <c r="E75" s="3">
        <f>[1]Ipc!E279</f>
        <v>3.8522009263545911</v>
      </c>
      <c r="F75" s="3">
        <f>[1]Ipc!F279</f>
        <v>113.807</v>
      </c>
      <c r="G75" s="3">
        <f>[1]Ipc!G279</f>
        <v>2.8</v>
      </c>
      <c r="H75" s="3">
        <f>[1]Ipc!H279</f>
        <v>3.8816503339879471</v>
      </c>
    </row>
    <row r="76" spans="1:8" x14ac:dyDescent="0.3">
      <c r="A76" s="2">
        <f t="shared" ref="A76:A85" si="6">A75</f>
        <v>2024</v>
      </c>
      <c r="B76" s="3">
        <v>3</v>
      </c>
      <c r="C76" s="3">
        <f>[1]Ipc!C280</f>
        <v>114.48399999999999</v>
      </c>
      <c r="D76" s="3">
        <f>[1]Ipc!D280</f>
        <v>3</v>
      </c>
      <c r="E76" s="3">
        <f>[1]Ipc!E280</f>
        <v>3.72850532467384</v>
      </c>
      <c r="F76" s="3">
        <f>[1]Ipc!F280</f>
        <v>114.67400000000001</v>
      </c>
      <c r="G76" s="3">
        <f>[1]Ipc!G280</f>
        <v>3.2</v>
      </c>
      <c r="H76" s="3">
        <f>[1]Ipc!H280</f>
        <v>3.7697889921034564</v>
      </c>
    </row>
    <row r="77" spans="1:8" x14ac:dyDescent="0.3">
      <c r="A77" s="2">
        <f t="shared" si="6"/>
        <v>2024</v>
      </c>
      <c r="B77" s="3">
        <v>4</v>
      </c>
      <c r="C77" s="3">
        <f>[1]Ipc!C281</f>
        <v>115.393</v>
      </c>
      <c r="D77" s="3">
        <f>[1]Ipc!D281</f>
        <v>3.2</v>
      </c>
      <c r="E77" s="3">
        <f>[1]Ipc!E281</f>
        <v>3.6040579300121296</v>
      </c>
      <c r="F77" s="3">
        <f>[1]Ipc!F281</f>
        <v>115.47199999999999</v>
      </c>
      <c r="G77" s="3">
        <f>[1]Ipc!G281</f>
        <v>3.3</v>
      </c>
      <c r="H77" s="3">
        <f>[1]Ipc!H281</f>
        <v>3.6577097651168287</v>
      </c>
    </row>
    <row r="78" spans="1:8" x14ac:dyDescent="0.3">
      <c r="A78" s="2">
        <f t="shared" si="6"/>
        <v>2024</v>
      </c>
      <c r="B78" s="3">
        <v>5</v>
      </c>
      <c r="C78" s="3">
        <f>[1]Ipc!C282</f>
        <v>115.759</v>
      </c>
      <c r="D78" s="3">
        <f>[1]Ipc!D282</f>
        <v>3.5</v>
      </c>
      <c r="E78" s="3">
        <f>[1]Ipc!E282</f>
        <v>3.4791837291963974</v>
      </c>
      <c r="F78" s="3">
        <f>[1]Ipc!F282</f>
        <v>115.776</v>
      </c>
      <c r="G78" s="3">
        <f>[1]Ipc!G282</f>
        <v>3.6</v>
      </c>
      <c r="H78" s="3">
        <f>[1]Ipc!H282</f>
        <v>3.5456453119296629</v>
      </c>
    </row>
    <row r="79" spans="1:8" x14ac:dyDescent="0.3">
      <c r="A79" s="2">
        <f t="shared" si="6"/>
        <v>2024</v>
      </c>
      <c r="B79" s="3">
        <v>6</v>
      </c>
      <c r="C79" s="3">
        <f>[1]Ipc!C283</f>
        <v>116.004</v>
      </c>
      <c r="D79" s="3">
        <f>[1]Ipc!D283</f>
        <v>3.1</v>
      </c>
      <c r="E79" s="3">
        <f>[1]Ipc!E283</f>
        <v>3.3541796494751082</v>
      </c>
      <c r="F79" s="3">
        <f>[1]Ipc!F283</f>
        <v>116.212</v>
      </c>
      <c r="G79" s="3">
        <f>[1]Ipc!G283</f>
        <v>3.4</v>
      </c>
      <c r="H79" s="3">
        <f>[1]Ipc!H283</f>
        <v>3.4338034504876482</v>
      </c>
    </row>
    <row r="80" spans="1:8" x14ac:dyDescent="0.3">
      <c r="A80" s="2">
        <f t="shared" si="6"/>
        <v>2024</v>
      </c>
      <c r="B80" s="3">
        <v>7</v>
      </c>
      <c r="C80" s="3">
        <f>[1]Ipc!C284</f>
        <v>115.604</v>
      </c>
      <c r="D80" s="3">
        <f>[1]Ipc!D284</f>
        <v>2.5</v>
      </c>
      <c r="E80" s="3">
        <f>[1]Ipc!E284</f>
        <v>3.2293440636710886</v>
      </c>
      <c r="F80" s="3">
        <f>[1]Ipc!F284</f>
        <v>115.66</v>
      </c>
      <c r="G80" s="3">
        <f>[1]Ipc!G284</f>
        <v>2.8</v>
      </c>
      <c r="H80" s="3">
        <f>[1]Ipc!H284</f>
        <v>3.3223957733675897</v>
      </c>
    </row>
    <row r="81" spans="1:8" x14ac:dyDescent="0.3">
      <c r="A81" s="2">
        <f t="shared" si="6"/>
        <v>2024</v>
      </c>
      <c r="B81" s="3">
        <v>8</v>
      </c>
      <c r="C81" s="3">
        <f>[1]Ipc!C285</f>
        <v>115.929</v>
      </c>
      <c r="D81" s="3">
        <f>[1]Ipc!D285</f>
        <v>2</v>
      </c>
      <c r="E81" s="3">
        <f>[1]Ipc!E285</f>
        <v>3.1049576932426186</v>
      </c>
      <c r="F81" s="3">
        <f>[1]Ipc!F285</f>
        <v>115.70699999999999</v>
      </c>
      <c r="G81" s="3">
        <f>[1]Ipc!G285</f>
        <v>2.2999999999999998</v>
      </c>
      <c r="H81" s="3">
        <f>[1]Ipc!H285</f>
        <v>3.2116315256844534</v>
      </c>
    </row>
    <row r="82" spans="1:8" x14ac:dyDescent="0.3">
      <c r="A82" s="2">
        <f t="shared" si="6"/>
        <v>2024</v>
      </c>
      <c r="B82" s="3">
        <v>9</v>
      </c>
      <c r="C82" s="3">
        <f>[1]Ipc!C286</f>
        <v>114.83</v>
      </c>
      <c r="D82" s="3">
        <f>[1]Ipc!D286</f>
        <v>1</v>
      </c>
      <c r="E82" s="3">
        <f>[1]Ipc!E286</f>
        <v>2.9812506107546684</v>
      </c>
      <c r="F82" s="3">
        <f>[1]Ipc!F286</f>
        <v>115.009</v>
      </c>
      <c r="G82" s="3">
        <f>[1]Ipc!G286</f>
        <v>1.5</v>
      </c>
      <c r="H82" s="3">
        <f>[1]Ipc!H286</f>
        <v>3.1016836750689443</v>
      </c>
    </row>
    <row r="83" spans="1:8" x14ac:dyDescent="0.3">
      <c r="A83" s="2">
        <f t="shared" si="6"/>
        <v>2024</v>
      </c>
      <c r="B83" s="3">
        <v>10</v>
      </c>
      <c r="C83" s="3">
        <f>[1]Ipc!C287</f>
        <v>115.468</v>
      </c>
      <c r="D83" s="3">
        <f>[1]Ipc!D287</f>
        <v>1.5</v>
      </c>
      <c r="E83" s="3">
        <f>[1]Ipc!E287</f>
        <v>2.8583761555990663</v>
      </c>
      <c r="F83" s="3">
        <f>[1]Ipc!F287</f>
        <v>115.726</v>
      </c>
      <c r="G83" s="3">
        <f>[1]Ipc!G287</f>
        <v>1.8</v>
      </c>
      <c r="H83" s="3">
        <f>[1]Ipc!H287</f>
        <v>2.9926618814069288</v>
      </c>
    </row>
    <row r="84" spans="1:8" x14ac:dyDescent="0.3">
      <c r="A84" s="2">
        <f t="shared" si="6"/>
        <v>2024</v>
      </c>
      <c r="B84" s="3">
        <v>11</v>
      </c>
      <c r="C84" s="3">
        <f>[1]Ipc!C288</f>
        <v>116.039</v>
      </c>
      <c r="D84" s="3">
        <f>[1]Ipc!D288</f>
        <v>2.2000000000000002</v>
      </c>
      <c r="E84" s="3">
        <f>[1]Ipc!E288</f>
        <v>2.7363500803196721</v>
      </c>
      <c r="F84" s="3">
        <f>[1]Ipc!F288</f>
        <v>116.01</v>
      </c>
      <c r="G84" s="3">
        <f>[1]Ipc!G288</f>
        <v>2.4</v>
      </c>
      <c r="H84" s="3">
        <f>[1]Ipc!H288</f>
        <v>2.8845645765512824</v>
      </c>
    </row>
    <row r="85" spans="1:8" x14ac:dyDescent="0.3">
      <c r="A85" s="2">
        <f t="shared" si="6"/>
        <v>2024</v>
      </c>
      <c r="B85" s="3">
        <v>12</v>
      </c>
      <c r="C85" s="3">
        <f>[1]Ipc!C289</f>
        <v>116.628</v>
      </c>
      <c r="D85" s="3">
        <f>[1]Ipc!D289</f>
        <v>2.9</v>
      </c>
      <c r="E85" s="3">
        <f>[1]Ipc!E289</f>
        <v>2.6150938057828728</v>
      </c>
      <c r="F85" s="3">
        <f>[1]Ipc!F289</f>
        <v>116.53400000000001</v>
      </c>
      <c r="G85" s="3">
        <f>[1]Ipc!G289</f>
        <v>2.8</v>
      </c>
      <c r="H85" s="3">
        <f>[1]Ipc!H289</f>
        <v>2.777307368613116</v>
      </c>
    </row>
    <row r="86" spans="1:8" x14ac:dyDescent="0.3">
      <c r="A86" s="2">
        <v>2025</v>
      </c>
      <c r="B86" s="3">
        <v>1</v>
      </c>
      <c r="C86" s="3">
        <f>[1]Ipc!C290</f>
        <v>116.672</v>
      </c>
      <c r="D86" s="3">
        <f>[1]Ipc!D290</f>
        <v>2.7</v>
      </c>
      <c r="E86" s="3">
        <f>[1]Ipc!E290</f>
        <v>2.4944915063217001</v>
      </c>
      <c r="F86" s="3">
        <f>[1]Ipc!F290</f>
        <v>116.733</v>
      </c>
      <c r="G86" s="3">
        <f>[1]Ipc!G290</f>
        <v>2.9</v>
      </c>
      <c r="H86" s="3">
        <f>[1]Ipc!H290</f>
        <v>2.6707722153857243</v>
      </c>
    </row>
    <row r="87" spans="1:8" x14ac:dyDescent="0.3">
      <c r="A87" s="2">
        <v>2025</v>
      </c>
      <c r="B87" s="3">
        <v>2</v>
      </c>
      <c r="C87" s="3">
        <f>[1]Ipc!C291</f>
        <v>116.94499999999999</v>
      </c>
      <c r="D87" s="3">
        <f>[1]Ipc!D291</f>
        <v>2.8</v>
      </c>
      <c r="E87" s="3">
        <f>[1]Ipc!E291</f>
        <v>2.3744471414215615</v>
      </c>
      <c r="F87" s="3">
        <f>[1]Ipc!F291</f>
        <v>117.191</v>
      </c>
      <c r="G87" s="3">
        <f>[1]Ipc!G291</f>
        <v>3</v>
      </c>
      <c r="H87" s="3">
        <f>[1]Ipc!H291</f>
        <v>2.5648426505395814</v>
      </c>
    </row>
    <row r="88" spans="1:8" x14ac:dyDescent="0.3">
      <c r="A88" s="2">
        <v>2025</v>
      </c>
      <c r="B88" s="3">
        <v>3</v>
      </c>
      <c r="C88" s="3">
        <f>[1]Ipc!C292</f>
        <v>116.854</v>
      </c>
      <c r="D88" s="3">
        <f>[1]Ipc!D292</f>
        <v>2.1</v>
      </c>
      <c r="E88" s="3">
        <f>[1]Ipc!E292</f>
        <v>2.2548789419910364</v>
      </c>
      <c r="F88" s="3">
        <f>[1]Ipc!F292</f>
        <v>117.26</v>
      </c>
      <c r="G88" s="3">
        <f>[1]Ipc!G292</f>
        <v>2.2999999999999998</v>
      </c>
      <c r="H88" s="3">
        <f>[1]Ipc!H292</f>
        <v>2.4594181263413146</v>
      </c>
    </row>
    <row r="89" spans="1:8" x14ac:dyDescent="0.3">
      <c r="A89" s="2">
        <v>2025</v>
      </c>
      <c r="B89" s="3">
        <v>4</v>
      </c>
      <c r="C89" s="3">
        <f>[1]Ipc!C293</f>
        <v>117.703</v>
      </c>
      <c r="D89" s="3">
        <f>[1]Ipc!D293</f>
        <v>2</v>
      </c>
      <c r="E89" s="3">
        <f>[1]Ipc!E293</f>
        <v>2.1357346912205499</v>
      </c>
      <c r="F89" s="3">
        <f>[1]Ipc!F293</f>
        <v>117.997</v>
      </c>
      <c r="G89" s="3">
        <f>[1]Ipc!G293</f>
        <v>2.2000000000000002</v>
      </c>
      <c r="H89" s="3">
        <f>[1]Ipc!H293</f>
        <v>2.3544283143179312</v>
      </c>
    </row>
    <row r="90" spans="1:8" x14ac:dyDescent="0.3">
      <c r="A90" s="2">
        <v>2025</v>
      </c>
      <c r="B90" s="3">
        <v>5</v>
      </c>
      <c r="C90" s="3">
        <f>[1]Ipc!C294</f>
        <v>117.559</v>
      </c>
      <c r="D90" s="3">
        <f>[1]Ipc!D294</f>
        <v>1.6</v>
      </c>
      <c r="E90" s="3">
        <f>[1]Ipc!E294</f>
        <v>2.0169514168184444</v>
      </c>
      <c r="F90" s="3">
        <f>[1]Ipc!F294</f>
        <v>118.077</v>
      </c>
      <c r="G90" s="3">
        <f>[1]Ipc!G294</f>
        <v>2</v>
      </c>
      <c r="H90" s="3">
        <f>[1]Ipc!H294</f>
        <v>2.2497918152932197</v>
      </c>
    </row>
    <row r="91" spans="1:8" x14ac:dyDescent="0.3">
      <c r="A91" s="2">
        <v>2025</v>
      </c>
      <c r="B91" s="3">
        <v>6</v>
      </c>
      <c r="C91" s="3">
        <f>[1]Ipc!C295</f>
        <v>118.622</v>
      </c>
      <c r="D91" s="3">
        <f>[1]Ipc!D295</f>
        <v>1.6</v>
      </c>
      <c r="E91" s="3">
        <f>[1]Ipc!E295</f>
        <v>1.8984567204728384</v>
      </c>
      <c r="F91" s="3">
        <f>[1]Ipc!F295</f>
        <v>118.867</v>
      </c>
      <c r="G91" s="3">
        <f>[1]Ipc!G295</f>
        <v>2.2999999999999998</v>
      </c>
      <c r="H91" s="3">
        <f>[1]Ipc!H295</f>
        <v>2.1454165059024737</v>
      </c>
    </row>
    <row r="92" spans="1:8" x14ac:dyDescent="0.3">
      <c r="A92" s="2">
        <v>2025</v>
      </c>
      <c r="B92" s="3">
        <v>7</v>
      </c>
      <c r="C92" s="3">
        <f>[1]Ipc!C296</f>
        <v>118.575</v>
      </c>
      <c r="D92" s="3">
        <f>[1]Ipc!D296</f>
        <v>2.6</v>
      </c>
      <c r="E92" s="3">
        <f>[1]Ipc!E296</f>
        <v>1.7801492489123487</v>
      </c>
      <c r="F92" s="3">
        <f>[1]Ipc!F296</f>
        <v>118.777</v>
      </c>
      <c r="G92" s="3">
        <f>[1]Ipc!G296</f>
        <v>2.7</v>
      </c>
      <c r="H92" s="3">
        <f>[1]Ipc!H296</f>
        <v>2.0411929161271472</v>
      </c>
    </row>
    <row r="93" spans="1:8" x14ac:dyDescent="0.3">
      <c r="A93" s="2">
        <v>2025</v>
      </c>
      <c r="B93" s="3">
        <v>8</v>
      </c>
      <c r="C93" s="3">
        <f>[1]Ipc!C297</f>
        <v>118.985</v>
      </c>
      <c r="D93" s="3">
        <f>[1]Ipc!D297</f>
        <v>2.6</v>
      </c>
      <c r="E93" s="3">
        <f>[1]Ipc!E297</f>
        <v>1.661906922704449</v>
      </c>
      <c r="F93" s="3">
        <f>[1]Ipc!F297</f>
        <v>118.824</v>
      </c>
      <c r="G93" s="3">
        <f>[1]Ipc!G297</f>
        <v>2.7</v>
      </c>
      <c r="H93" s="3">
        <f>[1]Ipc!H297</f>
        <v>1.9370223109135629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177"/>
  <sheetViews>
    <sheetView topLeftCell="A82" workbookViewId="0">
      <selection activeCell="G93" sqref="G93"/>
    </sheetView>
  </sheetViews>
  <sheetFormatPr baseColWidth="10" defaultColWidth="11.42578125" defaultRowHeight="13.5" x14ac:dyDescent="0.3"/>
  <cols>
    <col min="1" max="1" width="4.42578125" style="2" bestFit="1" customWidth="1"/>
    <col min="2" max="2" width="4.140625" style="2" bestFit="1" customWidth="1"/>
    <col min="3" max="8" width="19.7109375" style="2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194</v>
      </c>
      <c r="D1" s="2" t="s">
        <v>195</v>
      </c>
      <c r="E1" s="2" t="s">
        <v>196</v>
      </c>
      <c r="F1" s="2" t="s">
        <v>197</v>
      </c>
      <c r="G1" s="2" t="s">
        <v>198</v>
      </c>
      <c r="H1" s="2" t="s">
        <v>199</v>
      </c>
    </row>
    <row r="2" spans="1:8" x14ac:dyDescent="0.3">
      <c r="A2" s="2">
        <v>2018</v>
      </c>
      <c r="B2" s="2">
        <v>1</v>
      </c>
      <c r="C2" s="3">
        <v>20988</v>
      </c>
      <c r="D2" s="3">
        <v>-7.6029055690072678</v>
      </c>
      <c r="E2" s="3">
        <v>-3.3352526849450919</v>
      </c>
      <c r="F2" s="3">
        <v>1953278</v>
      </c>
      <c r="G2" s="3">
        <v>-3.0431577719480685</v>
      </c>
      <c r="H2" s="3">
        <v>-1.6695483774251141</v>
      </c>
    </row>
    <row r="3" spans="1:8" x14ac:dyDescent="0.3">
      <c r="A3" s="2">
        <v>2018</v>
      </c>
      <c r="B3" s="2">
        <v>2</v>
      </c>
      <c r="C3" s="3">
        <v>21048</v>
      </c>
      <c r="D3" s="3">
        <v>-5.1464623704371331</v>
      </c>
      <c r="E3" s="3">
        <v>-2.5325181735683051</v>
      </c>
      <c r="F3" s="3">
        <v>1913555</v>
      </c>
      <c r="G3" s="3">
        <v>-2.8584728988767294</v>
      </c>
      <c r="H3" s="3">
        <v>-0.89807085084253035</v>
      </c>
    </row>
    <row r="4" spans="1:8" x14ac:dyDescent="0.3">
      <c r="A4" s="2">
        <v>2018</v>
      </c>
      <c r="B4" s="2">
        <v>3</v>
      </c>
      <c r="C4" s="3">
        <v>18598</v>
      </c>
      <c r="D4" s="3">
        <v>-10.448767334360554</v>
      </c>
      <c r="E4" s="3">
        <v>-1.6937558491201543</v>
      </c>
      <c r="F4" s="3">
        <v>1825393</v>
      </c>
      <c r="G4" s="3">
        <v>-4.7967417767309728</v>
      </c>
      <c r="H4" s="3">
        <v>-9.8356597369678736E-2</v>
      </c>
    </row>
    <row r="5" spans="1:8" x14ac:dyDescent="0.3">
      <c r="A5" s="2">
        <v>2018</v>
      </c>
      <c r="B5" s="2">
        <v>4</v>
      </c>
      <c r="C5" s="3">
        <v>18055</v>
      </c>
      <c r="D5" s="3">
        <v>-9.1252264948661121</v>
      </c>
      <c r="E5" s="3">
        <v>-0.81977907587053189</v>
      </c>
      <c r="F5" s="3">
        <v>1769587</v>
      </c>
      <c r="G5" s="3">
        <v>-2.2741744244289874</v>
      </c>
      <c r="H5" s="3">
        <v>0.72874678816254301</v>
      </c>
    </row>
    <row r="6" spans="1:8" x14ac:dyDescent="0.3">
      <c r="A6" s="2">
        <v>2018</v>
      </c>
      <c r="B6" s="2">
        <v>5</v>
      </c>
      <c r="C6" s="3">
        <v>17116</v>
      </c>
      <c r="D6" s="3">
        <v>-8.587908566545611</v>
      </c>
      <c r="E6" s="3">
        <v>8.7990795001972502E-2</v>
      </c>
      <c r="F6" s="3">
        <v>1716471</v>
      </c>
      <c r="G6" s="3">
        <v>-2.4464668428892722</v>
      </c>
      <c r="H6" s="3">
        <v>1.5820654341746705</v>
      </c>
    </row>
    <row r="7" spans="1:8" x14ac:dyDescent="0.3">
      <c r="A7" s="2">
        <v>2018</v>
      </c>
      <c r="B7" s="2">
        <v>6</v>
      </c>
      <c r="C7" s="3">
        <v>16466</v>
      </c>
      <c r="D7" s="3">
        <v>-5.5956885678247854</v>
      </c>
      <c r="E7" s="3">
        <v>1.0275556451368948</v>
      </c>
      <c r="F7" s="3">
        <v>1714146</v>
      </c>
      <c r="G7" s="3">
        <v>-2.880311028491489</v>
      </c>
      <c r="H7" s="3">
        <v>2.4602169328919206</v>
      </c>
    </row>
    <row r="8" spans="1:8" x14ac:dyDescent="0.3">
      <c r="A8" s="2">
        <v>2018</v>
      </c>
      <c r="B8" s="2">
        <v>7</v>
      </c>
      <c r="C8" s="3">
        <v>16119</v>
      </c>
      <c r="D8" s="3">
        <v>-5.0706713780918733</v>
      </c>
      <c r="E8" s="3">
        <v>1.9963148631625522</v>
      </c>
      <c r="F8" s="3">
        <v>1778421</v>
      </c>
      <c r="G8" s="3">
        <v>-3.9301524707280544</v>
      </c>
      <c r="H8" s="3">
        <v>3.3615391173536033</v>
      </c>
    </row>
    <row r="9" spans="1:8" x14ac:dyDescent="0.3">
      <c r="A9" s="2">
        <v>2018</v>
      </c>
      <c r="B9" s="2">
        <v>8</v>
      </c>
      <c r="C9" s="3">
        <v>16111</v>
      </c>
      <c r="D9" s="3">
        <v>-4.3630535438679789</v>
      </c>
      <c r="E9" s="3">
        <v>2.9912078901924732</v>
      </c>
      <c r="F9" s="3">
        <v>1836288</v>
      </c>
      <c r="G9" s="3">
        <v>-3.133631412697846</v>
      </c>
      <c r="H9" s="3">
        <v>4.2839989506017107</v>
      </c>
    </row>
    <row r="10" spans="1:8" x14ac:dyDescent="0.3">
      <c r="A10" s="2">
        <v>2018</v>
      </c>
      <c r="B10" s="2">
        <v>9</v>
      </c>
      <c r="C10" s="3">
        <v>15604</v>
      </c>
      <c r="D10" s="3">
        <v>-6.741573033707871</v>
      </c>
      <c r="E10" s="3">
        <v>4.0086834044067654</v>
      </c>
      <c r="F10" s="3">
        <v>1711575</v>
      </c>
      <c r="G10" s="3">
        <v>-2.7842859942235454</v>
      </c>
      <c r="H10" s="3">
        <v>5.2250570282068391</v>
      </c>
    </row>
    <row r="11" spans="1:8" x14ac:dyDescent="0.3">
      <c r="A11" s="2">
        <v>2018</v>
      </c>
      <c r="B11" s="2">
        <v>10</v>
      </c>
      <c r="C11" s="3">
        <v>17168</v>
      </c>
      <c r="D11" s="3">
        <v>-4.0893854748603298</v>
      </c>
      <c r="E11" s="3">
        <v>5.0446793713859481</v>
      </c>
      <c r="F11" s="3">
        <v>1756973</v>
      </c>
      <c r="G11" s="3">
        <v>-2.8757403972924145</v>
      </c>
      <c r="H11" s="3">
        <v>6.1816588325199113</v>
      </c>
    </row>
    <row r="12" spans="1:8" x14ac:dyDescent="0.3">
      <c r="A12" s="2">
        <v>2018</v>
      </c>
      <c r="B12" s="2">
        <v>11</v>
      </c>
      <c r="C12" s="3">
        <v>18479</v>
      </c>
      <c r="D12" s="3">
        <v>-3.8553590010405814</v>
      </c>
      <c r="E12" s="3">
        <v>6.0943872111245616</v>
      </c>
      <c r="F12" s="3">
        <v>1844843</v>
      </c>
      <c r="G12" s="3">
        <v>-2.9568334197766055</v>
      </c>
      <c r="H12" s="3">
        <v>7.1501936415152931</v>
      </c>
    </row>
    <row r="13" spans="1:8" x14ac:dyDescent="0.3">
      <c r="A13" s="2">
        <v>2018</v>
      </c>
      <c r="B13" s="2">
        <v>12</v>
      </c>
      <c r="C13" s="3">
        <v>19347</v>
      </c>
      <c r="D13" s="3">
        <v>-0.66235366605051915</v>
      </c>
      <c r="E13" s="3">
        <v>7.1523640335583796</v>
      </c>
      <c r="F13" s="3">
        <v>1835488</v>
      </c>
      <c r="G13" s="3">
        <v>-3.1000275048846282</v>
      </c>
      <c r="H13" s="3">
        <v>8.1264217471097258</v>
      </c>
    </row>
    <row r="14" spans="1:8" x14ac:dyDescent="0.3">
      <c r="A14" s="2">
        <v>2019</v>
      </c>
      <c r="B14" s="2">
        <v>1</v>
      </c>
      <c r="C14" s="3">
        <v>21246</v>
      </c>
      <c r="D14" s="3">
        <v>1.2292738707833095</v>
      </c>
      <c r="E14" s="3">
        <v>8.2124759940251089</v>
      </c>
      <c r="F14" s="3">
        <v>1930243</v>
      </c>
      <c r="G14" s="3">
        <v>-1.179299618385099</v>
      </c>
      <c r="H14" s="3">
        <v>9.1054015643406938</v>
      </c>
    </row>
    <row r="15" spans="1:8" x14ac:dyDescent="0.3">
      <c r="A15" s="2">
        <v>2019</v>
      </c>
      <c r="B15" s="2">
        <v>2</v>
      </c>
      <c r="C15" s="3">
        <v>20607</v>
      </c>
      <c r="D15" s="3">
        <v>-2.0952109464082103</v>
      </c>
      <c r="E15" s="3">
        <v>9.2680465591333174</v>
      </c>
      <c r="F15" s="3">
        <v>1898369</v>
      </c>
      <c r="G15" s="3">
        <v>-0.79360143816090689</v>
      </c>
      <c r="H15" s="3">
        <v>10.081411893714295</v>
      </c>
    </row>
    <row r="16" spans="1:8" x14ac:dyDescent="0.3">
      <c r="A16" s="2">
        <v>2019</v>
      </c>
      <c r="B16" s="2">
        <v>3</v>
      </c>
      <c r="C16" s="3">
        <v>19047</v>
      </c>
      <c r="D16" s="3">
        <v>2.4142380901172267</v>
      </c>
      <c r="E16" s="3">
        <v>10.311914250899683</v>
      </c>
      <c r="F16" s="3">
        <v>1830772</v>
      </c>
      <c r="G16" s="3">
        <v>0.29467626971286798</v>
      </c>
      <c r="H16" s="3">
        <v>11.048017320376713</v>
      </c>
    </row>
    <row r="17" spans="1:8" x14ac:dyDescent="0.3">
      <c r="A17" s="2">
        <v>2019</v>
      </c>
      <c r="B17" s="2">
        <v>4</v>
      </c>
      <c r="C17" s="3">
        <v>18056</v>
      </c>
      <c r="D17" s="3">
        <v>5.5386319579131538E-3</v>
      </c>
      <c r="E17" s="3">
        <v>11.336128476236331</v>
      </c>
      <c r="F17" s="3">
        <v>1764110</v>
      </c>
      <c r="G17" s="3">
        <v>-0.30950724660613327</v>
      </c>
      <c r="H17" s="3">
        <v>11.998027220214977</v>
      </c>
    </row>
    <row r="18" spans="1:8" x14ac:dyDescent="0.3">
      <c r="A18" s="2">
        <v>2019</v>
      </c>
      <c r="B18" s="2">
        <v>5</v>
      </c>
      <c r="C18" s="3">
        <v>17733</v>
      </c>
      <c r="D18" s="3">
        <v>3.6048142089273094</v>
      </c>
      <c r="E18" s="3">
        <v>12.332190192321999</v>
      </c>
      <c r="F18" s="3">
        <v>1745593</v>
      </c>
      <c r="G18" s="3">
        <v>1.6966205662664935</v>
      </c>
      <c r="H18" s="3">
        <v>12.923504209320932</v>
      </c>
    </row>
    <row r="19" spans="1:8" x14ac:dyDescent="0.3">
      <c r="A19" s="2">
        <v>2019</v>
      </c>
      <c r="B19" s="2">
        <v>6</v>
      </c>
      <c r="C19" s="3">
        <v>16722</v>
      </c>
      <c r="D19" s="3">
        <v>1.554718814526912</v>
      </c>
      <c r="E19" s="3">
        <v>13.290813509818465</v>
      </c>
      <c r="F19" s="3">
        <v>1748650</v>
      </c>
      <c r="G19" s="3">
        <v>2.0128973844701692</v>
      </c>
      <c r="H19" s="3">
        <v>13.815656213892893</v>
      </c>
    </row>
    <row r="20" spans="1:8" x14ac:dyDescent="0.3">
      <c r="A20" s="2">
        <v>2019</v>
      </c>
      <c r="B20" s="2">
        <v>7</v>
      </c>
      <c r="C20" s="3">
        <v>16974</v>
      </c>
      <c r="D20" s="3">
        <v>5.3042992741485273</v>
      </c>
      <c r="E20" s="3">
        <v>14.202106471610882</v>
      </c>
      <c r="F20" s="3">
        <v>1884469</v>
      </c>
      <c r="G20" s="3">
        <v>5.9630424966866657</v>
      </c>
      <c r="H20" s="3">
        <v>14.664911515431747</v>
      </c>
    </row>
    <row r="21" spans="1:8" x14ac:dyDescent="0.3">
      <c r="A21" s="2">
        <v>2019</v>
      </c>
      <c r="B21" s="2">
        <v>8</v>
      </c>
      <c r="C21" s="3">
        <v>17037</v>
      </c>
      <c r="D21" s="3">
        <v>5.747625845695481</v>
      </c>
      <c r="E21" s="3">
        <v>15.055362114008341</v>
      </c>
      <c r="F21" s="3">
        <v>1927778</v>
      </c>
      <c r="G21" s="3">
        <v>4.9823339258329824</v>
      </c>
      <c r="H21" s="3">
        <v>15.460878759408555</v>
      </c>
    </row>
    <row r="22" spans="1:8" x14ac:dyDescent="0.3">
      <c r="A22" s="2">
        <v>2019</v>
      </c>
      <c r="B22" s="2">
        <v>9</v>
      </c>
      <c r="C22" s="3">
        <v>17124</v>
      </c>
      <c r="D22" s="3">
        <v>9.7410920276852053</v>
      </c>
      <c r="E22" s="3">
        <v>15.839255570042331</v>
      </c>
      <c r="F22" s="3">
        <v>1795559</v>
      </c>
      <c r="G22" s="3">
        <v>4.906825584622343</v>
      </c>
      <c r="H22" s="3">
        <v>16.192562294834744</v>
      </c>
    </row>
    <row r="23" spans="1:8" x14ac:dyDescent="0.3">
      <c r="A23" s="2">
        <v>2019</v>
      </c>
      <c r="B23" s="2">
        <v>10</v>
      </c>
      <c r="C23" s="3">
        <v>18799</v>
      </c>
      <c r="D23" s="3">
        <v>9.5002329916123109</v>
      </c>
      <c r="E23" s="3">
        <v>16.541815602170157</v>
      </c>
      <c r="F23" s="3">
        <v>1879345</v>
      </c>
      <c r="G23" s="3">
        <v>6.9649334395007756</v>
      </c>
      <c r="H23" s="3">
        <v>16.84823879399719</v>
      </c>
    </row>
    <row r="24" spans="1:8" x14ac:dyDescent="0.3">
      <c r="A24" s="2">
        <v>2019</v>
      </c>
      <c r="B24" s="2">
        <v>11</v>
      </c>
      <c r="C24" s="3">
        <v>20124</v>
      </c>
      <c r="D24" s="3">
        <v>8.9019968613020204</v>
      </c>
      <c r="E24" s="3">
        <v>17.15064748926979</v>
      </c>
      <c r="F24" s="3">
        <v>1964132</v>
      </c>
      <c r="G24" s="3">
        <v>6.4660786852865026</v>
      </c>
      <c r="H24" s="3">
        <v>17.415401197466782</v>
      </c>
    </row>
    <row r="25" spans="1:8" x14ac:dyDescent="0.3">
      <c r="A25" s="2">
        <v>2019</v>
      </c>
      <c r="B25" s="2">
        <v>12</v>
      </c>
      <c r="C25" s="3">
        <v>20765</v>
      </c>
      <c r="D25" s="3">
        <v>7.3293017005220396</v>
      </c>
      <c r="E25" s="3">
        <v>17.652867511426805</v>
      </c>
      <c r="F25" s="3">
        <v>1964182</v>
      </c>
      <c r="G25" s="3">
        <v>7.0114323820150259</v>
      </c>
      <c r="H25" s="3">
        <v>17.880856105164792</v>
      </c>
    </row>
    <row r="26" spans="1:8" x14ac:dyDescent="0.3">
      <c r="A26" s="2">
        <v>2020</v>
      </c>
      <c r="B26" s="2">
        <v>1</v>
      </c>
      <c r="C26" s="3">
        <v>22427</v>
      </c>
      <c r="D26" s="3">
        <v>5.5586934011107925</v>
      </c>
      <c r="E26" s="3">
        <v>18.0350191257665</v>
      </c>
      <c r="F26" s="3">
        <v>2047497</v>
      </c>
      <c r="G26" s="3">
        <v>6.0745719580384439</v>
      </c>
      <c r="H26" s="3">
        <v>18.230649747393588</v>
      </c>
    </row>
    <row r="27" spans="1:8" x14ac:dyDescent="0.3">
      <c r="A27" s="2">
        <v>2020</v>
      </c>
      <c r="B27" s="2">
        <v>2</v>
      </c>
      <c r="C27" s="3">
        <v>21507</v>
      </c>
      <c r="D27" s="3">
        <v>4.3674479545785516</v>
      </c>
      <c r="E27" s="3">
        <v>18.282928875121748</v>
      </c>
      <c r="F27" s="3">
        <v>2002295</v>
      </c>
      <c r="G27" s="3">
        <v>5.4744888901999467</v>
      </c>
      <c r="H27" s="3">
        <v>18.450073533363653</v>
      </c>
    </row>
    <row r="28" spans="1:8" x14ac:dyDescent="0.3">
      <c r="A28" s="2">
        <v>2020</v>
      </c>
      <c r="B28" s="2">
        <v>3</v>
      </c>
      <c r="C28" s="3">
        <v>22820</v>
      </c>
      <c r="D28" s="3">
        <v>19.808893789048156</v>
      </c>
      <c r="E28" s="3">
        <v>18.381556890816764</v>
      </c>
      <c r="F28" s="3">
        <v>2109487</v>
      </c>
      <c r="G28" s="3">
        <v>15.223905543672277</v>
      </c>
      <c r="H28" s="3">
        <v>18.523574700216766</v>
      </c>
    </row>
    <row r="29" spans="1:8" x14ac:dyDescent="0.3">
      <c r="A29" s="2">
        <v>2020</v>
      </c>
      <c r="B29" s="2">
        <v>4</v>
      </c>
      <c r="C29" s="3">
        <v>50621</v>
      </c>
      <c r="D29" s="3">
        <v>180.35556047851128</v>
      </c>
      <c r="E29" s="3">
        <v>18.314896951334063</v>
      </c>
      <c r="F29" s="3">
        <v>4647765</v>
      </c>
      <c r="G29" s="3">
        <v>163.46231244083418</v>
      </c>
      <c r="H29" s="3">
        <v>18.434699402827821</v>
      </c>
    </row>
    <row r="30" spans="1:8" x14ac:dyDescent="0.3">
      <c r="A30" s="2">
        <v>2020</v>
      </c>
      <c r="B30" s="2">
        <v>5</v>
      </c>
      <c r="C30" s="3">
        <v>53367</v>
      </c>
      <c r="D30" s="3">
        <v>200.94738622906445</v>
      </c>
      <c r="E30" s="3">
        <v>18.067041955774091</v>
      </c>
      <c r="F30" s="3">
        <v>4947921</v>
      </c>
      <c r="G30" s="3">
        <v>183.45215637322104</v>
      </c>
      <c r="H30" s="3">
        <v>18.166764652380284</v>
      </c>
    </row>
    <row r="31" spans="1:8" x14ac:dyDescent="0.3">
      <c r="A31" s="2">
        <v>2020</v>
      </c>
      <c r="B31" s="2">
        <v>6</v>
      </c>
      <c r="C31" s="3">
        <v>36884</v>
      </c>
      <c r="D31" s="3">
        <v>120.57170194952755</v>
      </c>
      <c r="E31" s="3">
        <v>17.633337627093351</v>
      </c>
      <c r="F31" s="3">
        <v>3981072</v>
      </c>
      <c r="G31" s="3">
        <v>127.66545620907559</v>
      </c>
      <c r="H31" s="3">
        <v>17.713158822074153</v>
      </c>
    </row>
    <row r="32" spans="1:8" x14ac:dyDescent="0.3">
      <c r="A32" s="2">
        <v>2020</v>
      </c>
      <c r="B32" s="2">
        <v>7</v>
      </c>
      <c r="C32" s="3">
        <v>28132</v>
      </c>
      <c r="D32" s="3">
        <v>65.735831271356176</v>
      </c>
      <c r="E32" s="3">
        <v>17.021829712156212</v>
      </c>
      <c r="F32" s="3">
        <v>3241832</v>
      </c>
      <c r="G32" s="3">
        <v>72.02893759462215</v>
      </c>
      <c r="H32" s="3">
        <v>17.078748437312264</v>
      </c>
    </row>
    <row r="33" spans="1:8" x14ac:dyDescent="0.3">
      <c r="A33" s="2">
        <v>2020</v>
      </c>
      <c r="B33" s="2">
        <v>8</v>
      </c>
      <c r="C33" s="3">
        <v>24782</v>
      </c>
      <c r="D33" s="3">
        <v>45.45988143452486</v>
      </c>
      <c r="E33" s="3">
        <v>16.247712455349433</v>
      </c>
      <c r="F33" s="3">
        <v>2942301</v>
      </c>
      <c r="G33" s="3">
        <v>52.626547247660248</v>
      </c>
      <c r="H33" s="3">
        <v>16.27603559970488</v>
      </c>
    </row>
    <row r="34" spans="1:8" x14ac:dyDescent="0.3">
      <c r="A34" s="2">
        <v>2020</v>
      </c>
      <c r="B34" s="2">
        <v>9</v>
      </c>
      <c r="C34" s="3">
        <v>22663</v>
      </c>
      <c r="D34" s="3">
        <v>32.346414389161417</v>
      </c>
      <c r="E34" s="3">
        <v>15.329563017834722</v>
      </c>
      <c r="F34" s="3">
        <v>2543056</v>
      </c>
      <c r="G34" s="3">
        <v>41.630322367574671</v>
      </c>
      <c r="H34" s="3">
        <v>15.321338396220414</v>
      </c>
    </row>
    <row r="35" spans="1:8" x14ac:dyDescent="0.3">
      <c r="A35" s="2">
        <v>2020</v>
      </c>
      <c r="B35" s="2">
        <v>10</v>
      </c>
      <c r="C35" s="3">
        <v>21480</v>
      </c>
      <c r="D35" s="3">
        <v>14.261396882812916</v>
      </c>
      <c r="E35" s="3">
        <v>14.287987183619562</v>
      </c>
      <c r="F35" s="3">
        <v>2553677</v>
      </c>
      <c r="G35" s="3">
        <v>35.881224575583516</v>
      </c>
      <c r="H35" s="3">
        <v>14.233499254913935</v>
      </c>
    </row>
    <row r="36" spans="1:8" x14ac:dyDescent="0.3">
      <c r="A36" s="2">
        <v>2020</v>
      </c>
      <c r="B36" s="2">
        <v>11</v>
      </c>
      <c r="C36" s="3">
        <v>23224</v>
      </c>
      <c r="D36" s="3">
        <v>15.404492148678205</v>
      </c>
      <c r="E36" s="3">
        <v>13.144772462501109</v>
      </c>
      <c r="F36" s="3">
        <v>2381723</v>
      </c>
      <c r="G36" s="3">
        <v>21.260841939340125</v>
      </c>
      <c r="H36" s="3">
        <v>13.03318761661631</v>
      </c>
    </row>
    <row r="37" spans="1:8" x14ac:dyDescent="0.3">
      <c r="A37" s="2">
        <v>2020</v>
      </c>
      <c r="B37" s="2">
        <v>12</v>
      </c>
      <c r="C37" s="3">
        <v>24642</v>
      </c>
      <c r="D37" s="3">
        <v>18.670840356368899</v>
      </c>
      <c r="E37" s="3">
        <v>11.921704517727855</v>
      </c>
      <c r="F37" s="3">
        <v>2299575</v>
      </c>
      <c r="G37" s="3">
        <v>17.075454311260362</v>
      </c>
      <c r="H37" s="3">
        <v>11.742576236416781</v>
      </c>
    </row>
    <row r="38" spans="1:8" x14ac:dyDescent="0.3">
      <c r="A38" s="2">
        <v>2021</v>
      </c>
      <c r="B38" s="2">
        <v>1</v>
      </c>
      <c r="C38" s="3">
        <v>25187</v>
      </c>
      <c r="D38" s="3">
        <v>12.306594729567033</v>
      </c>
      <c r="E38" s="3">
        <v>10.640725937526497</v>
      </c>
      <c r="F38" s="3">
        <v>2376847</v>
      </c>
      <c r="G38" s="3">
        <v>16.085493653958949</v>
      </c>
      <c r="H38" s="3">
        <v>10.384409234288114</v>
      </c>
    </row>
    <row r="39" spans="1:8" x14ac:dyDescent="0.3">
      <c r="A39" s="2">
        <v>2021</v>
      </c>
      <c r="B39" s="2">
        <v>2</v>
      </c>
      <c r="C39" s="3">
        <v>24206</v>
      </c>
      <c r="D39" s="3">
        <v>12.549402520109743</v>
      </c>
      <c r="E39" s="3">
        <v>9.3242480001125223</v>
      </c>
      <c r="F39" s="3">
        <v>2359191</v>
      </c>
      <c r="G39" s="3">
        <v>17.824346562319747</v>
      </c>
      <c r="H39" s="3">
        <v>8.9818010689582675</v>
      </c>
    </row>
    <row r="40" spans="1:8" x14ac:dyDescent="0.3">
      <c r="A40" s="2">
        <v>2021</v>
      </c>
      <c r="B40" s="2">
        <v>3</v>
      </c>
      <c r="C40" s="3">
        <v>22319</v>
      </c>
      <c r="D40" s="3">
        <v>-2.195442594215602</v>
      </c>
      <c r="E40" s="3">
        <v>7.9947976690341962</v>
      </c>
      <c r="F40" s="3">
        <v>2228589</v>
      </c>
      <c r="G40" s="3">
        <v>5.646017254432012</v>
      </c>
      <c r="H40" s="3">
        <v>7.5582621077954535</v>
      </c>
    </row>
    <row r="41" spans="1:8" x14ac:dyDescent="0.3">
      <c r="A41" s="2">
        <v>2021</v>
      </c>
      <c r="B41" s="2">
        <v>4</v>
      </c>
      <c r="C41" s="3">
        <v>21624</v>
      </c>
      <c r="D41" s="3">
        <v>-57.282550720056889</v>
      </c>
      <c r="E41" s="3">
        <v>6.6751258769036736</v>
      </c>
      <c r="F41" s="3">
        <v>2168915</v>
      </c>
      <c r="G41" s="3">
        <v>-53.334236993479657</v>
      </c>
      <c r="H41" s="3">
        <v>6.1379167838271433</v>
      </c>
    </row>
    <row r="42" spans="1:8" x14ac:dyDescent="0.3">
      <c r="A42" s="2">
        <v>2021</v>
      </c>
      <c r="B42" s="2">
        <v>5</v>
      </c>
      <c r="C42" s="3">
        <v>20074</v>
      </c>
      <c r="D42" s="3">
        <v>-62.384994472239399</v>
      </c>
      <c r="E42" s="3">
        <v>5.3872759007592723</v>
      </c>
      <c r="F42" s="3">
        <v>2070546</v>
      </c>
      <c r="G42" s="3">
        <v>-58.153212227923603</v>
      </c>
      <c r="H42" s="3">
        <v>4.7447567352993261</v>
      </c>
    </row>
    <row r="43" spans="1:8" x14ac:dyDescent="0.3">
      <c r="A43" s="2">
        <v>2021</v>
      </c>
      <c r="B43" s="2">
        <v>6</v>
      </c>
      <c r="C43" s="3">
        <v>18568</v>
      </c>
      <c r="D43" s="3">
        <v>-49.658388461121348</v>
      </c>
      <c r="E43" s="3">
        <v>4.1488495123200764</v>
      </c>
      <c r="F43" s="3">
        <v>1957244</v>
      </c>
      <c r="G43" s="3">
        <v>-50.836257168923346</v>
      </c>
      <c r="H43" s="3">
        <v>3.3986435897790117</v>
      </c>
    </row>
    <row r="44" spans="1:8" x14ac:dyDescent="0.3">
      <c r="A44" s="2">
        <v>2021</v>
      </c>
      <c r="B44" s="2">
        <v>7</v>
      </c>
      <c r="C44" s="3">
        <v>18645</v>
      </c>
      <c r="D44" s="3">
        <v>-33.723162235177014</v>
      </c>
      <c r="E44" s="3">
        <v>2.9727420756403786</v>
      </c>
      <c r="F44" s="3">
        <v>1977597</v>
      </c>
      <c r="G44" s="3">
        <v>-38.997548299850202</v>
      </c>
      <c r="H44" s="3">
        <v>2.1150710603218745</v>
      </c>
    </row>
    <row r="45" spans="1:8" x14ac:dyDescent="0.3">
      <c r="A45" s="2">
        <v>2021</v>
      </c>
      <c r="B45" s="2">
        <v>8</v>
      </c>
      <c r="C45" s="3">
        <v>18256</v>
      </c>
      <c r="D45" s="3">
        <v>-26.333629247034139</v>
      </c>
      <c r="E45" s="3">
        <v>1.8681123410263163</v>
      </c>
      <c r="F45" s="3">
        <v>1977033</v>
      </c>
      <c r="G45" s="3">
        <v>-32.806568736509277</v>
      </c>
      <c r="H45" s="3">
        <v>0.9057665474309019</v>
      </c>
    </row>
    <row r="46" spans="1:8" x14ac:dyDescent="0.3">
      <c r="A46" s="2">
        <v>2021</v>
      </c>
      <c r="B46" s="2">
        <v>9</v>
      </c>
      <c r="C46" s="3">
        <v>17715</v>
      </c>
      <c r="D46" s="3">
        <v>-21.832943564400122</v>
      </c>
      <c r="E46" s="3">
        <v>0.84157073209577582</v>
      </c>
      <c r="F46" s="3">
        <v>1834913</v>
      </c>
      <c r="G46" s="3">
        <v>-27.846142593792667</v>
      </c>
      <c r="H46" s="3">
        <v>-0.22039759140204201</v>
      </c>
    </row>
    <row r="47" spans="1:8" x14ac:dyDescent="0.3">
      <c r="A47" s="2">
        <v>2021</v>
      </c>
      <c r="B47" s="2">
        <v>10</v>
      </c>
      <c r="C47" s="3">
        <v>18339</v>
      </c>
      <c r="D47" s="3">
        <v>-14.622905027932964</v>
      </c>
      <c r="E47" s="3">
        <v>-0.10223078181030437</v>
      </c>
      <c r="F47" s="3">
        <v>1821886</v>
      </c>
      <c r="G47" s="3">
        <v>-28.656364920074072</v>
      </c>
      <c r="H47" s="3">
        <v>-1.2568901330798106</v>
      </c>
    </row>
    <row r="48" spans="1:8" x14ac:dyDescent="0.3">
      <c r="A48" s="2">
        <v>2021</v>
      </c>
      <c r="B48" s="2">
        <v>11</v>
      </c>
      <c r="C48" s="3">
        <v>18778</v>
      </c>
      <c r="D48" s="3">
        <v>-19.143988976920422</v>
      </c>
      <c r="E48" s="3">
        <v>-0.96021485039935361</v>
      </c>
      <c r="F48" s="3">
        <v>1821130</v>
      </c>
      <c r="G48" s="3">
        <v>-23.537287921391361</v>
      </c>
      <c r="H48" s="3">
        <v>-2.1990983090193121</v>
      </c>
    </row>
    <row r="49" spans="1:8" x14ac:dyDescent="0.3">
      <c r="A49" s="2">
        <v>2021</v>
      </c>
      <c r="B49" s="2">
        <v>12</v>
      </c>
      <c r="C49" s="3">
        <v>19572</v>
      </c>
      <c r="D49" s="3">
        <v>-20.574628682736794</v>
      </c>
      <c r="E49" s="3">
        <v>-1.7303125035347819</v>
      </c>
      <c r="F49" s="3">
        <v>1842238</v>
      </c>
      <c r="G49" s="3">
        <v>-19.887892327930157</v>
      </c>
      <c r="H49" s="3">
        <v>-3.0443120919421078</v>
      </c>
    </row>
    <row r="50" spans="1:8" x14ac:dyDescent="0.3">
      <c r="A50" s="2">
        <v>2022</v>
      </c>
      <c r="B50" s="2">
        <v>1</v>
      </c>
      <c r="C50" s="3">
        <v>20299</v>
      </c>
      <c r="D50" s="3">
        <v>-19.406836860285072</v>
      </c>
      <c r="E50" s="3">
        <v>-2.4117175331721188</v>
      </c>
      <c r="F50" s="3">
        <v>1864824</v>
      </c>
      <c r="G50" s="3">
        <v>-21.542110198931606</v>
      </c>
      <c r="H50" s="3">
        <v>-3.79130327329284</v>
      </c>
    </row>
    <row r="51" spans="1:8" x14ac:dyDescent="0.3">
      <c r="A51" s="2">
        <v>2022</v>
      </c>
      <c r="B51" s="2">
        <v>2</v>
      </c>
      <c r="C51" s="3">
        <v>19985</v>
      </c>
      <c r="D51" s="3">
        <v>-17.437825332562173</v>
      </c>
      <c r="E51" s="3">
        <v>-3.0049323643348935</v>
      </c>
      <c r="F51" s="3">
        <v>1844256</v>
      </c>
      <c r="G51" s="3">
        <v>-21.826761800973305</v>
      </c>
      <c r="H51" s="3">
        <v>-4.4400133375880939</v>
      </c>
    </row>
    <row r="52" spans="1:8" x14ac:dyDescent="0.3">
      <c r="A52" s="2">
        <v>2022</v>
      </c>
      <c r="B52" s="2">
        <v>3</v>
      </c>
      <c r="C52" s="3">
        <v>18851</v>
      </c>
      <c r="D52" s="3">
        <v>-15.538330570366055</v>
      </c>
      <c r="E52" s="3">
        <v>-3.511639638666574</v>
      </c>
      <c r="F52" s="3">
        <v>1758590</v>
      </c>
      <c r="G52" s="3">
        <v>-21.089532435096825</v>
      </c>
      <c r="H52" s="3">
        <v>-4.9916164642698471</v>
      </c>
    </row>
    <row r="53" spans="1:8" x14ac:dyDescent="0.3">
      <c r="A53" s="2">
        <v>2022</v>
      </c>
      <c r="B53" s="2">
        <v>4</v>
      </c>
      <c r="C53" s="3">
        <v>17870</v>
      </c>
      <c r="D53" s="3">
        <v>-17.360340362560123</v>
      </c>
      <c r="E53" s="3">
        <v>-3.9345242820445323</v>
      </c>
      <c r="F53" s="3">
        <v>1698299</v>
      </c>
      <c r="G53" s="3">
        <v>-21.698222383080946</v>
      </c>
      <c r="H53" s="3">
        <v>-5.4484942458678116</v>
      </c>
    </row>
    <row r="54" spans="1:8" x14ac:dyDescent="0.3">
      <c r="A54" s="2">
        <v>2022</v>
      </c>
      <c r="B54" s="2">
        <v>5</v>
      </c>
      <c r="C54" s="3">
        <v>17188</v>
      </c>
      <c r="D54" s="3">
        <v>-14.376805818471649</v>
      </c>
      <c r="E54" s="3">
        <v>-4.2771064072163982</v>
      </c>
      <c r="F54" s="3">
        <v>1675407</v>
      </c>
      <c r="G54" s="3">
        <v>-19.083806879924424</v>
      </c>
      <c r="H54" s="3">
        <v>-5.8141461857430077</v>
      </c>
    </row>
    <row r="55" spans="1:8" x14ac:dyDescent="0.3">
      <c r="A55" s="2">
        <v>2022</v>
      </c>
      <c r="B55" s="2">
        <v>6</v>
      </c>
      <c r="C55" s="3">
        <v>16422</v>
      </c>
      <c r="D55" s="3">
        <v>-11.557518311072812</v>
      </c>
      <c r="E55" s="3">
        <v>-4.5438384752687266</v>
      </c>
      <c r="F55" s="3">
        <v>1674838</v>
      </c>
      <c r="G55" s="3">
        <v>-14.428757988273311</v>
      </c>
      <c r="H55" s="3">
        <v>-6.0932002405993178</v>
      </c>
    </row>
    <row r="56" spans="1:8" x14ac:dyDescent="0.3">
      <c r="A56" s="2">
        <v>2022</v>
      </c>
      <c r="B56" s="2">
        <v>7</v>
      </c>
      <c r="C56" s="3">
        <v>16939</v>
      </c>
      <c r="D56" s="3">
        <v>-9.1499061410565847</v>
      </c>
      <c r="E56" s="3">
        <v>-4.7398743153027443</v>
      </c>
      <c r="F56" s="3">
        <v>1758496</v>
      </c>
      <c r="G56" s="3">
        <v>-11.079153133828578</v>
      </c>
      <c r="H56" s="3">
        <v>-6.2912058713554995</v>
      </c>
    </row>
    <row r="57" spans="1:8" x14ac:dyDescent="0.3">
      <c r="A57" s="2">
        <v>2022</v>
      </c>
      <c r="B57" s="2">
        <v>8</v>
      </c>
      <c r="C57" s="3">
        <v>17236</v>
      </c>
      <c r="D57" s="3">
        <v>-5.5872042068361054</v>
      </c>
      <c r="E57" s="3">
        <v>-4.8708548175193851</v>
      </c>
      <c r="F57" s="3">
        <v>1796339</v>
      </c>
      <c r="G57" s="3">
        <v>-9.1396552308433918</v>
      </c>
      <c r="H57" s="3">
        <v>-6.414291397107232</v>
      </c>
    </row>
    <row r="58" spans="1:8" x14ac:dyDescent="0.3">
      <c r="A58" s="2">
        <v>2022</v>
      </c>
      <c r="B58" s="2">
        <v>9</v>
      </c>
      <c r="C58" s="3">
        <v>16923</v>
      </c>
      <c r="D58" s="3">
        <v>-4.4707874682472504</v>
      </c>
      <c r="E58" s="3">
        <v>-4.9427271243297053</v>
      </c>
      <c r="F58" s="3">
        <v>1698523</v>
      </c>
      <c r="G58" s="3">
        <v>-7.4330499593168735</v>
      </c>
      <c r="H58" s="3">
        <v>-6.4689176332878651</v>
      </c>
    </row>
    <row r="59" spans="1:8" x14ac:dyDescent="0.3">
      <c r="A59" s="2">
        <v>2022</v>
      </c>
      <c r="B59" s="2">
        <v>10</v>
      </c>
      <c r="C59" s="3">
        <v>18025</v>
      </c>
      <c r="D59" s="3">
        <v>-1.7121980478761123</v>
      </c>
      <c r="E59" s="3">
        <v>-4.9614881246301294</v>
      </c>
      <c r="F59" s="3">
        <v>1735379</v>
      </c>
      <c r="G59" s="3">
        <v>-4.7482114687746657</v>
      </c>
      <c r="H59" s="3">
        <v>-6.4617346567080922</v>
      </c>
    </row>
    <row r="60" spans="1:8" x14ac:dyDescent="0.3">
      <c r="A60" s="2">
        <v>2022</v>
      </c>
      <c r="B60" s="2">
        <v>11</v>
      </c>
      <c r="C60" s="3">
        <v>19170</v>
      </c>
      <c r="D60" s="3">
        <v>2.0875492597720813</v>
      </c>
      <c r="E60" s="3">
        <v>-4.9331019337298558</v>
      </c>
      <c r="F60" s="3">
        <v>1799838</v>
      </c>
      <c r="G60" s="3">
        <v>-1.1691642002492952</v>
      </c>
      <c r="H60" s="3">
        <v>-6.3994594978123596</v>
      </c>
    </row>
    <row r="61" spans="1:8" x14ac:dyDescent="0.3">
      <c r="A61" s="2">
        <v>2022</v>
      </c>
      <c r="B61" s="2">
        <v>12</v>
      </c>
      <c r="C61" s="3">
        <v>19623</v>
      </c>
      <c r="D61" s="3">
        <v>0.26057633353770981</v>
      </c>
      <c r="E61" s="3">
        <v>-4.8633070217938625</v>
      </c>
      <c r="F61" s="3">
        <v>1838199</v>
      </c>
      <c r="G61" s="3">
        <v>-0.21924420188922378</v>
      </c>
      <c r="H61" s="3">
        <v>-6.2886901923792831</v>
      </c>
    </row>
    <row r="62" spans="1:8" x14ac:dyDescent="0.3">
      <c r="A62" s="2">
        <v>2023</v>
      </c>
      <c r="B62" s="2">
        <v>1</v>
      </c>
      <c r="C62" s="3">
        <v>20643</v>
      </c>
      <c r="D62" s="3">
        <v>1.6946647618109267</v>
      </c>
      <c r="E62" s="3">
        <v>-4.7573543137653562</v>
      </c>
      <c r="F62" s="3">
        <v>1901340</v>
      </c>
      <c r="G62" s="3">
        <v>1.9581472567920644</v>
      </c>
      <c r="H62" s="3">
        <v>-6.1356615612362591</v>
      </c>
    </row>
    <row r="63" spans="1:8" x14ac:dyDescent="0.3">
      <c r="A63" s="2">
        <v>2023</v>
      </c>
      <c r="B63" s="2">
        <v>2</v>
      </c>
      <c r="C63" s="3">
        <v>20085</v>
      </c>
      <c r="D63" s="3">
        <v>0.50037528146109622</v>
      </c>
      <c r="E63" s="3">
        <v>-4.6201389093545338</v>
      </c>
      <c r="F63" s="3">
        <v>1863952</v>
      </c>
      <c r="G63" s="3">
        <v>1.0679645342078325</v>
      </c>
      <c r="H63" s="3">
        <v>-5.9461869359057866</v>
      </c>
    </row>
    <row r="64" spans="1:8" x14ac:dyDescent="0.3">
      <c r="A64" s="2">
        <v>2023</v>
      </c>
      <c r="B64" s="2">
        <v>3</v>
      </c>
      <c r="C64" s="3">
        <v>18658</v>
      </c>
      <c r="D64" s="3">
        <v>-1.02381836507347</v>
      </c>
      <c r="E64" s="3">
        <v>-4.4561078513913435</v>
      </c>
      <c r="F64" s="3">
        <v>1787538</v>
      </c>
      <c r="G64" s="3">
        <v>1.6460914710080266</v>
      </c>
      <c r="H64" s="3">
        <v>-5.7255175778535579</v>
      </c>
    </row>
    <row r="65" spans="1:8" x14ac:dyDescent="0.3">
      <c r="A65" s="2">
        <v>2023</v>
      </c>
      <c r="B65" s="2">
        <v>4</v>
      </c>
      <c r="C65" s="3">
        <v>17682</v>
      </c>
      <c r="D65" s="3">
        <v>-1.0520425293788493</v>
      </c>
      <c r="E65" s="3">
        <v>-4.2693525914424812</v>
      </c>
      <c r="F65" s="3">
        <v>1698070</v>
      </c>
      <c r="G65" s="3">
        <v>-1.348408024735015E-2</v>
      </c>
      <c r="H65" s="3">
        <v>-5.4784176546931729</v>
      </c>
    </row>
    <row r="66" spans="1:8" x14ac:dyDescent="0.3">
      <c r="A66" s="2">
        <v>2023</v>
      </c>
      <c r="B66" s="2">
        <v>5</v>
      </c>
      <c r="C66" s="3">
        <v>17049</v>
      </c>
      <c r="D66" s="3">
        <v>-0.80870374680008794</v>
      </c>
      <c r="E66" s="3">
        <v>-4.0637262276380941</v>
      </c>
      <c r="F66" s="3">
        <v>1668948</v>
      </c>
      <c r="G66" s="3">
        <v>-0.38551826511409315</v>
      </c>
      <c r="H66" s="3">
        <v>-5.2091394167431719</v>
      </c>
    </row>
    <row r="67" spans="1:8" x14ac:dyDescent="0.3">
      <c r="A67" s="2">
        <v>2023</v>
      </c>
      <c r="B67" s="2">
        <v>6</v>
      </c>
      <c r="C67" s="3">
        <v>16625</v>
      </c>
      <c r="D67" s="3">
        <v>1.2361466325660597</v>
      </c>
      <c r="E67" s="3">
        <v>-3.8428584337984617</v>
      </c>
      <c r="F67" s="3">
        <v>1694048</v>
      </c>
      <c r="G67" s="3">
        <v>1.1469766031102724</v>
      </c>
      <c r="H67" s="3">
        <v>-4.9215556050460911</v>
      </c>
    </row>
    <row r="68" spans="1:8" x14ac:dyDescent="0.3">
      <c r="A68" s="2">
        <v>2023</v>
      </c>
      <c r="B68" s="2">
        <v>7</v>
      </c>
      <c r="C68" s="3">
        <v>17095</v>
      </c>
      <c r="D68" s="3">
        <v>0.92095165003838186</v>
      </c>
      <c r="E68" s="3">
        <v>-3.6101528405160277</v>
      </c>
      <c r="F68" s="3">
        <v>1779849</v>
      </c>
      <c r="G68" s="3">
        <v>1.214276290648364</v>
      </c>
      <c r="H68" s="3">
        <v>-4.6192039869533801</v>
      </c>
    </row>
    <row r="69" spans="1:8" x14ac:dyDescent="0.3">
      <c r="A69" s="2">
        <v>2023</v>
      </c>
      <c r="B69" s="2">
        <v>8</v>
      </c>
      <c r="C69" s="3">
        <v>17465</v>
      </c>
      <c r="D69" s="3">
        <v>1.3286145277326522</v>
      </c>
      <c r="E69" s="3">
        <v>-3.368660369698071</v>
      </c>
      <c r="F69" s="3">
        <v>1816798</v>
      </c>
      <c r="G69" s="3">
        <v>1.1389275632271989</v>
      </c>
      <c r="H69" s="3">
        <v>-4.3052009039686991</v>
      </c>
    </row>
    <row r="70" spans="1:8" x14ac:dyDescent="0.3">
      <c r="A70" s="2">
        <v>2023</v>
      </c>
      <c r="B70" s="2">
        <v>9</v>
      </c>
      <c r="C70" s="3">
        <v>17039</v>
      </c>
      <c r="D70" s="3">
        <v>0.6854576611711849</v>
      </c>
      <c r="E70" s="3">
        <v>-3.1211172832178038</v>
      </c>
      <c r="F70" s="3">
        <v>1687270</v>
      </c>
      <c r="G70" s="3">
        <v>-0.66251678664345226</v>
      </c>
      <c r="H70" s="3">
        <v>-3.9822575947986523</v>
      </c>
    </row>
    <row r="71" spans="1:8" x14ac:dyDescent="0.3">
      <c r="A71" s="2">
        <v>2023</v>
      </c>
      <c r="B71" s="2">
        <v>10</v>
      </c>
      <c r="C71" s="3">
        <v>18204</v>
      </c>
      <c r="D71" s="3">
        <v>0.99306518723993875</v>
      </c>
      <c r="E71" s="3">
        <v>-2.8699336433027836</v>
      </c>
      <c r="F71" s="3">
        <v>1736502</v>
      </c>
      <c r="G71" s="3">
        <v>6.4712088829010916E-2</v>
      </c>
      <c r="H71" s="3">
        <v>-3.6527072336729551</v>
      </c>
    </row>
    <row r="72" spans="1:8" x14ac:dyDescent="0.3">
      <c r="A72" s="2">
        <v>2023</v>
      </c>
      <c r="B72" s="2">
        <v>11</v>
      </c>
      <c r="C72" s="3">
        <v>19639</v>
      </c>
      <c r="D72" s="3">
        <v>2.446531038080324</v>
      </c>
      <c r="E72" s="3">
        <v>-2.6172551666983193</v>
      </c>
      <c r="F72" s="3">
        <v>1824163</v>
      </c>
      <c r="G72" s="3">
        <v>1.3515105248361303</v>
      </c>
      <c r="H72" s="3">
        <v>-3.3186524572652027</v>
      </c>
    </row>
    <row r="73" spans="1:8" x14ac:dyDescent="0.3">
      <c r="A73" s="2">
        <v>2023</v>
      </c>
      <c r="B73" s="2">
        <v>12</v>
      </c>
      <c r="C73" s="3">
        <v>19888</v>
      </c>
      <c r="D73" s="3">
        <v>1.3504560974366919</v>
      </c>
      <c r="E73" s="3">
        <v>-2.3649593063420435</v>
      </c>
      <c r="F73" s="3">
        <v>1835927</v>
      </c>
      <c r="G73" s="3">
        <v>-0.1235992403433972</v>
      </c>
      <c r="H73" s="3">
        <v>-2.9819377481293721</v>
      </c>
    </row>
    <row r="74" spans="1:8" x14ac:dyDescent="0.3">
      <c r="A74" s="2">
        <v>2024</v>
      </c>
      <c r="B74" s="2">
        <v>1</v>
      </c>
      <c r="C74" s="3">
        <v>20890</v>
      </c>
      <c r="D74" s="3">
        <v>1.1965315118926512</v>
      </c>
      <c r="E74" s="3">
        <v>-2.114571863351812</v>
      </c>
      <c r="F74" s="3">
        <v>1922316</v>
      </c>
      <c r="G74" s="3">
        <v>1.1032219382119957</v>
      </c>
      <c r="H74" s="3">
        <v>-2.6440832719456822</v>
      </c>
    </row>
    <row r="75" spans="1:8" x14ac:dyDescent="0.3">
      <c r="A75" s="2">
        <v>2024</v>
      </c>
      <c r="B75" s="2">
        <v>2</v>
      </c>
      <c r="C75" s="3">
        <v>20765</v>
      </c>
      <c r="D75" s="3">
        <v>3.3856111526014532</v>
      </c>
      <c r="E75" s="3">
        <v>-1.8673606238868845</v>
      </c>
      <c r="F75" s="3">
        <v>1893595</v>
      </c>
      <c r="G75" s="3">
        <v>1.5903306522914828</v>
      </c>
      <c r="H75" s="3">
        <v>-2.3064106986646444</v>
      </c>
    </row>
    <row r="76" spans="1:8" x14ac:dyDescent="0.3">
      <c r="A76" s="2">
        <v>2024</v>
      </c>
      <c r="B76" s="2">
        <v>3</v>
      </c>
      <c r="C76" s="3">
        <v>18937</v>
      </c>
      <c r="D76" s="3">
        <v>1.495337120806095</v>
      </c>
      <c r="E76" s="3">
        <v>-1.6243634363721289</v>
      </c>
      <c r="F76" s="3">
        <v>1794934</v>
      </c>
      <c r="G76" s="3">
        <v>0.41375344188487873</v>
      </c>
      <c r="H76" s="3">
        <v>-1.9699814687082875</v>
      </c>
    </row>
    <row r="77" spans="1:8" x14ac:dyDescent="0.3">
      <c r="A77" s="2">
        <v>2024</v>
      </c>
      <c r="B77" s="2">
        <v>4</v>
      </c>
      <c r="C77" s="3">
        <v>18615</v>
      </c>
      <c r="D77" s="3">
        <v>5.276552426196135</v>
      </c>
      <c r="E77" s="3">
        <v>-1.3862533595257123</v>
      </c>
      <c r="F77" s="3">
        <v>1735535</v>
      </c>
      <c r="G77" s="3">
        <v>2.2063283610216367</v>
      </c>
      <c r="H77" s="3">
        <v>-1.6355864154603788</v>
      </c>
    </row>
    <row r="78" spans="1:8" x14ac:dyDescent="0.3">
      <c r="A78" s="2">
        <v>2024</v>
      </c>
      <c r="B78" s="2">
        <v>5</v>
      </c>
      <c r="C78" s="3">
        <v>17645</v>
      </c>
      <c r="D78" s="3">
        <v>3.4958062056425598</v>
      </c>
      <c r="E78" s="3">
        <v>-1.1534868061937757</v>
      </c>
      <c r="F78" s="3">
        <v>1694609</v>
      </c>
      <c r="G78" s="3">
        <v>1.5375553941764597</v>
      </c>
      <c r="H78" s="3">
        <v>-1.3038508351581173</v>
      </c>
    </row>
    <row r="79" spans="1:8" x14ac:dyDescent="0.3">
      <c r="A79" s="2">
        <v>2024</v>
      </c>
      <c r="B79" s="2">
        <v>6</v>
      </c>
      <c r="C79" s="3">
        <v>16820</v>
      </c>
      <c r="D79" s="3">
        <v>1.17293233082707</v>
      </c>
      <c r="E79" s="3">
        <v>-0.92605749437622975</v>
      </c>
      <c r="F79" s="3">
        <v>1699873</v>
      </c>
      <c r="G79" s="3">
        <v>0.34385094164981478</v>
      </c>
      <c r="H79" s="3">
        <v>-0.97513322440144612</v>
      </c>
    </row>
    <row r="80" spans="1:8" x14ac:dyDescent="0.3">
      <c r="A80" s="2">
        <v>2024</v>
      </c>
      <c r="B80" s="2">
        <v>7</v>
      </c>
      <c r="C80" s="3">
        <v>17514</v>
      </c>
      <c r="D80" s="3">
        <v>2.4510090669786377</v>
      </c>
      <c r="E80" s="3">
        <v>-0.70363627450271859</v>
      </c>
      <c r="F80" s="3">
        <v>1804488</v>
      </c>
      <c r="G80" s="3">
        <v>1.3843309179598862</v>
      </c>
      <c r="H80" s="3">
        <v>-0.64959475991327131</v>
      </c>
    </row>
    <row r="81" spans="1:8" x14ac:dyDescent="0.3">
      <c r="A81" s="2">
        <v>2024</v>
      </c>
      <c r="B81" s="2">
        <v>8</v>
      </c>
      <c r="C81" s="3">
        <v>17774</v>
      </c>
      <c r="D81" s="3">
        <v>1.7692527912968714</v>
      </c>
      <c r="E81" s="3">
        <v>-0.48574823382058063</v>
      </c>
      <c r="F81" s="3">
        <v>1845877</v>
      </c>
      <c r="G81" s="3">
        <v>1.6005631886428784</v>
      </c>
      <c r="H81" s="3">
        <v>-0.32730502229385661</v>
      </c>
    </row>
    <row r="82" spans="1:8" x14ac:dyDescent="0.3">
      <c r="A82" s="2">
        <v>2024</v>
      </c>
      <c r="B82" s="2">
        <v>9</v>
      </c>
      <c r="C82" s="3">
        <v>16739</v>
      </c>
      <c r="D82" s="3">
        <v>-1.7606667057925907</v>
      </c>
      <c r="E82" s="3">
        <v>-0.27169938698399609</v>
      </c>
      <c r="F82" s="3">
        <v>1703095</v>
      </c>
      <c r="G82" s="3">
        <v>0.9379056108388184</v>
      </c>
      <c r="H82" s="3">
        <v>-8.192347304724781E-3</v>
      </c>
    </row>
    <row r="83" spans="1:8" x14ac:dyDescent="0.3">
      <c r="A83" s="2">
        <v>2024</v>
      </c>
      <c r="B83" s="2">
        <v>10</v>
      </c>
      <c r="C83" s="3">
        <v>17817</v>
      </c>
      <c r="D83" s="3">
        <v>-2.125906394199073</v>
      </c>
      <c r="E83" s="3">
        <v>-6.0639151353734218E-2</v>
      </c>
      <c r="F83" s="3">
        <v>1757250</v>
      </c>
      <c r="G83" s="3">
        <v>1.1948157848364227</v>
      </c>
      <c r="H83" s="3">
        <v>0.30794880902947208</v>
      </c>
    </row>
    <row r="84" spans="1:8" x14ac:dyDescent="0.3">
      <c r="A84" s="2">
        <v>2024</v>
      </c>
      <c r="B84" s="2">
        <v>11</v>
      </c>
      <c r="C84" s="3">
        <v>19388</v>
      </c>
      <c r="D84" s="3">
        <v>-1.2780691481236284</v>
      </c>
      <c r="E84" s="3">
        <v>0.14817965520118515</v>
      </c>
      <c r="F84" s="3">
        <v>1845332</v>
      </c>
      <c r="G84" s="3">
        <v>1.1604774354046166</v>
      </c>
      <c r="H84" s="3">
        <v>0.6213896919311751</v>
      </c>
    </row>
    <row r="85" spans="1:8" x14ac:dyDescent="0.3">
      <c r="A85" s="2">
        <v>2024</v>
      </c>
      <c r="B85" s="2">
        <v>12</v>
      </c>
      <c r="C85" s="3">
        <v>19673</v>
      </c>
      <c r="D85" s="3">
        <v>-1.0810539018503595</v>
      </c>
      <c r="E85" s="3">
        <v>0.35536079347543342</v>
      </c>
      <c r="F85" s="3">
        <v>1873967</v>
      </c>
      <c r="G85" s="3">
        <v>2.0719778073964745</v>
      </c>
      <c r="H85" s="3">
        <v>0.93246313460725649</v>
      </c>
    </row>
    <row r="86" spans="1:8" x14ac:dyDescent="0.3">
      <c r="A86" s="2">
        <v>2025</v>
      </c>
      <c r="B86" s="2">
        <v>1</v>
      </c>
      <c r="C86" s="3">
        <v>21046</v>
      </c>
      <c r="D86" s="3">
        <v>0.74676878889421427</v>
      </c>
      <c r="E86" s="3">
        <v>0.56140897920789556</v>
      </c>
      <c r="F86" s="3">
        <v>1947182</v>
      </c>
      <c r="G86" s="3">
        <v>1.2935438294224166</v>
      </c>
      <c r="H86" s="3">
        <v>1.2415394069134407</v>
      </c>
    </row>
    <row r="87" spans="1:8" x14ac:dyDescent="0.3">
      <c r="A87" s="2">
        <v>2025</v>
      </c>
      <c r="B87" s="2">
        <v>2</v>
      </c>
      <c r="C87" s="3">
        <v>20354</v>
      </c>
      <c r="D87" s="3">
        <v>-1.9792920780158929</v>
      </c>
      <c r="E87" s="3">
        <v>0.76672917711694777</v>
      </c>
      <c r="F87" s="3">
        <v>1889844</v>
      </c>
      <c r="G87" s="3">
        <v>-0.19808882047110954</v>
      </c>
      <c r="H87" s="3">
        <v>1.5490679116688402</v>
      </c>
    </row>
    <row r="88" spans="1:8" x14ac:dyDescent="0.3">
      <c r="A88" s="2">
        <v>2025</v>
      </c>
      <c r="B88" s="2">
        <v>3</v>
      </c>
      <c r="C88" s="3">
        <v>19243</v>
      </c>
      <c r="D88" s="3">
        <v>1.6158842477689284</v>
      </c>
      <c r="E88" s="3">
        <v>0.97173922412997216</v>
      </c>
      <c r="F88" s="3">
        <v>1839370</v>
      </c>
      <c r="G88" s="3">
        <v>2.4756342015918031</v>
      </c>
      <c r="H88" s="3">
        <v>1.855501663110797</v>
      </c>
    </row>
    <row r="89" spans="1:8" x14ac:dyDescent="0.3">
      <c r="A89" s="2">
        <v>2025</v>
      </c>
      <c r="B89" s="2">
        <v>4</v>
      </c>
      <c r="C89" s="3">
        <v>18145</v>
      </c>
      <c r="D89" s="3">
        <v>-2.5248455546602155</v>
      </c>
      <c r="E89" s="3">
        <v>1.1766662612538554</v>
      </c>
      <c r="F89" s="3">
        <v>1739801</v>
      </c>
      <c r="G89" s="3">
        <v>0.2458031673230554</v>
      </c>
      <c r="H89" s="3">
        <v>2.1611723451480325</v>
      </c>
    </row>
    <row r="90" spans="1:8" x14ac:dyDescent="0.3">
      <c r="A90" s="2">
        <v>2025</v>
      </c>
      <c r="B90" s="2">
        <v>5</v>
      </c>
      <c r="C90" s="3">
        <v>17649</v>
      </c>
      <c r="D90" s="3">
        <v>2.2669311419676319E-2</v>
      </c>
      <c r="E90" s="3">
        <v>1.3817821617887929</v>
      </c>
      <c r="F90" s="3">
        <v>1706069</v>
      </c>
      <c r="G90" s="3">
        <v>0.67626219381580199</v>
      </c>
      <c r="H90" s="3">
        <v>2.4664547064488849</v>
      </c>
    </row>
    <row r="91" spans="1:8" x14ac:dyDescent="0.3">
      <c r="A91" s="2">
        <v>2025</v>
      </c>
      <c r="B91" s="2">
        <v>6</v>
      </c>
      <c r="C91" s="3">
        <v>16979</v>
      </c>
      <c r="D91" s="3">
        <v>0.94530321046373267</v>
      </c>
      <c r="E91" s="3">
        <v>1.5871017496033193</v>
      </c>
      <c r="F91" s="3">
        <v>1725384</v>
      </c>
      <c r="G91" s="3">
        <v>1.5007591743618542</v>
      </c>
      <c r="H91" s="3">
        <v>2.7715904839332328</v>
      </c>
    </row>
    <row r="92" spans="1:8" x14ac:dyDescent="0.3">
      <c r="A92" s="2">
        <v>2025</v>
      </c>
      <c r="B92" s="2">
        <v>7</v>
      </c>
      <c r="C92" s="3">
        <v>18141</v>
      </c>
      <c r="D92" s="3">
        <v>3.5799931483384784</v>
      </c>
      <c r="E92" s="3">
        <v>1.792545465729138</v>
      </c>
      <c r="F92" s="3">
        <v>1852428</v>
      </c>
      <c r="G92" s="3">
        <v>2.6567092715495955</v>
      </c>
      <c r="H92" s="3">
        <v>3.0766970955964665</v>
      </c>
    </row>
    <row r="93" spans="1:8" x14ac:dyDescent="0.3">
      <c r="C93" s="3"/>
      <c r="D93" s="3"/>
      <c r="E93" s="3"/>
      <c r="F93" s="3"/>
      <c r="G93" s="3"/>
      <c r="H93" s="3"/>
    </row>
    <row r="94" spans="1:8" x14ac:dyDescent="0.3">
      <c r="C94" s="3"/>
      <c r="D94" s="3"/>
      <c r="E94" s="3"/>
      <c r="F94" s="3"/>
      <c r="G94" s="3"/>
      <c r="H94" s="3"/>
    </row>
    <row r="95" spans="1:8" x14ac:dyDescent="0.3">
      <c r="C95" s="3"/>
      <c r="D95" s="3"/>
      <c r="E95" s="3"/>
      <c r="F95" s="3"/>
      <c r="G95" s="3"/>
      <c r="H95" s="3"/>
    </row>
    <row r="96" spans="1:8" x14ac:dyDescent="0.3">
      <c r="C96" s="3"/>
      <c r="D96" s="3"/>
      <c r="E96" s="3"/>
      <c r="F96" s="3"/>
      <c r="G96" s="3"/>
      <c r="H96" s="3"/>
    </row>
    <row r="97" spans="3:8" x14ac:dyDescent="0.3">
      <c r="C97" s="3"/>
      <c r="D97" s="3"/>
      <c r="E97" s="3"/>
      <c r="F97" s="3"/>
      <c r="G97" s="3"/>
      <c r="H97" s="3"/>
    </row>
    <row r="98" spans="3:8" x14ac:dyDescent="0.3">
      <c r="C98" s="6"/>
      <c r="D98" s="3"/>
      <c r="E98" s="3"/>
      <c r="F98" s="6"/>
      <c r="G98" s="3"/>
      <c r="H98" s="3"/>
    </row>
    <row r="99" spans="3:8" x14ac:dyDescent="0.3">
      <c r="C99" s="6"/>
      <c r="D99" s="3"/>
      <c r="E99" s="3"/>
      <c r="F99" s="6"/>
      <c r="G99" s="3"/>
      <c r="H99" s="3"/>
    </row>
    <row r="100" spans="3:8" x14ac:dyDescent="0.3">
      <c r="C100" s="6"/>
      <c r="D100" s="3"/>
      <c r="E100" s="3"/>
      <c r="F100" s="6"/>
      <c r="G100" s="3"/>
      <c r="H100" s="3"/>
    </row>
    <row r="101" spans="3:8" x14ac:dyDescent="0.3">
      <c r="C101" s="6"/>
      <c r="D101" s="3"/>
      <c r="E101" s="3"/>
      <c r="F101" s="6"/>
      <c r="G101" s="3"/>
      <c r="H101" s="3"/>
    </row>
    <row r="102" spans="3:8" x14ac:dyDescent="0.3">
      <c r="C102" s="6"/>
      <c r="D102" s="3"/>
      <c r="E102" s="3"/>
      <c r="F102" s="6"/>
      <c r="G102" s="3"/>
      <c r="H102" s="3"/>
    </row>
    <row r="103" spans="3:8" x14ac:dyDescent="0.3">
      <c r="C103" s="6"/>
      <c r="D103" s="3"/>
      <c r="E103" s="3"/>
      <c r="F103" s="6"/>
      <c r="G103" s="3"/>
      <c r="H103" s="3"/>
    </row>
    <row r="104" spans="3:8" x14ac:dyDescent="0.3">
      <c r="C104" s="6"/>
      <c r="D104" s="3"/>
      <c r="E104" s="3"/>
      <c r="F104" s="6"/>
      <c r="G104" s="3"/>
      <c r="H104" s="3"/>
    </row>
    <row r="105" spans="3:8" x14ac:dyDescent="0.3">
      <c r="C105" s="6"/>
      <c r="D105" s="3"/>
      <c r="E105" s="3"/>
      <c r="F105" s="6"/>
      <c r="G105" s="3"/>
      <c r="H105" s="3"/>
    </row>
    <row r="106" spans="3:8" x14ac:dyDescent="0.3">
      <c r="C106" s="6"/>
      <c r="D106" s="3"/>
      <c r="E106" s="3"/>
      <c r="F106" s="6"/>
      <c r="G106" s="3"/>
      <c r="H106" s="3"/>
    </row>
    <row r="107" spans="3:8" x14ac:dyDescent="0.3">
      <c r="C107" s="6"/>
      <c r="D107" s="3"/>
      <c r="E107" s="3"/>
      <c r="F107" s="6"/>
      <c r="G107" s="3"/>
      <c r="H107" s="3"/>
    </row>
    <row r="108" spans="3:8" x14ac:dyDescent="0.3">
      <c r="C108" s="6"/>
      <c r="D108" s="3"/>
      <c r="E108" s="3"/>
      <c r="F108" s="6"/>
      <c r="G108" s="3"/>
      <c r="H108" s="3"/>
    </row>
    <row r="109" spans="3:8" x14ac:dyDescent="0.3">
      <c r="C109" s="6"/>
      <c r="D109" s="3"/>
      <c r="E109" s="3"/>
      <c r="F109" s="6"/>
      <c r="G109" s="3"/>
      <c r="H109" s="3"/>
    </row>
    <row r="110" spans="3:8" x14ac:dyDescent="0.3">
      <c r="C110" s="6"/>
      <c r="D110" s="3"/>
      <c r="E110" s="3"/>
      <c r="F110" s="6"/>
      <c r="G110" s="3"/>
      <c r="H110" s="3"/>
    </row>
    <row r="111" spans="3:8" x14ac:dyDescent="0.3">
      <c r="C111" s="6"/>
      <c r="D111" s="3"/>
      <c r="E111" s="3"/>
      <c r="F111" s="6"/>
      <c r="G111" s="3"/>
      <c r="H111" s="3"/>
    </row>
    <row r="112" spans="3:8" x14ac:dyDescent="0.3">
      <c r="C112" s="6"/>
      <c r="D112" s="3"/>
      <c r="E112" s="3"/>
      <c r="F112" s="6"/>
      <c r="G112" s="3"/>
      <c r="H112" s="3"/>
    </row>
    <row r="113" spans="3:8" x14ac:dyDescent="0.3">
      <c r="C113" s="6"/>
      <c r="D113" s="3"/>
      <c r="E113" s="3"/>
      <c r="F113" s="6"/>
      <c r="G113" s="3"/>
      <c r="H113" s="3"/>
    </row>
    <row r="114" spans="3:8" x14ac:dyDescent="0.3">
      <c r="C114" s="6"/>
      <c r="D114" s="3"/>
      <c r="E114" s="3"/>
      <c r="F114" s="6"/>
      <c r="G114" s="3"/>
      <c r="H114" s="3"/>
    </row>
    <row r="115" spans="3:8" x14ac:dyDescent="0.3">
      <c r="C115" s="6"/>
      <c r="D115" s="3"/>
      <c r="E115" s="3"/>
      <c r="F115" s="6"/>
      <c r="G115" s="3"/>
      <c r="H115" s="3"/>
    </row>
    <row r="116" spans="3:8" x14ac:dyDescent="0.3">
      <c r="C116" s="6"/>
      <c r="D116" s="3"/>
      <c r="E116" s="3"/>
      <c r="F116" s="6"/>
      <c r="G116" s="3"/>
      <c r="H116" s="3"/>
    </row>
    <row r="117" spans="3:8" x14ac:dyDescent="0.3">
      <c r="C117" s="6"/>
      <c r="D117" s="3"/>
      <c r="E117" s="3"/>
      <c r="F117" s="6"/>
      <c r="G117" s="3"/>
      <c r="H117" s="3"/>
    </row>
    <row r="118" spans="3:8" x14ac:dyDescent="0.3">
      <c r="C118" s="6"/>
      <c r="D118" s="3"/>
      <c r="E118" s="3"/>
      <c r="F118" s="6"/>
      <c r="G118" s="3"/>
      <c r="H118" s="3"/>
    </row>
    <row r="119" spans="3:8" x14ac:dyDescent="0.3">
      <c r="C119" s="6"/>
      <c r="D119" s="3"/>
      <c r="E119" s="3"/>
      <c r="F119" s="6"/>
      <c r="G119" s="3"/>
      <c r="H119" s="3"/>
    </row>
    <row r="120" spans="3:8" x14ac:dyDescent="0.3">
      <c r="C120" s="6"/>
      <c r="D120" s="3"/>
      <c r="E120" s="3"/>
      <c r="F120" s="6"/>
      <c r="G120" s="3"/>
      <c r="H120" s="3"/>
    </row>
    <row r="121" spans="3:8" x14ac:dyDescent="0.3">
      <c r="C121" s="6"/>
      <c r="D121" s="3"/>
      <c r="E121" s="3"/>
      <c r="F121" s="6"/>
      <c r="G121" s="3"/>
      <c r="H121" s="3"/>
    </row>
    <row r="122" spans="3:8" x14ac:dyDescent="0.3">
      <c r="C122" s="6"/>
      <c r="D122" s="3"/>
      <c r="E122" s="3"/>
      <c r="F122" s="6"/>
      <c r="G122" s="3"/>
      <c r="H122" s="3"/>
    </row>
    <row r="123" spans="3:8" x14ac:dyDescent="0.3">
      <c r="C123" s="6"/>
      <c r="D123" s="3"/>
      <c r="E123" s="3"/>
      <c r="F123" s="6"/>
      <c r="G123" s="3"/>
      <c r="H123" s="3"/>
    </row>
    <row r="124" spans="3:8" x14ac:dyDescent="0.3">
      <c r="C124" s="6"/>
      <c r="D124" s="3"/>
      <c r="E124" s="3"/>
      <c r="F124" s="6"/>
      <c r="G124" s="3"/>
      <c r="H124" s="3"/>
    </row>
    <row r="125" spans="3:8" x14ac:dyDescent="0.3">
      <c r="C125" s="6"/>
      <c r="D125" s="3"/>
      <c r="E125" s="3"/>
      <c r="F125" s="6"/>
      <c r="G125" s="3"/>
      <c r="H125" s="3"/>
    </row>
    <row r="126" spans="3:8" x14ac:dyDescent="0.3">
      <c r="C126" s="6"/>
      <c r="D126" s="3"/>
      <c r="E126" s="3"/>
      <c r="F126" s="6"/>
      <c r="G126" s="3"/>
      <c r="H126" s="3"/>
    </row>
    <row r="127" spans="3:8" x14ac:dyDescent="0.3">
      <c r="C127" s="6"/>
      <c r="D127" s="3"/>
      <c r="E127" s="3"/>
      <c r="F127" s="6"/>
      <c r="G127" s="3"/>
      <c r="H127" s="3"/>
    </row>
    <row r="128" spans="3:8" x14ac:dyDescent="0.3">
      <c r="C128" s="6"/>
      <c r="D128" s="3"/>
      <c r="E128" s="3"/>
      <c r="F128" s="6"/>
      <c r="G128" s="3"/>
      <c r="H128" s="3"/>
    </row>
    <row r="129" spans="3:8" x14ac:dyDescent="0.3">
      <c r="C129" s="6"/>
      <c r="D129" s="3"/>
      <c r="E129" s="3"/>
      <c r="F129" s="6"/>
      <c r="G129" s="3"/>
      <c r="H129" s="3"/>
    </row>
    <row r="130" spans="3:8" x14ac:dyDescent="0.3">
      <c r="C130" s="6"/>
      <c r="D130" s="3"/>
      <c r="E130" s="3"/>
      <c r="F130" s="6"/>
      <c r="G130" s="3"/>
      <c r="H130" s="3"/>
    </row>
    <row r="131" spans="3:8" x14ac:dyDescent="0.3">
      <c r="C131" s="6"/>
      <c r="D131" s="3"/>
      <c r="E131" s="3"/>
      <c r="F131" s="6"/>
      <c r="G131" s="3"/>
      <c r="H131" s="3"/>
    </row>
    <row r="132" spans="3:8" x14ac:dyDescent="0.3">
      <c r="C132" s="6"/>
      <c r="D132" s="3"/>
      <c r="E132" s="3"/>
      <c r="F132" s="6"/>
      <c r="G132" s="3"/>
      <c r="H132" s="3"/>
    </row>
    <row r="133" spans="3:8" x14ac:dyDescent="0.3">
      <c r="C133" s="6"/>
      <c r="D133" s="3"/>
      <c r="E133" s="3"/>
      <c r="F133" s="6"/>
      <c r="G133" s="3"/>
      <c r="H133" s="3"/>
    </row>
    <row r="134" spans="3:8" x14ac:dyDescent="0.3">
      <c r="C134" s="6"/>
      <c r="D134" s="3"/>
      <c r="E134" s="3"/>
      <c r="F134" s="6"/>
      <c r="G134" s="3"/>
      <c r="H134" s="3"/>
    </row>
    <row r="135" spans="3:8" x14ac:dyDescent="0.3">
      <c r="C135" s="6"/>
      <c r="D135" s="3"/>
      <c r="E135" s="3"/>
      <c r="F135" s="6"/>
      <c r="G135" s="3"/>
      <c r="H135" s="3"/>
    </row>
    <row r="136" spans="3:8" x14ac:dyDescent="0.3">
      <c r="C136" s="6"/>
      <c r="D136" s="3"/>
      <c r="E136" s="3"/>
      <c r="F136" s="6"/>
      <c r="G136" s="3"/>
      <c r="H136" s="3"/>
    </row>
    <row r="137" spans="3:8" x14ac:dyDescent="0.3">
      <c r="C137" s="6"/>
      <c r="D137" s="3"/>
      <c r="E137" s="3"/>
      <c r="F137" s="6"/>
      <c r="G137" s="3"/>
      <c r="H137" s="3"/>
    </row>
    <row r="138" spans="3:8" x14ac:dyDescent="0.3">
      <c r="C138" s="6"/>
      <c r="D138" s="3"/>
      <c r="E138" s="3"/>
      <c r="F138" s="6"/>
      <c r="G138" s="3"/>
      <c r="H138" s="3"/>
    </row>
    <row r="139" spans="3:8" x14ac:dyDescent="0.3">
      <c r="C139" s="6"/>
      <c r="D139" s="3"/>
      <c r="E139" s="3"/>
      <c r="F139" s="6"/>
      <c r="G139" s="3"/>
      <c r="H139" s="3"/>
    </row>
    <row r="140" spans="3:8" x14ac:dyDescent="0.3">
      <c r="C140" s="6"/>
      <c r="D140" s="3"/>
      <c r="E140" s="3"/>
      <c r="F140" s="6"/>
      <c r="G140" s="3"/>
      <c r="H140" s="3"/>
    </row>
    <row r="141" spans="3:8" x14ac:dyDescent="0.3">
      <c r="C141" s="6"/>
      <c r="D141" s="3"/>
      <c r="E141" s="3"/>
      <c r="F141" s="6"/>
      <c r="G141" s="3"/>
      <c r="H141" s="3"/>
    </row>
    <row r="142" spans="3:8" x14ac:dyDescent="0.3">
      <c r="C142" s="6"/>
      <c r="D142" s="3"/>
      <c r="E142" s="3"/>
      <c r="F142" s="6"/>
      <c r="G142" s="3"/>
      <c r="H142" s="3"/>
    </row>
    <row r="143" spans="3:8" x14ac:dyDescent="0.3">
      <c r="C143" s="6"/>
      <c r="D143" s="3"/>
      <c r="E143" s="3"/>
      <c r="F143" s="6"/>
      <c r="G143" s="3"/>
      <c r="H143" s="3"/>
    </row>
    <row r="144" spans="3:8" x14ac:dyDescent="0.3">
      <c r="C144" s="6"/>
      <c r="D144" s="3"/>
      <c r="E144" s="3"/>
      <c r="F144" s="6"/>
      <c r="G144" s="3"/>
      <c r="H144" s="3"/>
    </row>
    <row r="145" spans="3:8" x14ac:dyDescent="0.3">
      <c r="C145" s="6"/>
      <c r="D145" s="3"/>
      <c r="E145" s="3"/>
      <c r="F145" s="6"/>
      <c r="G145" s="3"/>
      <c r="H145" s="3"/>
    </row>
    <row r="146" spans="3:8" x14ac:dyDescent="0.3">
      <c r="C146" s="6"/>
      <c r="D146" s="3"/>
      <c r="E146" s="3"/>
      <c r="F146" s="6"/>
      <c r="G146" s="3"/>
      <c r="H146" s="3"/>
    </row>
    <row r="147" spans="3:8" x14ac:dyDescent="0.3">
      <c r="C147" s="6"/>
      <c r="D147" s="3"/>
      <c r="E147" s="3"/>
      <c r="F147" s="6"/>
      <c r="G147" s="3"/>
      <c r="H147" s="3"/>
    </row>
    <row r="148" spans="3:8" x14ac:dyDescent="0.3">
      <c r="C148" s="6"/>
      <c r="D148" s="3"/>
      <c r="E148" s="3"/>
      <c r="F148" s="6"/>
      <c r="G148" s="3"/>
      <c r="H148" s="3"/>
    </row>
    <row r="149" spans="3:8" x14ac:dyDescent="0.3">
      <c r="C149" s="6"/>
      <c r="D149" s="3"/>
      <c r="E149" s="3"/>
      <c r="F149" s="6"/>
      <c r="G149" s="3"/>
      <c r="H149" s="3"/>
    </row>
    <row r="150" spans="3:8" x14ac:dyDescent="0.3">
      <c r="C150" s="6"/>
      <c r="D150" s="3"/>
      <c r="E150" s="3"/>
      <c r="F150" s="6"/>
      <c r="G150" s="3"/>
      <c r="H150" s="3"/>
    </row>
    <row r="151" spans="3:8" x14ac:dyDescent="0.3">
      <c r="C151" s="6"/>
      <c r="D151" s="3"/>
      <c r="E151" s="3"/>
      <c r="F151" s="6"/>
      <c r="G151" s="3"/>
      <c r="H151" s="3"/>
    </row>
    <row r="152" spans="3:8" x14ac:dyDescent="0.3">
      <c r="C152" s="6"/>
      <c r="D152" s="3"/>
      <c r="E152" s="3"/>
      <c r="F152" s="6"/>
      <c r="G152" s="3"/>
      <c r="H152" s="3"/>
    </row>
    <row r="153" spans="3:8" x14ac:dyDescent="0.3">
      <c r="C153" s="6"/>
      <c r="D153" s="3"/>
      <c r="E153" s="3"/>
      <c r="F153" s="6"/>
      <c r="G153" s="3"/>
      <c r="H153" s="3"/>
    </row>
    <row r="154" spans="3:8" x14ac:dyDescent="0.3">
      <c r="C154" s="6"/>
      <c r="D154" s="3"/>
      <c r="E154" s="3"/>
      <c r="F154" s="6"/>
      <c r="G154" s="3"/>
      <c r="H154" s="3"/>
    </row>
    <row r="155" spans="3:8" x14ac:dyDescent="0.3">
      <c r="C155" s="6"/>
      <c r="D155" s="3"/>
      <c r="E155" s="3"/>
      <c r="F155" s="6"/>
      <c r="G155" s="3"/>
      <c r="H155" s="3"/>
    </row>
    <row r="156" spans="3:8" x14ac:dyDescent="0.3">
      <c r="C156" s="6"/>
      <c r="D156" s="3"/>
      <c r="E156" s="3"/>
      <c r="F156" s="6"/>
      <c r="G156" s="3"/>
      <c r="H156" s="3"/>
    </row>
    <row r="157" spans="3:8" x14ac:dyDescent="0.3">
      <c r="C157" s="6"/>
      <c r="D157" s="3"/>
      <c r="E157" s="3"/>
      <c r="F157" s="6"/>
      <c r="G157" s="3"/>
      <c r="H157" s="3"/>
    </row>
    <row r="158" spans="3:8" x14ac:dyDescent="0.3">
      <c r="C158" s="6"/>
      <c r="D158" s="3"/>
      <c r="E158" s="3"/>
      <c r="F158" s="6"/>
      <c r="G158" s="3"/>
      <c r="H158" s="3"/>
    </row>
    <row r="159" spans="3:8" x14ac:dyDescent="0.3">
      <c r="C159" s="6"/>
      <c r="D159" s="3"/>
      <c r="E159" s="3"/>
      <c r="F159" s="6"/>
      <c r="G159" s="3"/>
      <c r="H159" s="3"/>
    </row>
    <row r="160" spans="3:8" x14ac:dyDescent="0.3">
      <c r="C160" s="6"/>
      <c r="D160" s="3"/>
      <c r="E160" s="3"/>
      <c r="F160" s="6"/>
      <c r="G160" s="3"/>
      <c r="H160" s="3"/>
    </row>
    <row r="161" spans="3:8" x14ac:dyDescent="0.3">
      <c r="C161" s="6"/>
      <c r="D161" s="3"/>
      <c r="E161" s="3"/>
      <c r="F161" s="6"/>
      <c r="G161" s="3"/>
      <c r="H161" s="3"/>
    </row>
    <row r="162" spans="3:8" x14ac:dyDescent="0.3">
      <c r="C162" s="6"/>
      <c r="D162" s="3"/>
      <c r="E162" s="3"/>
      <c r="F162" s="6"/>
      <c r="G162" s="3"/>
      <c r="H162" s="3"/>
    </row>
    <row r="163" spans="3:8" x14ac:dyDescent="0.3">
      <c r="C163" s="6"/>
      <c r="D163" s="3"/>
      <c r="E163" s="3"/>
      <c r="F163" s="6"/>
      <c r="G163" s="3"/>
      <c r="H163" s="3"/>
    </row>
    <row r="164" spans="3:8" x14ac:dyDescent="0.3">
      <c r="C164" s="6"/>
      <c r="D164" s="3"/>
      <c r="E164" s="3"/>
      <c r="F164" s="6"/>
      <c r="G164" s="3"/>
      <c r="H164" s="3"/>
    </row>
    <row r="165" spans="3:8" x14ac:dyDescent="0.3">
      <c r="C165" s="6"/>
      <c r="D165" s="3"/>
      <c r="E165" s="3"/>
      <c r="F165" s="6"/>
      <c r="G165" s="3"/>
      <c r="H165" s="3"/>
    </row>
    <row r="166" spans="3:8" x14ac:dyDescent="0.3">
      <c r="C166" s="6"/>
      <c r="D166" s="3"/>
      <c r="E166" s="3"/>
      <c r="F166" s="6"/>
      <c r="G166" s="3"/>
      <c r="H166" s="3"/>
    </row>
    <row r="167" spans="3:8" x14ac:dyDescent="0.3">
      <c r="C167" s="6"/>
      <c r="D167" s="3"/>
      <c r="E167" s="3"/>
      <c r="F167" s="6"/>
      <c r="G167" s="3"/>
      <c r="H167" s="3"/>
    </row>
    <row r="168" spans="3:8" x14ac:dyDescent="0.3">
      <c r="C168" s="6"/>
      <c r="D168" s="3"/>
      <c r="E168" s="3"/>
      <c r="F168" s="6"/>
      <c r="G168" s="3"/>
      <c r="H168" s="3"/>
    </row>
    <row r="169" spans="3:8" x14ac:dyDescent="0.3">
      <c r="C169" s="6"/>
      <c r="D169" s="3"/>
      <c r="E169" s="3"/>
      <c r="F169" s="6"/>
      <c r="G169" s="3"/>
      <c r="H169" s="3"/>
    </row>
    <row r="170" spans="3:8" x14ac:dyDescent="0.3">
      <c r="C170" s="6"/>
      <c r="D170" s="3"/>
      <c r="E170" s="3"/>
      <c r="F170" s="6"/>
      <c r="G170" s="3"/>
      <c r="H170" s="3"/>
    </row>
    <row r="171" spans="3:8" x14ac:dyDescent="0.3">
      <c r="C171" s="6"/>
      <c r="D171" s="3"/>
      <c r="E171" s="3"/>
      <c r="F171" s="6"/>
      <c r="G171" s="3"/>
      <c r="H171" s="3"/>
    </row>
    <row r="172" spans="3:8" x14ac:dyDescent="0.3">
      <c r="C172" s="6"/>
      <c r="D172" s="3"/>
      <c r="E172" s="3"/>
      <c r="F172" s="6"/>
      <c r="G172" s="3"/>
      <c r="H172" s="3"/>
    </row>
    <row r="173" spans="3:8" x14ac:dyDescent="0.3">
      <c r="C173" s="6"/>
      <c r="D173" s="3"/>
      <c r="E173" s="3"/>
      <c r="F173" s="6"/>
      <c r="G173" s="3"/>
      <c r="H173" s="3"/>
    </row>
    <row r="174" spans="3:8" x14ac:dyDescent="0.3">
      <c r="C174" s="6"/>
      <c r="D174" s="3"/>
      <c r="E174" s="3"/>
      <c r="F174" s="6"/>
      <c r="G174" s="3"/>
      <c r="H174" s="3"/>
    </row>
    <row r="175" spans="3:8" x14ac:dyDescent="0.3">
      <c r="C175" s="6"/>
      <c r="D175" s="3"/>
      <c r="E175" s="3"/>
      <c r="F175" s="6"/>
      <c r="G175" s="3"/>
      <c r="H175" s="3"/>
    </row>
    <row r="176" spans="3:8" x14ac:dyDescent="0.3">
      <c r="C176" s="6"/>
      <c r="D176" s="3"/>
      <c r="E176" s="3"/>
      <c r="F176" s="6"/>
      <c r="G176" s="3"/>
      <c r="H176" s="3"/>
    </row>
    <row r="177" spans="3:8" x14ac:dyDescent="0.3">
      <c r="C177" s="6"/>
      <c r="D177" s="3"/>
      <c r="E177" s="3"/>
      <c r="F177" s="6"/>
      <c r="G177" s="3"/>
      <c r="H177" s="3"/>
    </row>
  </sheetData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79" workbookViewId="0">
      <selection activeCell="D93" sqref="D93"/>
    </sheetView>
  </sheetViews>
  <sheetFormatPr baseColWidth="10" defaultColWidth="11.42578125" defaultRowHeight="13.5" x14ac:dyDescent="0.3"/>
  <cols>
    <col min="1" max="1" width="4.42578125" style="2" bestFit="1" customWidth="1"/>
    <col min="2" max="2" width="12.140625" style="2" bestFit="1" customWidth="1"/>
    <col min="3" max="3" width="14.42578125" style="2" bestFit="1" customWidth="1"/>
    <col min="4" max="4" width="20.85546875" style="2" bestFit="1" customWidth="1"/>
    <col min="5" max="5" width="18.28515625" style="2" bestFit="1" customWidth="1"/>
    <col min="6" max="6" width="16.140625" style="2" bestFit="1" customWidth="1"/>
    <col min="7" max="7" width="18.7109375" style="2" bestFit="1" customWidth="1"/>
    <col min="8" max="8" width="15.855468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200</v>
      </c>
      <c r="D1" s="2" t="s">
        <v>201</v>
      </c>
      <c r="E1" s="2" t="s">
        <v>202</v>
      </c>
      <c r="F1" s="2" t="s">
        <v>203</v>
      </c>
      <c r="G1" s="2" t="s">
        <v>204</v>
      </c>
      <c r="H1" s="2" t="s">
        <v>205</v>
      </c>
    </row>
    <row r="2" spans="1:8" x14ac:dyDescent="0.3">
      <c r="A2" s="2">
        <v>2018</v>
      </c>
      <c r="B2" s="3">
        <v>1</v>
      </c>
      <c r="C2" s="3">
        <v>18236</v>
      </c>
      <c r="D2" s="3">
        <v>-4.8721961398017761</v>
      </c>
      <c r="E2" s="3">
        <v>-6.0820837344833088E-2</v>
      </c>
      <c r="F2" s="3">
        <v>1596963</v>
      </c>
      <c r="G2" s="3">
        <v>-0.75488934877043778</v>
      </c>
      <c r="H2" s="3">
        <v>2.5352201586662821</v>
      </c>
    </row>
    <row r="3" spans="1:8" x14ac:dyDescent="0.3">
      <c r="A3" s="2">
        <v>2018</v>
      </c>
      <c r="B3" s="3">
        <v>2</v>
      </c>
      <c r="C3" s="3">
        <v>18656</v>
      </c>
      <c r="D3" s="3">
        <v>-1.7277707543194243</v>
      </c>
      <c r="E3" s="3">
        <v>1.0882883407820285</v>
      </c>
      <c r="F3" s="3">
        <v>1547593</v>
      </c>
      <c r="G3" s="3">
        <v>-1.1860788969772718</v>
      </c>
      <c r="H3" s="3">
        <v>3.6732338499164081</v>
      </c>
    </row>
    <row r="4" spans="1:8" x14ac:dyDescent="0.3">
      <c r="A4" s="2">
        <v>2018</v>
      </c>
      <c r="B4" s="3">
        <v>3</v>
      </c>
      <c r="C4" s="3">
        <v>16737</v>
      </c>
      <c r="D4" s="3">
        <v>-4.3599999999999977</v>
      </c>
      <c r="E4" s="3">
        <v>2.2822130266080847</v>
      </c>
      <c r="F4" s="3">
        <v>1469617</v>
      </c>
      <c r="G4" s="3">
        <v>-1.9990077314259724</v>
      </c>
      <c r="H4" s="3">
        <v>4.8565313142316988</v>
      </c>
    </row>
    <row r="5" spans="1:8" x14ac:dyDescent="0.3">
      <c r="A5" s="2">
        <v>2018</v>
      </c>
      <c r="B5" s="3">
        <v>4</v>
      </c>
      <c r="C5" s="3">
        <v>15548</v>
      </c>
      <c r="D5" s="3">
        <v>-3.6440257808626697</v>
      </c>
      <c r="E5" s="3">
        <v>3.5205132111419908</v>
      </c>
      <c r="F5" s="3">
        <v>1399495</v>
      </c>
      <c r="G5" s="3">
        <v>0.76718700498257242</v>
      </c>
      <c r="H5" s="3">
        <v>6.0845595256197624</v>
      </c>
    </row>
    <row r="6" spans="1:8" x14ac:dyDescent="0.3">
      <c r="A6" s="2">
        <v>2018</v>
      </c>
      <c r="B6" s="3">
        <v>5</v>
      </c>
      <c r="C6" s="3">
        <v>14486</v>
      </c>
      <c r="D6" s="3">
        <v>-6.6563567240157218</v>
      </c>
      <c r="E6" s="3">
        <v>4.8022876205988885</v>
      </c>
      <c r="F6" s="3">
        <v>1343722</v>
      </c>
      <c r="G6" s="3">
        <v>-0.88287080167973597</v>
      </c>
      <c r="H6" s="3">
        <v>7.3562893789878139</v>
      </c>
    </row>
    <row r="7" spans="1:8" x14ac:dyDescent="0.3">
      <c r="A7" s="2">
        <v>2018</v>
      </c>
      <c r="B7" s="3">
        <v>6</v>
      </c>
      <c r="C7" s="3">
        <v>13710</v>
      </c>
      <c r="D7" s="3">
        <v>-4.2798296446275197</v>
      </c>
      <c r="E7" s="3">
        <v>6.1261374437639198</v>
      </c>
      <c r="F7" s="3">
        <v>1318885</v>
      </c>
      <c r="G7" s="3">
        <v>-0.47472939443515827</v>
      </c>
      <c r="H7" s="3">
        <v>8.670322507262469</v>
      </c>
    </row>
    <row r="8" spans="1:8" x14ac:dyDescent="0.3">
      <c r="A8" s="2">
        <v>2018</v>
      </c>
      <c r="B8" s="3">
        <v>7</v>
      </c>
      <c r="C8" s="3">
        <v>13299</v>
      </c>
      <c r="D8" s="3">
        <v>-4.2548596112310992</v>
      </c>
      <c r="E8" s="3">
        <v>7.4898681302316286</v>
      </c>
      <c r="F8" s="3">
        <v>1400991</v>
      </c>
      <c r="G8" s="3">
        <v>-1.0143795024262547</v>
      </c>
      <c r="H8" s="3">
        <v>10.024688379468909</v>
      </c>
    </row>
    <row r="9" spans="1:8" x14ac:dyDescent="0.3">
      <c r="A9" s="2">
        <v>2018</v>
      </c>
      <c r="B9" s="3">
        <v>8</v>
      </c>
      <c r="C9" s="3">
        <v>13990</v>
      </c>
      <c r="D9" s="3">
        <v>-2.0788129068383898</v>
      </c>
      <c r="E9" s="3">
        <v>8.8905624929931992</v>
      </c>
      <c r="F9" s="3">
        <v>1503242</v>
      </c>
      <c r="G9" s="3">
        <v>-0.42136906193217527</v>
      </c>
      <c r="H9" s="3">
        <v>11.416781391583585</v>
      </c>
    </row>
    <row r="10" spans="1:8" x14ac:dyDescent="0.3">
      <c r="A10" s="2">
        <v>2018</v>
      </c>
      <c r="B10" s="3">
        <v>9</v>
      </c>
      <c r="C10" s="3">
        <v>13375</v>
      </c>
      <c r="D10" s="3">
        <v>-4.1424783200745381</v>
      </c>
      <c r="E10" s="3">
        <v>10.32448773894666</v>
      </c>
      <c r="F10" s="3">
        <v>1425853</v>
      </c>
      <c r="G10" s="3">
        <v>0.79841137768024151</v>
      </c>
      <c r="H10" s="3">
        <v>12.843229337646703</v>
      </c>
    </row>
    <row r="11" spans="1:8" x14ac:dyDescent="0.3">
      <c r="A11" s="2">
        <v>2018</v>
      </c>
      <c r="B11" s="3">
        <v>10</v>
      </c>
      <c r="C11" s="3">
        <v>14433</v>
      </c>
      <c r="D11" s="3">
        <v>-1.1979737130339507</v>
      </c>
      <c r="E11" s="3">
        <v>11.787149312809493</v>
      </c>
      <c r="F11" s="3">
        <v>1431092</v>
      </c>
      <c r="G11" s="3">
        <v>0.80320408202076976</v>
      </c>
      <c r="H11" s="3">
        <v>14.299837917916971</v>
      </c>
    </row>
    <row r="12" spans="1:8" x14ac:dyDescent="0.3">
      <c r="A12" s="2">
        <v>2018</v>
      </c>
      <c r="B12" s="3">
        <v>11</v>
      </c>
      <c r="C12" s="3">
        <v>15558</v>
      </c>
      <c r="D12" s="3">
        <v>1.8127085923696162</v>
      </c>
      <c r="E12" s="3">
        <v>13.273048008878416</v>
      </c>
      <c r="F12" s="3">
        <v>1507439</v>
      </c>
      <c r="G12" s="3">
        <v>2.051262609679938</v>
      </c>
      <c r="H12" s="3">
        <v>15.781576386961436</v>
      </c>
    </row>
    <row r="13" spans="1:8" x14ac:dyDescent="0.3">
      <c r="A13" s="2">
        <v>2018</v>
      </c>
      <c r="B13" s="3">
        <v>12</v>
      </c>
      <c r="C13" s="3">
        <v>16407</v>
      </c>
      <c r="D13" s="3">
        <v>0.97236753030955914</v>
      </c>
      <c r="E13" s="3">
        <v>14.775782876795573</v>
      </c>
      <c r="F13" s="3">
        <v>1524414</v>
      </c>
      <c r="G13" s="3">
        <v>2.0649824715514242</v>
      </c>
      <c r="H13" s="3">
        <v>17.282476733108542</v>
      </c>
    </row>
    <row r="14" spans="1:8" x14ac:dyDescent="0.3">
      <c r="A14" s="2">
        <v>2019</v>
      </c>
      <c r="B14" s="3">
        <v>1</v>
      </c>
      <c r="C14" s="3">
        <v>18812</v>
      </c>
      <c r="D14" s="3">
        <v>3.158587409519642</v>
      </c>
      <c r="E14" s="3">
        <v>16.288157109299188</v>
      </c>
      <c r="F14" s="3">
        <v>1660178</v>
      </c>
      <c r="G14" s="3">
        <v>3.9584511350607476</v>
      </c>
      <c r="H14" s="3">
        <v>18.79561745067442</v>
      </c>
    </row>
    <row r="15" spans="1:8" x14ac:dyDescent="0.3">
      <c r="A15" s="2">
        <v>2019</v>
      </c>
      <c r="B15" s="3">
        <v>2</v>
      </c>
      <c r="C15" s="3">
        <v>18365</v>
      </c>
      <c r="D15" s="3">
        <v>-1.5598198970840471</v>
      </c>
      <c r="E15" s="3">
        <v>17.802015328617312</v>
      </c>
      <c r="F15" s="3">
        <v>1599468</v>
      </c>
      <c r="G15" s="3">
        <v>3.3519794933164038</v>
      </c>
      <c r="H15" s="3">
        <v>20.313020263540373</v>
      </c>
    </row>
    <row r="16" spans="1:8" x14ac:dyDescent="0.3">
      <c r="A16" s="2">
        <v>2019</v>
      </c>
      <c r="B16" s="3">
        <v>3</v>
      </c>
      <c r="C16" s="3">
        <v>17101</v>
      </c>
      <c r="D16" s="3">
        <v>2.1748222501045689</v>
      </c>
      <c r="E16" s="3">
        <v>19.308290381304399</v>
      </c>
      <c r="F16" s="3">
        <v>1522193</v>
      </c>
      <c r="G16" s="3">
        <v>3.5775307444048332</v>
      </c>
      <c r="H16" s="3">
        <v>21.825676536815781</v>
      </c>
    </row>
    <row r="17" spans="1:8" x14ac:dyDescent="0.3">
      <c r="A17" s="2">
        <v>2019</v>
      </c>
      <c r="B17" s="3">
        <v>4</v>
      </c>
      <c r="C17" s="3">
        <v>15887</v>
      </c>
      <c r="D17" s="3">
        <v>2.1803447388731634</v>
      </c>
      <c r="E17" s="3">
        <v>20.796570542024234</v>
      </c>
      <c r="F17" s="3">
        <v>1468853</v>
      </c>
      <c r="G17" s="3">
        <v>4.9559305320847846</v>
      </c>
      <c r="H17" s="3">
        <v>23.323399785556539</v>
      </c>
    </row>
    <row r="18" spans="1:8" x14ac:dyDescent="0.3">
      <c r="A18" s="2">
        <v>2019</v>
      </c>
      <c r="B18" s="3">
        <v>5</v>
      </c>
      <c r="C18" s="3">
        <v>15918</v>
      </c>
      <c r="D18" s="3">
        <v>9.8854065994753668</v>
      </c>
      <c r="E18" s="3">
        <v>22.255254261264824</v>
      </c>
      <c r="F18" s="3">
        <v>1457504</v>
      </c>
      <c r="G18" s="3">
        <v>8.467674117116486</v>
      </c>
      <c r="H18" s="3">
        <v>24.794736292471846</v>
      </c>
    </row>
    <row r="19" spans="1:8" x14ac:dyDescent="0.3">
      <c r="A19" s="2">
        <v>2019</v>
      </c>
      <c r="B19" s="3">
        <v>6</v>
      </c>
      <c r="C19" s="3">
        <v>14847</v>
      </c>
      <c r="D19" s="3">
        <v>8.2932166301969303</v>
      </c>
      <c r="E19" s="3">
        <v>23.671447196055624</v>
      </c>
      <c r="F19" s="3">
        <v>1429088</v>
      </c>
      <c r="G19" s="3">
        <v>8.3557702149922086</v>
      </c>
      <c r="H19" s="3">
        <v>26.226956821572742</v>
      </c>
    </row>
    <row r="20" spans="1:8" x14ac:dyDescent="0.3">
      <c r="A20" s="2">
        <v>2019</v>
      </c>
      <c r="B20" s="3">
        <v>7</v>
      </c>
      <c r="C20" s="3">
        <v>14556</v>
      </c>
      <c r="D20" s="3">
        <v>9.451838484096541</v>
      </c>
      <c r="E20" s="3">
        <v>25.031395986227363</v>
      </c>
      <c r="F20" s="3">
        <v>1567230</v>
      </c>
      <c r="G20" s="3">
        <v>11.865814983822176</v>
      </c>
      <c r="H20" s="3">
        <v>27.606198313108091</v>
      </c>
    </row>
    <row r="21" spans="1:8" x14ac:dyDescent="0.3">
      <c r="A21" s="2">
        <v>2019</v>
      </c>
      <c r="B21" s="3">
        <v>8</v>
      </c>
      <c r="C21" s="3">
        <v>15254</v>
      </c>
      <c r="D21" s="3">
        <v>9.0350250178699021</v>
      </c>
      <c r="E21" s="3">
        <v>26.320279338932579</v>
      </c>
      <c r="F21" s="3">
        <v>1661110</v>
      </c>
      <c r="G21" s="3">
        <v>10.501835366494561</v>
      </c>
      <c r="H21" s="3">
        <v>28.917356652701301</v>
      </c>
    </row>
    <row r="22" spans="1:8" x14ac:dyDescent="0.3">
      <c r="A22" s="2">
        <v>2019</v>
      </c>
      <c r="B22" s="3">
        <v>9</v>
      </c>
      <c r="C22" s="3">
        <v>15512</v>
      </c>
      <c r="D22" s="3">
        <v>15.977570093457949</v>
      </c>
      <c r="E22" s="3">
        <v>27.522194047608387</v>
      </c>
      <c r="F22" s="3">
        <v>1590970</v>
      </c>
      <c r="G22" s="3">
        <v>11.580226012078377</v>
      </c>
      <c r="H22" s="3">
        <v>30.144234643800129</v>
      </c>
    </row>
    <row r="23" spans="1:8" x14ac:dyDescent="0.3">
      <c r="A23" s="2">
        <v>2019</v>
      </c>
      <c r="B23" s="3">
        <v>10</v>
      </c>
      <c r="C23" s="3">
        <v>16811</v>
      </c>
      <c r="D23" s="3">
        <v>16.476131088477786</v>
      </c>
      <c r="E23" s="3">
        <v>28.620036540808496</v>
      </c>
      <c r="F23" s="3">
        <v>1639199</v>
      </c>
      <c r="G23" s="3">
        <v>14.541832390929454</v>
      </c>
      <c r="H23" s="3">
        <v>31.269356234207457</v>
      </c>
    </row>
    <row r="24" spans="1:8" x14ac:dyDescent="0.3">
      <c r="A24" s="2">
        <v>2019</v>
      </c>
      <c r="B24" s="3">
        <v>11</v>
      </c>
      <c r="C24" s="3">
        <v>18014</v>
      </c>
      <c r="D24" s="3">
        <v>15.786090757166725</v>
      </c>
      <c r="E24" s="3">
        <v>29.595901537089802</v>
      </c>
      <c r="F24" s="3">
        <v>1701239</v>
      </c>
      <c r="G24" s="3">
        <v>12.856241612430086</v>
      </c>
      <c r="H24" s="3">
        <v>32.273956204460085</v>
      </c>
    </row>
    <row r="25" spans="1:8" x14ac:dyDescent="0.3">
      <c r="A25" s="2">
        <v>2019</v>
      </c>
      <c r="B25" s="3">
        <v>12</v>
      </c>
      <c r="C25" s="3">
        <v>18580</v>
      </c>
      <c r="D25" s="3">
        <v>13.244346925092954</v>
      </c>
      <c r="E25" s="3">
        <v>30.43104042824168</v>
      </c>
      <c r="F25" s="3">
        <v>1725934</v>
      </c>
      <c r="G25" s="3">
        <v>13.219505987218705</v>
      </c>
      <c r="H25" s="3">
        <v>33.138107701494576</v>
      </c>
    </row>
    <row r="26" spans="1:8" x14ac:dyDescent="0.3">
      <c r="A26" s="2">
        <v>2020</v>
      </c>
      <c r="B26" s="3">
        <v>1</v>
      </c>
      <c r="C26" s="3">
        <v>21237</v>
      </c>
      <c r="D26" s="3">
        <v>12.890708058685952</v>
      </c>
      <c r="E26" s="3">
        <v>31.10574559141601</v>
      </c>
      <c r="F26" s="3">
        <v>1867077</v>
      </c>
      <c r="G26" s="3">
        <v>12.462458844774481</v>
      </c>
      <c r="H26" s="3">
        <v>33.840535419845274</v>
      </c>
    </row>
    <row r="27" spans="1:8" x14ac:dyDescent="0.3">
      <c r="A27" s="2">
        <v>2020</v>
      </c>
      <c r="B27" s="3">
        <v>2</v>
      </c>
      <c r="C27" s="3">
        <v>20711</v>
      </c>
      <c r="D27" s="3">
        <v>12.77429893819766</v>
      </c>
      <c r="E27" s="3">
        <v>31.599115883382506</v>
      </c>
      <c r="F27" s="3">
        <v>1810993</v>
      </c>
      <c r="G27" s="3">
        <v>13.224709715980554</v>
      </c>
      <c r="H27" s="3">
        <v>34.358580817816367</v>
      </c>
    </row>
    <row r="28" spans="1:8" x14ac:dyDescent="0.3">
      <c r="A28" s="2">
        <v>2020</v>
      </c>
      <c r="B28" s="3">
        <v>3</v>
      </c>
      <c r="C28" s="3">
        <v>20181</v>
      </c>
      <c r="D28" s="3">
        <v>18.01064265247647</v>
      </c>
      <c r="E28" s="3">
        <v>31.88898522774889</v>
      </c>
      <c r="F28" s="3">
        <v>1789266</v>
      </c>
      <c r="G28" s="3">
        <v>17.545278423958056</v>
      </c>
      <c r="H28" s="3">
        <v>34.668100765060991</v>
      </c>
    </row>
    <row r="29" spans="1:8" x14ac:dyDescent="0.3">
      <c r="A29" s="2">
        <v>2020</v>
      </c>
      <c r="B29" s="3">
        <v>4</v>
      </c>
      <c r="C29" s="3">
        <v>55776</v>
      </c>
      <c r="D29" s="3">
        <v>251.079498961415</v>
      </c>
      <c r="E29" s="3">
        <v>31.951880269168353</v>
      </c>
      <c r="F29" s="3">
        <v>4938729</v>
      </c>
      <c r="G29" s="3">
        <v>236.23031031696163</v>
      </c>
      <c r="H29" s="3">
        <v>34.743484501294667</v>
      </c>
    </row>
    <row r="30" spans="1:8" x14ac:dyDescent="0.3">
      <c r="A30" s="2">
        <v>2020</v>
      </c>
      <c r="B30" s="3">
        <v>5</v>
      </c>
      <c r="C30" s="3">
        <v>62661</v>
      </c>
      <c r="D30" s="3">
        <v>293.64869958537503</v>
      </c>
      <c r="E30" s="3">
        <v>31.763363878504141</v>
      </c>
      <c r="F30" s="3">
        <v>5526120</v>
      </c>
      <c r="G30" s="3">
        <v>279.14955979537621</v>
      </c>
      <c r="H30" s="3">
        <v>34.557932181348122</v>
      </c>
    </row>
    <row r="31" spans="1:8" x14ac:dyDescent="0.3">
      <c r="A31" s="2">
        <v>2020</v>
      </c>
      <c r="B31" s="3">
        <v>6</v>
      </c>
      <c r="C31" s="3">
        <v>39542</v>
      </c>
      <c r="D31" s="3">
        <v>166.32989829595206</v>
      </c>
      <c r="E31" s="3">
        <v>31.314216122362019</v>
      </c>
      <c r="F31" s="3">
        <v>4188778</v>
      </c>
      <c r="G31" s="3">
        <v>193.10847197653328</v>
      </c>
      <c r="H31" s="3">
        <v>34.098636100733728</v>
      </c>
    </row>
    <row r="32" spans="1:8" x14ac:dyDescent="0.3">
      <c r="A32" s="2">
        <v>2020</v>
      </c>
      <c r="B32" s="3">
        <v>7</v>
      </c>
      <c r="C32" s="3">
        <v>28889</v>
      </c>
      <c r="D32" s="3">
        <v>98.467985710359997</v>
      </c>
      <c r="E32" s="3">
        <v>30.613403548994068</v>
      </c>
      <c r="F32" s="3">
        <v>3237910</v>
      </c>
      <c r="G32" s="3">
        <v>106.60081800373908</v>
      </c>
      <c r="H32" s="3">
        <v>33.369774084659277</v>
      </c>
    </row>
    <row r="33" spans="1:8" x14ac:dyDescent="0.3">
      <c r="A33" s="2">
        <v>2020</v>
      </c>
      <c r="B33" s="3">
        <v>8</v>
      </c>
      <c r="C33" s="3">
        <v>24553</v>
      </c>
      <c r="D33" s="3">
        <v>60.961059394257248</v>
      </c>
      <c r="E33" s="3">
        <v>29.679268795692199</v>
      </c>
      <c r="F33" s="3">
        <v>2876216</v>
      </c>
      <c r="G33" s="3">
        <v>73.150242909861475</v>
      </c>
      <c r="H33" s="3">
        <v>32.386566308046156</v>
      </c>
    </row>
    <row r="34" spans="1:8" x14ac:dyDescent="0.3">
      <c r="A34" s="2">
        <v>2020</v>
      </c>
      <c r="B34" s="3">
        <v>9</v>
      </c>
      <c r="C34" s="3">
        <v>22522</v>
      </c>
      <c r="D34" s="3">
        <v>45.190820010314603</v>
      </c>
      <c r="E34" s="3">
        <v>28.534866623509522</v>
      </c>
      <c r="F34" s="3">
        <v>2605807</v>
      </c>
      <c r="G34" s="3">
        <v>63.787312142906536</v>
      </c>
      <c r="H34" s="3">
        <v>31.169318434976809</v>
      </c>
    </row>
    <row r="35" spans="1:8" x14ac:dyDescent="0.3">
      <c r="A35" s="2">
        <v>2020</v>
      </c>
      <c r="B35" s="3">
        <v>10</v>
      </c>
      <c r="C35" s="3">
        <v>21958</v>
      </c>
      <c r="D35" s="3">
        <v>30.616858009636537</v>
      </c>
      <c r="E35" s="3">
        <v>27.205424140068502</v>
      </c>
      <c r="F35" s="3">
        <v>2653118</v>
      </c>
      <c r="G35" s="3">
        <v>61.854539930783268</v>
      </c>
      <c r="H35" s="3">
        <v>29.741166940408796</v>
      </c>
    </row>
    <row r="36" spans="1:8" x14ac:dyDescent="0.3">
      <c r="A36" s="2">
        <v>2020</v>
      </c>
      <c r="B36" s="3">
        <v>11</v>
      </c>
      <c r="C36" s="3">
        <v>23335</v>
      </c>
      <c r="D36" s="3">
        <v>29.538137004552013</v>
      </c>
      <c r="E36" s="3">
        <v>25.717325116421236</v>
      </c>
      <c r="F36" s="3">
        <v>2430642</v>
      </c>
      <c r="G36" s="3">
        <v>42.874810652706643</v>
      </c>
      <c r="H36" s="3">
        <v>28.127513437751617</v>
      </c>
    </row>
    <row r="37" spans="1:8" x14ac:dyDescent="0.3">
      <c r="A37" s="2">
        <v>2020</v>
      </c>
      <c r="B37" s="3">
        <v>12</v>
      </c>
      <c r="C37" s="3">
        <v>26125</v>
      </c>
      <c r="D37" s="3">
        <v>40.608180839612487</v>
      </c>
      <c r="E37" s="3">
        <v>24.09719022874966</v>
      </c>
      <c r="F37" s="3">
        <v>2472049</v>
      </c>
      <c r="G37" s="3">
        <v>43.22963682272902</v>
      </c>
      <c r="H37" s="3">
        <v>26.355989635761333</v>
      </c>
    </row>
    <row r="38" spans="1:8" x14ac:dyDescent="0.3">
      <c r="A38" s="2">
        <v>2021</v>
      </c>
      <c r="B38" s="3">
        <v>1</v>
      </c>
      <c r="C38" s="3">
        <v>28302</v>
      </c>
      <c r="D38" s="3">
        <v>33.267410651221915</v>
      </c>
      <c r="E38" s="3">
        <v>22.371905487394603</v>
      </c>
      <c r="F38" s="3">
        <v>2629476</v>
      </c>
      <c r="G38" s="3">
        <v>40.833827421150829</v>
      </c>
      <c r="H38" s="3">
        <v>24.455251361056145</v>
      </c>
    </row>
    <row r="39" spans="1:8" x14ac:dyDescent="0.3">
      <c r="A39" s="2">
        <v>2021</v>
      </c>
      <c r="B39" s="3">
        <v>2</v>
      </c>
      <c r="C39" s="3">
        <v>28451</v>
      </c>
      <c r="D39" s="3">
        <v>37.371445125778571</v>
      </c>
      <c r="E39" s="3">
        <v>20.569503499267093</v>
      </c>
      <c r="F39" s="3">
        <v>2734971</v>
      </c>
      <c r="G39" s="3">
        <v>51.020517473010663</v>
      </c>
      <c r="H39" s="3">
        <v>22.455126221308912</v>
      </c>
    </row>
    <row r="40" spans="1:8" x14ac:dyDescent="0.3">
      <c r="A40" s="2">
        <v>2021</v>
      </c>
      <c r="B40" s="3">
        <v>3</v>
      </c>
      <c r="C40" s="3">
        <v>26896</v>
      </c>
      <c r="D40" s="3">
        <v>33.273871463257507</v>
      </c>
      <c r="E40" s="3">
        <v>18.718773503581193</v>
      </c>
      <c r="F40" s="3">
        <v>2579302</v>
      </c>
      <c r="G40" s="3">
        <v>44.154195072169266</v>
      </c>
      <c r="H40" s="3">
        <v>20.386579225307781</v>
      </c>
    </row>
    <row r="41" spans="1:8" x14ac:dyDescent="0.3">
      <c r="A41" s="2">
        <v>2021</v>
      </c>
      <c r="B41" s="3">
        <v>4</v>
      </c>
      <c r="C41" s="3">
        <v>24620</v>
      </c>
      <c r="D41" s="3">
        <v>-55.859150889271369</v>
      </c>
      <c r="E41" s="3">
        <v>16.849671541052807</v>
      </c>
      <c r="F41" s="3">
        <v>2499809</v>
      </c>
      <c r="G41" s="3">
        <v>-49.383555971587022</v>
      </c>
      <c r="H41" s="3">
        <v>18.282559089566703</v>
      </c>
    </row>
    <row r="42" spans="1:8" x14ac:dyDescent="0.3">
      <c r="A42" s="2">
        <v>2021</v>
      </c>
      <c r="B42" s="3">
        <v>5</v>
      </c>
      <c r="C42" s="3">
        <v>23246</v>
      </c>
      <c r="D42" s="3">
        <v>-62.901964539346643</v>
      </c>
      <c r="E42" s="3">
        <v>14.993164423089478</v>
      </c>
      <c r="F42" s="3">
        <v>2332810</v>
      </c>
      <c r="G42" s="3">
        <v>-57.785752028548053</v>
      </c>
      <c r="H42" s="3">
        <v>16.177665059477889</v>
      </c>
    </row>
    <row r="43" spans="1:8" x14ac:dyDescent="0.3">
      <c r="A43" s="2">
        <v>2021</v>
      </c>
      <c r="B43" s="3">
        <v>6</v>
      </c>
      <c r="C43" s="3">
        <v>21265</v>
      </c>
      <c r="D43" s="3">
        <v>-46.221738910525509</v>
      </c>
      <c r="E43" s="3">
        <v>13.175169737318871</v>
      </c>
      <c r="F43" s="3">
        <v>2064910</v>
      </c>
      <c r="G43" s="3">
        <v>-50.703761335644913</v>
      </c>
      <c r="H43" s="3">
        <v>14.10179734466541</v>
      </c>
    </row>
    <row r="44" spans="1:8" x14ac:dyDescent="0.3">
      <c r="A44" s="2">
        <v>2021</v>
      </c>
      <c r="B44" s="3">
        <v>7</v>
      </c>
      <c r="C44" s="3">
        <v>19211</v>
      </c>
      <c r="D44" s="3">
        <v>-33.500640382152383</v>
      </c>
      <c r="E44" s="3">
        <v>11.416195687412923</v>
      </c>
      <c r="F44" s="3">
        <v>2027283</v>
      </c>
      <c r="G44" s="3">
        <v>-37.389149173386535</v>
      </c>
      <c r="H44" s="3">
        <v>12.079719806344457</v>
      </c>
    </row>
    <row r="45" spans="1:8" x14ac:dyDescent="0.3">
      <c r="A45" s="2">
        <v>2021</v>
      </c>
      <c r="B45" s="3">
        <v>8</v>
      </c>
      <c r="C45" s="3">
        <v>18818</v>
      </c>
      <c r="D45" s="3">
        <v>-23.357634504948479</v>
      </c>
      <c r="E45" s="3">
        <v>9.7326256917208038</v>
      </c>
      <c r="F45" s="3">
        <v>2021980</v>
      </c>
      <c r="G45" s="3">
        <v>-29.699994715278688</v>
      </c>
      <c r="H45" s="3">
        <v>10.131695919710745</v>
      </c>
    </row>
    <row r="46" spans="1:8" x14ac:dyDescent="0.3">
      <c r="A46" s="2">
        <v>2021</v>
      </c>
      <c r="B46" s="3">
        <v>9</v>
      </c>
      <c r="C46" s="3">
        <v>17937</v>
      </c>
      <c r="D46" s="3">
        <v>-20.357872302637425</v>
      </c>
      <c r="E46" s="3">
        <v>8.137723943864632</v>
      </c>
      <c r="F46" s="3">
        <v>1920619</v>
      </c>
      <c r="G46" s="3">
        <v>-26.294656511399349</v>
      </c>
      <c r="H46" s="3">
        <v>8.2745538218364008</v>
      </c>
    </row>
    <row r="47" spans="1:8" x14ac:dyDescent="0.3">
      <c r="A47" s="2">
        <v>2021</v>
      </c>
      <c r="B47" s="3">
        <v>10</v>
      </c>
      <c r="C47" s="3">
        <v>18362</v>
      </c>
      <c r="D47" s="3">
        <v>-16.376719191183163</v>
      </c>
      <c r="E47" s="3">
        <v>6.6424567027306454</v>
      </c>
      <c r="F47" s="3">
        <v>1864466</v>
      </c>
      <c r="G47" s="3">
        <v>-29.725477720930616</v>
      </c>
      <c r="H47" s="3">
        <v>6.5223555601661172</v>
      </c>
    </row>
    <row r="48" spans="1:8" x14ac:dyDescent="0.3">
      <c r="A48" s="2">
        <v>2021</v>
      </c>
      <c r="B48" s="3">
        <v>11</v>
      </c>
      <c r="C48" s="3">
        <v>18977</v>
      </c>
      <c r="D48" s="3">
        <v>-18.675808870794942</v>
      </c>
      <c r="E48" s="3">
        <v>5.2558113663546333</v>
      </c>
      <c r="F48" s="3">
        <v>1849947</v>
      </c>
      <c r="G48" s="3">
        <v>-23.890601742255747</v>
      </c>
      <c r="H48" s="3">
        <v>4.8867625425381158</v>
      </c>
    </row>
    <row r="49" spans="1:8" x14ac:dyDescent="0.3">
      <c r="A49" s="2">
        <v>2021</v>
      </c>
      <c r="B49" s="3">
        <v>12</v>
      </c>
      <c r="C49" s="3">
        <v>19142</v>
      </c>
      <c r="D49" s="3">
        <v>-26.729186602870815</v>
      </c>
      <c r="E49" s="3">
        <v>3.9851767788908643</v>
      </c>
      <c r="F49" s="3">
        <v>1834016</v>
      </c>
      <c r="G49" s="3">
        <v>-25.809884836425169</v>
      </c>
      <c r="H49" s="3">
        <v>3.3769189661460954</v>
      </c>
    </row>
    <row r="50" spans="1:8" x14ac:dyDescent="0.3">
      <c r="A50" s="2">
        <v>2022</v>
      </c>
      <c r="B50" s="3">
        <v>1</v>
      </c>
      <c r="C50" s="3">
        <v>20796</v>
      </c>
      <c r="D50" s="3">
        <v>-26.521093915624338</v>
      </c>
      <c r="E50" s="3">
        <v>2.8362798664215831</v>
      </c>
      <c r="F50" s="3">
        <v>1906578</v>
      </c>
      <c r="G50" s="3">
        <v>-27.49209348174313</v>
      </c>
      <c r="H50" s="3">
        <v>1.9999706001084228</v>
      </c>
    </row>
    <row r="51" spans="1:8" x14ac:dyDescent="0.3">
      <c r="A51" s="2">
        <v>2022</v>
      </c>
      <c r="B51" s="3">
        <v>2</v>
      </c>
      <c r="C51" s="3">
        <v>20498</v>
      </c>
      <c r="D51" s="3">
        <v>-27.953323257530492</v>
      </c>
      <c r="E51" s="3">
        <v>1.8127146131275238</v>
      </c>
      <c r="F51" s="3">
        <v>1881880</v>
      </c>
      <c r="G51" s="3">
        <v>-31.191957794068013</v>
      </c>
      <c r="H51" s="3">
        <v>0.76103635216828569</v>
      </c>
    </row>
    <row r="52" spans="1:8" x14ac:dyDescent="0.3">
      <c r="A52" s="2">
        <v>2022</v>
      </c>
      <c r="B52" s="3">
        <v>3</v>
      </c>
      <c r="C52" s="3">
        <v>19984</v>
      </c>
      <c r="D52" s="3">
        <v>-25.698988697204051</v>
      </c>
      <c r="E52" s="3">
        <v>0.91603629667677833</v>
      </c>
      <c r="F52" s="3">
        <v>1848058</v>
      </c>
      <c r="G52" s="3">
        <v>-28.350460706035975</v>
      </c>
      <c r="H52" s="3">
        <v>-0.33681292993681228</v>
      </c>
    </row>
    <row r="53" spans="1:8" x14ac:dyDescent="0.3">
      <c r="A53" s="2">
        <v>2022</v>
      </c>
      <c r="B53" s="3">
        <v>4</v>
      </c>
      <c r="C53" s="3">
        <v>17998</v>
      </c>
      <c r="D53" s="3">
        <v>-26.896831844029244</v>
      </c>
      <c r="E53" s="3">
        <v>0.14573310877419829</v>
      </c>
      <c r="F53" s="3">
        <v>1638535</v>
      </c>
      <c r="G53" s="3">
        <v>-34.453592254448239</v>
      </c>
      <c r="H53" s="3">
        <v>-1.2927253563961894</v>
      </c>
    </row>
    <row r="54" spans="1:8" x14ac:dyDescent="0.3">
      <c r="A54" s="2">
        <v>2022</v>
      </c>
      <c r="B54" s="3">
        <v>5</v>
      </c>
      <c r="C54" s="3">
        <v>17058</v>
      </c>
      <c r="D54" s="3">
        <v>-26.619633485330809</v>
      </c>
      <c r="E54" s="3">
        <v>-0.50055502449993972</v>
      </c>
      <c r="F54" s="3">
        <v>1591775</v>
      </c>
      <c r="G54" s="3">
        <v>-31.765767464988581</v>
      </c>
      <c r="H54" s="3">
        <v>-2.1077944296058373</v>
      </c>
    </row>
    <row r="55" spans="1:8" x14ac:dyDescent="0.3">
      <c r="A55" s="2">
        <v>2022</v>
      </c>
      <c r="B55" s="3">
        <v>6</v>
      </c>
      <c r="C55" s="3">
        <v>15769</v>
      </c>
      <c r="D55" s="3">
        <v>-25.845285680695984</v>
      </c>
      <c r="E55" s="3">
        <v>-1.0270661329648594</v>
      </c>
      <c r="F55" s="3">
        <v>1544632</v>
      </c>
      <c r="G55" s="3">
        <v>-25.196158670353675</v>
      </c>
      <c r="H55" s="3">
        <v>-2.7854164899407796</v>
      </c>
    </row>
    <row r="56" spans="1:8" x14ac:dyDescent="0.3">
      <c r="A56" s="2">
        <v>2022</v>
      </c>
      <c r="B56" s="3">
        <v>7</v>
      </c>
      <c r="C56" s="3">
        <v>16486</v>
      </c>
      <c r="D56" s="3">
        <v>-14.184581750039039</v>
      </c>
      <c r="E56" s="3">
        <v>-1.4398520713328977</v>
      </c>
      <c r="F56" s="3">
        <v>1643444</v>
      </c>
      <c r="G56" s="3">
        <v>-18.933666389941617</v>
      </c>
      <c r="H56" s="3">
        <v>-3.3310474592368298</v>
      </c>
    </row>
    <row r="57" spans="1:8" x14ac:dyDescent="0.3">
      <c r="A57" s="2">
        <v>2022</v>
      </c>
      <c r="B57" s="3">
        <v>8</v>
      </c>
      <c r="C57" s="3">
        <v>17400</v>
      </c>
      <c r="D57" s="3">
        <v>-7.53533850568604</v>
      </c>
      <c r="E57" s="3">
        <v>-1.7466881817849844</v>
      </c>
      <c r="F57" s="3">
        <v>1763367</v>
      </c>
      <c r="G57" s="3">
        <v>-12.790086944480162</v>
      </c>
      <c r="H57" s="3">
        <v>-3.7516995608701071</v>
      </c>
    </row>
    <row r="58" spans="1:8" x14ac:dyDescent="0.3">
      <c r="A58" s="2">
        <v>2022</v>
      </c>
      <c r="B58" s="3">
        <v>9</v>
      </c>
      <c r="C58" s="3">
        <v>16843</v>
      </c>
      <c r="D58" s="3">
        <v>-6.0991247142777478</v>
      </c>
      <c r="E58" s="3">
        <v>-1.9562348571741814</v>
      </c>
      <c r="F58" s="3">
        <v>1702177</v>
      </c>
      <c r="G58" s="3">
        <v>-11.37352072430815</v>
      </c>
      <c r="H58" s="3">
        <v>-4.0554685334202532</v>
      </c>
    </row>
    <row r="59" spans="1:8" x14ac:dyDescent="0.3">
      <c r="A59" s="2">
        <v>2022</v>
      </c>
      <c r="B59" s="3">
        <v>10</v>
      </c>
      <c r="C59" s="3">
        <v>17944</v>
      </c>
      <c r="D59" s="3">
        <v>-2.2764404748938039</v>
      </c>
      <c r="E59" s="3">
        <v>-2.0775544799593768</v>
      </c>
      <c r="F59" s="3">
        <v>1697784</v>
      </c>
      <c r="G59" s="3">
        <v>-8.9399323988745287</v>
      </c>
      <c r="H59" s="3">
        <v>-4.2510777812574378</v>
      </c>
    </row>
    <row r="60" spans="1:8" x14ac:dyDescent="0.3">
      <c r="A60" s="2">
        <v>2022</v>
      </c>
      <c r="B60" s="3">
        <v>11</v>
      </c>
      <c r="C60" s="3">
        <v>19309</v>
      </c>
      <c r="D60" s="3">
        <v>1.7494862201612449</v>
      </c>
      <c r="E60" s="3">
        <v>-2.11999713328398</v>
      </c>
      <c r="F60" s="3">
        <v>1743387</v>
      </c>
      <c r="G60" s="3">
        <v>-5.7601650209438411</v>
      </c>
      <c r="H60" s="3">
        <v>-4.3477589068206433</v>
      </c>
    </row>
    <row r="61" spans="1:8" x14ac:dyDescent="0.3">
      <c r="A61" s="2">
        <v>2022</v>
      </c>
      <c r="B61" s="3">
        <v>12</v>
      </c>
      <c r="C61" s="3">
        <v>19889.57</v>
      </c>
      <c r="D61" s="3">
        <v>3.9053912861769957</v>
      </c>
      <c r="E61" s="3">
        <v>-2.0929267118188268</v>
      </c>
      <c r="F61" s="3">
        <v>1824346.63</v>
      </c>
      <c r="G61" s="3">
        <v>-0.52722386282344491</v>
      </c>
      <c r="H61" s="3">
        <v>-4.3550691274528521</v>
      </c>
    </row>
    <row r="62" spans="1:8" x14ac:dyDescent="0.3">
      <c r="A62" s="2">
        <v>2023</v>
      </c>
      <c r="B62" s="3">
        <v>1</v>
      </c>
      <c r="C62" s="3">
        <v>22273</v>
      </c>
      <c r="D62" s="3">
        <v>7.1023273706481982</v>
      </c>
      <c r="E62" s="3">
        <v>-2.0054383961129854</v>
      </c>
      <c r="F62" s="3">
        <v>1992502</v>
      </c>
      <c r="G62" s="3">
        <v>4.5067130744191886</v>
      </c>
      <c r="H62" s="3">
        <v>-4.2826637442549726</v>
      </c>
    </row>
    <row r="63" spans="1:8" x14ac:dyDescent="0.3">
      <c r="A63" s="2">
        <v>2023</v>
      </c>
      <c r="B63" s="3">
        <v>2</v>
      </c>
      <c r="C63" s="3">
        <v>22561</v>
      </c>
      <c r="D63" s="3">
        <v>10.064396526490382</v>
      </c>
      <c r="E63" s="3">
        <v>-1.8662108168545519</v>
      </c>
      <c r="F63" s="3">
        <v>1952665</v>
      </c>
      <c r="G63" s="3">
        <v>3.761398176291797</v>
      </c>
      <c r="H63" s="3">
        <v>-4.1399322357400923</v>
      </c>
    </row>
    <row r="64" spans="1:8" x14ac:dyDescent="0.3">
      <c r="A64" s="2">
        <v>2023</v>
      </c>
      <c r="B64" s="3">
        <v>3</v>
      </c>
      <c r="C64" s="3">
        <v>20960</v>
      </c>
      <c r="D64" s="3">
        <v>4.8839071257005706</v>
      </c>
      <c r="E64" s="3">
        <v>-1.6832901209978193</v>
      </c>
      <c r="F64" s="3">
        <v>1904865</v>
      </c>
      <c r="G64" s="3">
        <v>3.0738753870279023</v>
      </c>
      <c r="H64" s="3">
        <v>-3.9356537070311122</v>
      </c>
    </row>
    <row r="65" spans="1:8" x14ac:dyDescent="0.3">
      <c r="A65" s="2">
        <v>2023</v>
      </c>
      <c r="B65" s="3">
        <v>4</v>
      </c>
      <c r="C65" s="3">
        <v>18864.879999999997</v>
      </c>
      <c r="D65" s="3">
        <v>4.8165351705744985</v>
      </c>
      <c r="E65" s="3">
        <v>-1.463893941098237</v>
      </c>
      <c r="F65" s="3">
        <v>1721169</v>
      </c>
      <c r="G65" s="3">
        <v>5.0431635576902556</v>
      </c>
      <c r="H65" s="3">
        <v>-3.6780585597500974</v>
      </c>
    </row>
    <row r="66" spans="1:8" x14ac:dyDescent="0.3">
      <c r="A66" s="2">
        <v>2023</v>
      </c>
      <c r="B66" s="3">
        <v>5</v>
      </c>
      <c r="C66" s="3">
        <v>18397.57</v>
      </c>
      <c r="D66" s="3">
        <v>7.8530308359713974</v>
      </c>
      <c r="E66" s="3">
        <v>-1.2147838543469005</v>
      </c>
      <c r="F66" s="3">
        <v>1734315.91</v>
      </c>
      <c r="G66" s="3">
        <v>8.9548403511802821</v>
      </c>
      <c r="H66" s="3">
        <v>-3.3748904226653593</v>
      </c>
    </row>
    <row r="67" spans="1:8" x14ac:dyDescent="0.3">
      <c r="A67" s="2">
        <v>2023</v>
      </c>
      <c r="B67" s="3">
        <v>6</v>
      </c>
      <c r="C67" s="3">
        <v>17508.400000000001</v>
      </c>
      <c r="D67" s="3">
        <v>11.030502885408078</v>
      </c>
      <c r="E67" s="3">
        <v>-0.94228529702437214</v>
      </c>
      <c r="F67" s="3">
        <v>1692655.81</v>
      </c>
      <c r="G67" s="3">
        <v>9.5831117055712909</v>
      </c>
      <c r="H67" s="3">
        <v>-3.033287284120386</v>
      </c>
    </row>
    <row r="68" spans="1:8" x14ac:dyDescent="0.3">
      <c r="A68" s="2">
        <v>2023</v>
      </c>
      <c r="B68" s="3">
        <v>7</v>
      </c>
      <c r="C68" s="3">
        <v>18096.98</v>
      </c>
      <c r="D68" s="3">
        <v>9.7718063811718991</v>
      </c>
      <c r="E68" s="3">
        <v>-0.65209399605771967</v>
      </c>
      <c r="F68" s="3">
        <v>1780661.47</v>
      </c>
      <c r="G68" s="3">
        <v>8.3493851935326102</v>
      </c>
      <c r="H68" s="3">
        <v>-2.6595309011549264</v>
      </c>
    </row>
    <row r="69" spans="1:8" x14ac:dyDescent="0.3">
      <c r="A69" s="2">
        <v>2023</v>
      </c>
      <c r="B69" s="3">
        <v>8</v>
      </c>
      <c r="C69" s="3">
        <v>19183</v>
      </c>
      <c r="D69" s="3">
        <v>10.247126436781606</v>
      </c>
      <c r="E69" s="3">
        <v>-0.34907423475023086</v>
      </c>
      <c r="F69" s="3">
        <v>1890480.7300000002</v>
      </c>
      <c r="G69" s="3">
        <v>7.208580516704699</v>
      </c>
      <c r="H69" s="3">
        <v>-2.2590268919900014</v>
      </c>
    </row>
    <row r="70" spans="1:8" x14ac:dyDescent="0.3">
      <c r="A70" s="2">
        <v>2023</v>
      </c>
      <c r="B70" s="3">
        <v>9</v>
      </c>
      <c r="C70" s="3">
        <v>18513</v>
      </c>
      <c r="D70" s="3">
        <v>9.9150982604049087</v>
      </c>
      <c r="E70" s="3">
        <v>-3.7366414434552284E-2</v>
      </c>
      <c r="F70" s="3">
        <v>1811456.7300000002</v>
      </c>
      <c r="G70" s="3">
        <v>6.4199980378068844</v>
      </c>
      <c r="H70" s="3">
        <v>-1.8364163667844999</v>
      </c>
    </row>
    <row r="71" spans="1:8" x14ac:dyDescent="0.3">
      <c r="A71" s="2">
        <v>2023</v>
      </c>
      <c r="B71" s="3">
        <v>10</v>
      </c>
      <c r="C71" s="3">
        <v>19365</v>
      </c>
      <c r="D71" s="3">
        <v>7.9190815871600595</v>
      </c>
      <c r="E71" s="3">
        <v>0.27962491082552587</v>
      </c>
      <c r="F71" s="3">
        <v>1822538.57</v>
      </c>
      <c r="G71" s="3">
        <v>7.3480825593832844</v>
      </c>
      <c r="H71" s="3">
        <v>-1.3956829629605965</v>
      </c>
    </row>
    <row r="72" spans="1:8" x14ac:dyDescent="0.3">
      <c r="A72" s="2">
        <v>2023</v>
      </c>
      <c r="B72" s="3">
        <v>11</v>
      </c>
      <c r="C72" s="3">
        <v>21192.37</v>
      </c>
      <c r="D72" s="3">
        <v>9.7538453570873642</v>
      </c>
      <c r="E72" s="3">
        <v>0.59918633034641056</v>
      </c>
      <c r="F72" s="3">
        <v>1904045.7900000003</v>
      </c>
      <c r="G72" s="3">
        <v>9.2153256850028278</v>
      </c>
      <c r="H72" s="3">
        <v>-0.94023695582903544</v>
      </c>
    </row>
    <row r="73" spans="1:8" x14ac:dyDescent="0.3">
      <c r="A73" s="2">
        <v>2023</v>
      </c>
      <c r="B73" s="3">
        <v>12</v>
      </c>
      <c r="C73" s="3">
        <v>21538</v>
      </c>
      <c r="D73" s="3">
        <v>8.2879117044762687</v>
      </c>
      <c r="E73" s="3">
        <v>0.91913495126925415</v>
      </c>
      <c r="F73" s="3">
        <v>1923257</v>
      </c>
      <c r="G73" s="3">
        <v>5.4216873248479125</v>
      </c>
      <c r="H73" s="3">
        <v>-0.47288141476150974</v>
      </c>
    </row>
    <row r="74" spans="1:8" x14ac:dyDescent="0.3">
      <c r="A74" s="2">
        <v>2024</v>
      </c>
      <c r="B74" s="3">
        <v>1</v>
      </c>
      <c r="C74" s="3">
        <v>23015</v>
      </c>
      <c r="D74" s="3">
        <v>3.3313877789251656</v>
      </c>
      <c r="E74" s="3">
        <v>1.2379236209453994</v>
      </c>
      <c r="F74" s="3">
        <v>2080842</v>
      </c>
      <c r="G74" s="3">
        <v>4.4336216475566959</v>
      </c>
      <c r="H74" s="3">
        <v>4.2858382759010149E-3</v>
      </c>
    </row>
    <row r="75" spans="1:8" x14ac:dyDescent="0.3">
      <c r="A75" s="2">
        <v>2024</v>
      </c>
      <c r="B75" s="3">
        <v>2</v>
      </c>
      <c r="C75" s="3">
        <v>23682</v>
      </c>
      <c r="D75" s="3">
        <v>4.9687513851336407</v>
      </c>
      <c r="E75" s="3">
        <v>1.5545169073340506</v>
      </c>
      <c r="F75" s="3">
        <v>2027106</v>
      </c>
      <c r="G75" s="3">
        <v>3.8122770674949402</v>
      </c>
      <c r="H75" s="3">
        <v>0.48957632636847898</v>
      </c>
    </row>
    <row r="76" spans="1:8" x14ac:dyDescent="0.3">
      <c r="A76" s="2">
        <v>2024</v>
      </c>
      <c r="B76" s="3">
        <v>3</v>
      </c>
      <c r="C76" s="3">
        <v>21831</v>
      </c>
      <c r="D76" s="3">
        <v>4.1555343511450404</v>
      </c>
      <c r="E76" s="3">
        <v>1.8680247578498268</v>
      </c>
      <c r="F76" s="3">
        <v>1943321</v>
      </c>
      <c r="G76" s="3">
        <v>2.0188307307867026</v>
      </c>
      <c r="H76" s="3">
        <v>0.9816091653660397</v>
      </c>
    </row>
    <row r="77" spans="1:8" x14ac:dyDescent="0.3">
      <c r="A77" s="2">
        <v>2024</v>
      </c>
      <c r="B77" s="3">
        <v>4</v>
      </c>
      <c r="C77" s="3">
        <v>20588</v>
      </c>
      <c r="D77" s="3">
        <v>9.134009863831638</v>
      </c>
      <c r="E77" s="3">
        <v>2.1777942195238613</v>
      </c>
      <c r="F77" s="3">
        <v>1839736.81</v>
      </c>
      <c r="G77" s="3">
        <v>6.888795347813037</v>
      </c>
      <c r="H77" s="3">
        <v>1.4792342142254216</v>
      </c>
    </row>
    <row r="78" spans="1:8" x14ac:dyDescent="0.3">
      <c r="A78" s="2">
        <v>2024</v>
      </c>
      <c r="B78" s="3">
        <v>5</v>
      </c>
      <c r="C78" s="3">
        <v>19491</v>
      </c>
      <c r="D78" s="3">
        <v>5.9433392562169951</v>
      </c>
      <c r="E78" s="3">
        <v>2.4833311942201548</v>
      </c>
      <c r="F78" s="3">
        <v>1738731.17</v>
      </c>
      <c r="G78" s="3">
        <v>0.25458222314296286</v>
      </c>
      <c r="H78" s="3">
        <v>1.9813733611788393</v>
      </c>
    </row>
    <row r="79" spans="1:8" x14ac:dyDescent="0.3">
      <c r="A79" s="2">
        <v>2024</v>
      </c>
      <c r="B79" s="3">
        <v>6</v>
      </c>
      <c r="C79" s="3">
        <v>18647</v>
      </c>
      <c r="D79" s="3">
        <v>6.5031641954718777</v>
      </c>
      <c r="E79" s="3">
        <v>2.7846246543335629</v>
      </c>
      <c r="F79" s="3">
        <v>1746991</v>
      </c>
      <c r="G79" s="3">
        <v>3.2100554453536434</v>
      </c>
      <c r="H79" s="3">
        <v>2.4873241584261181</v>
      </c>
    </row>
    <row r="80" spans="1:8" x14ac:dyDescent="0.3">
      <c r="A80" s="2">
        <v>2024</v>
      </c>
      <c r="B80" s="3">
        <v>7</v>
      </c>
      <c r="C80" s="3">
        <v>19231</v>
      </c>
      <c r="D80" s="3">
        <v>6.2663494129959751</v>
      </c>
      <c r="E80" s="3">
        <v>3.0819038505965799</v>
      </c>
      <c r="F80" s="3">
        <v>1880712.9</v>
      </c>
      <c r="G80" s="3">
        <v>5.6187788462677357</v>
      </c>
      <c r="H80" s="3">
        <v>2.996264242115831</v>
      </c>
    </row>
    <row r="81" spans="1:8" x14ac:dyDescent="0.3">
      <c r="A81" s="2">
        <v>2024</v>
      </c>
      <c r="B81" s="3">
        <v>8</v>
      </c>
      <c r="C81" s="3">
        <v>19837</v>
      </c>
      <c r="D81" s="3">
        <v>3.4092686232601865</v>
      </c>
      <c r="E81" s="3">
        <v>3.3756562656542797</v>
      </c>
      <c r="F81" s="3">
        <v>1999347</v>
      </c>
      <c r="G81" s="3">
        <v>5.7586553659290551</v>
      </c>
      <c r="H81" s="3">
        <v>3.5074214380692545</v>
      </c>
    </row>
    <row r="82" spans="1:8" x14ac:dyDescent="0.3">
      <c r="A82" s="2">
        <v>2024</v>
      </c>
      <c r="B82" s="3">
        <v>9</v>
      </c>
      <c r="C82" s="3">
        <v>18903</v>
      </c>
      <c r="D82" s="3">
        <v>2.1066277750769746</v>
      </c>
      <c r="E82" s="3">
        <v>3.6665905242046808</v>
      </c>
      <c r="F82" s="3">
        <v>1904702</v>
      </c>
      <c r="G82" s="3">
        <v>5.1475295244838515</v>
      </c>
      <c r="H82" s="3">
        <v>4.0202056911773987</v>
      </c>
    </row>
    <row r="83" spans="1:8" x14ac:dyDescent="0.3">
      <c r="A83" s="2">
        <v>2024</v>
      </c>
      <c r="B83" s="3">
        <v>10</v>
      </c>
      <c r="C83" s="3">
        <v>19998</v>
      </c>
      <c r="D83" s="3">
        <v>3.2687838884585485</v>
      </c>
      <c r="E83" s="3">
        <v>3.9554175851373028</v>
      </c>
      <c r="F83" s="3">
        <v>1922128</v>
      </c>
      <c r="G83" s="3">
        <v>5.4643249607606359</v>
      </c>
      <c r="H83" s="3">
        <v>4.5341832820207069</v>
      </c>
    </row>
    <row r="84" spans="1:8" x14ac:dyDescent="0.3">
      <c r="A84" s="2">
        <v>2024</v>
      </c>
      <c r="B84" s="3">
        <v>11</v>
      </c>
      <c r="C84" s="3">
        <v>21591.5</v>
      </c>
      <c r="D84" s="3">
        <v>1.883366513514062</v>
      </c>
      <c r="E84" s="3">
        <v>4.2427400765951981</v>
      </c>
      <c r="F84" s="3">
        <v>1993352.14</v>
      </c>
      <c r="G84" s="3">
        <v>4.6903467589400671</v>
      </c>
      <c r="H84" s="3">
        <v>5.0489987775569363</v>
      </c>
    </row>
    <row r="85" spans="1:8" x14ac:dyDescent="0.3">
      <c r="A85" s="2">
        <v>2024</v>
      </c>
      <c r="B85" s="3">
        <v>12</v>
      </c>
      <c r="C85" s="3">
        <v>21941</v>
      </c>
      <c r="D85" s="3">
        <v>1.8711115238183584</v>
      </c>
      <c r="E85" s="3">
        <v>4.5291129438258162</v>
      </c>
      <c r="F85" s="3">
        <v>2083774</v>
      </c>
      <c r="G85" s="3">
        <v>8.3461024709646114</v>
      </c>
      <c r="H85" s="3">
        <v>5.5643613379159786</v>
      </c>
    </row>
    <row r="86" spans="1:8" x14ac:dyDescent="0.3">
      <c r="A86" s="2">
        <v>2025</v>
      </c>
      <c r="B86" s="3">
        <v>1</v>
      </c>
      <c r="C86" s="3">
        <v>24159</v>
      </c>
      <c r="D86" s="3">
        <v>4.9706713013252246</v>
      </c>
      <c r="E86" s="3">
        <v>4.8149272866902812</v>
      </c>
      <c r="F86" s="3">
        <v>2215267</v>
      </c>
      <c r="G86" s="3">
        <v>6.4601252762102934</v>
      </c>
      <c r="H86" s="3">
        <v>6.0799552168375444</v>
      </c>
    </row>
    <row r="87" spans="1:8" x14ac:dyDescent="0.3">
      <c r="A87" s="2">
        <v>2025</v>
      </c>
      <c r="B87" s="3">
        <v>2</v>
      </c>
      <c r="C87" s="3">
        <v>24608</v>
      </c>
      <c r="D87" s="3">
        <v>3.9101427244320641</v>
      </c>
      <c r="E87" s="3">
        <v>5.1003896216177722</v>
      </c>
      <c r="F87" s="3">
        <v>2185207</v>
      </c>
      <c r="G87" s="3">
        <v>7.799345470833785</v>
      </c>
      <c r="H87" s="3">
        <v>6.5956578445289162</v>
      </c>
    </row>
    <row r="88" spans="1:8" x14ac:dyDescent="0.3">
      <c r="A88" s="2">
        <v>2025</v>
      </c>
      <c r="B88" s="3">
        <v>3</v>
      </c>
      <c r="C88" s="3">
        <v>22583.38</v>
      </c>
      <c r="D88" s="3">
        <v>3.4463835829783296</v>
      </c>
      <c r="E88" s="3">
        <v>5.3857172805940401</v>
      </c>
      <c r="F88" s="3">
        <v>2085038.0800000001</v>
      </c>
      <c r="G88" s="3">
        <v>7.2925203813472006</v>
      </c>
      <c r="H88" s="3">
        <v>7.1113730518959448</v>
      </c>
    </row>
    <row r="89" spans="1:8" x14ac:dyDescent="0.3">
      <c r="A89" s="2">
        <v>2025</v>
      </c>
      <c r="B89" s="3">
        <v>4</v>
      </c>
      <c r="C89" s="3">
        <v>21042</v>
      </c>
      <c r="D89" s="3">
        <v>2.2051680590635225</v>
      </c>
      <c r="E89" s="3">
        <v>4.4682389530620403</v>
      </c>
      <c r="F89" s="3">
        <v>1944530.8</v>
      </c>
      <c r="G89" s="3">
        <v>5.6961403082433248</v>
      </c>
      <c r="H89" s="3">
        <v>6.9256036780529113</v>
      </c>
    </row>
    <row r="90" spans="1:8" x14ac:dyDescent="0.3">
      <c r="A90" s="2">
        <v>2025</v>
      </c>
      <c r="B90" s="3">
        <v>5</v>
      </c>
      <c r="C90" s="3">
        <v>20048</v>
      </c>
      <c r="D90" s="3">
        <v>2.8577292083525663</v>
      </c>
      <c r="E90" s="3">
        <v>4.6699687711344042</v>
      </c>
      <c r="F90" s="3">
        <v>1872859.06</v>
      </c>
      <c r="G90" s="3">
        <v>7.7141246625261894</v>
      </c>
      <c r="H90" s="3">
        <v>7.3912455117057743</v>
      </c>
    </row>
    <row r="91" spans="1:8" x14ac:dyDescent="0.3">
      <c r="A91" s="2">
        <v>2025</v>
      </c>
      <c r="B91" s="3">
        <v>6</v>
      </c>
      <c r="C91" s="3">
        <v>19145</v>
      </c>
      <c r="D91" s="3">
        <v>2.6706708853971195</v>
      </c>
      <c r="E91" s="3">
        <v>4.8713900974538218</v>
      </c>
      <c r="F91" s="3">
        <v>1851616.82</v>
      </c>
      <c r="G91" s="3">
        <v>5.9889352128655871</v>
      </c>
      <c r="H91" s="3">
        <v>7.8565184497525102</v>
      </c>
    </row>
    <row r="92" spans="1:8" x14ac:dyDescent="0.3">
      <c r="A92" s="2">
        <v>2025</v>
      </c>
      <c r="B92" s="3">
        <v>7</v>
      </c>
      <c r="C92" s="3">
        <v>19991</v>
      </c>
      <c r="D92" s="3">
        <v>3.9519525765690844</v>
      </c>
      <c r="E92" s="3">
        <v>5.0727335917582961</v>
      </c>
      <c r="F92" s="3">
        <v>2004828.95</v>
      </c>
      <c r="G92" s="3">
        <v>6.5994150409666386</v>
      </c>
      <c r="H92" s="3">
        <v>8.3216717866363528</v>
      </c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9"/>
  <sheetViews>
    <sheetView topLeftCell="A91" workbookViewId="0">
      <selection activeCell="E94" sqref="E94"/>
    </sheetView>
  </sheetViews>
  <sheetFormatPr baseColWidth="10" defaultRowHeight="15" x14ac:dyDescent="0.25"/>
  <cols>
    <col min="1" max="1" width="4.42578125" bestFit="1" customWidth="1"/>
    <col min="2" max="2" width="4.140625" bestFit="1" customWidth="1"/>
    <col min="3" max="3" width="14" customWidth="1"/>
    <col min="4" max="4" width="15" customWidth="1"/>
    <col min="5" max="5" width="13.42578125" customWidth="1"/>
    <col min="6" max="6" width="13.7109375" customWidth="1"/>
    <col min="7" max="7" width="14" customWidth="1"/>
    <col min="8" max="8" width="14.7109375" customWidth="1"/>
  </cols>
  <sheetData>
    <row r="1" spans="1:8" ht="31.5" customHeight="1" x14ac:dyDescent="0.3">
      <c r="A1" s="1" t="s">
        <v>0</v>
      </c>
      <c r="B1" s="1" t="s">
        <v>1</v>
      </c>
      <c r="C1" s="1" t="s">
        <v>206</v>
      </c>
      <c r="D1" s="1" t="s">
        <v>207</v>
      </c>
      <c r="E1" s="1" t="s">
        <v>208</v>
      </c>
      <c r="F1" s="1" t="s">
        <v>209</v>
      </c>
      <c r="G1" s="1" t="s">
        <v>210</v>
      </c>
      <c r="H1" s="1" t="s">
        <v>211</v>
      </c>
    </row>
    <row r="2" spans="1:8" ht="15.75" x14ac:dyDescent="0.3">
      <c r="A2" s="2">
        <v>2018</v>
      </c>
      <c r="B2" s="2">
        <v>1</v>
      </c>
      <c r="C2" s="3">
        <v>139314</v>
      </c>
      <c r="D2" s="3">
        <v>0.83891281531613959</v>
      </c>
      <c r="E2" s="3">
        <v>0.8830300487119922</v>
      </c>
      <c r="F2" s="3">
        <v>9572422</v>
      </c>
      <c r="G2" s="3">
        <v>1.1314346423071608</v>
      </c>
      <c r="H2" s="3">
        <v>1.1235744787750204</v>
      </c>
    </row>
    <row r="3" spans="1:8" ht="15.75" x14ac:dyDescent="0.3">
      <c r="A3" s="2">
        <v>2018</v>
      </c>
      <c r="B3" s="2">
        <v>2</v>
      </c>
      <c r="C3" s="3">
        <v>139274</v>
      </c>
      <c r="D3" s="3">
        <v>0.89613654310076729</v>
      </c>
      <c r="E3" s="3">
        <v>0.88256058215108135</v>
      </c>
      <c r="F3" s="3">
        <v>9573282</v>
      </c>
      <c r="G3" s="3">
        <v>1.2002013584719862</v>
      </c>
      <c r="H3" s="3">
        <v>1.1199133653004856</v>
      </c>
    </row>
    <row r="4" spans="1:8" ht="15.75" x14ac:dyDescent="0.3">
      <c r="A4" s="2">
        <v>2018</v>
      </c>
      <c r="B4" s="2">
        <v>3</v>
      </c>
      <c r="C4" s="3">
        <v>139343</v>
      </c>
      <c r="D4" s="3">
        <v>0.7993460553538112</v>
      </c>
      <c r="E4" s="3">
        <v>0.88165250412836993</v>
      </c>
      <c r="F4" s="3">
        <v>9583617</v>
      </c>
      <c r="G4" s="3">
        <v>1.1510935182609039</v>
      </c>
      <c r="H4" s="3">
        <v>1.1157314728852519</v>
      </c>
    </row>
    <row r="5" spans="1:8" ht="15.75" x14ac:dyDescent="0.3">
      <c r="A5" s="2">
        <v>2018</v>
      </c>
      <c r="B5" s="2">
        <v>4</v>
      </c>
      <c r="C5" s="3">
        <v>139447</v>
      </c>
      <c r="D5" s="3">
        <v>0.70847717129114418</v>
      </c>
      <c r="E5" s="3">
        <v>0.88031377223116603</v>
      </c>
      <c r="F5" s="3">
        <v>9592024</v>
      </c>
      <c r="G5" s="3">
        <v>1.0668574765948957</v>
      </c>
      <c r="H5" s="3">
        <v>1.1109811473429114</v>
      </c>
    </row>
    <row r="6" spans="1:8" ht="15.75" x14ac:dyDescent="0.3">
      <c r="A6" s="2">
        <v>2018</v>
      </c>
      <c r="B6" s="2">
        <v>5</v>
      </c>
      <c r="C6" s="3">
        <v>139484</v>
      </c>
      <c r="D6" s="3">
        <v>0.75266176449342304</v>
      </c>
      <c r="E6" s="3">
        <v>0.87854662832116859</v>
      </c>
      <c r="F6" s="3">
        <v>9592963</v>
      </c>
      <c r="G6" s="3">
        <v>1.1312127991093934</v>
      </c>
      <c r="H6" s="3">
        <v>1.1056171901846523</v>
      </c>
    </row>
    <row r="7" spans="1:8" ht="15.75" x14ac:dyDescent="0.3">
      <c r="A7" s="2">
        <v>2018</v>
      </c>
      <c r="B7" s="2">
        <v>6</v>
      </c>
      <c r="C7" s="3">
        <v>139675</v>
      </c>
      <c r="D7" s="3">
        <v>0.7494445887071155</v>
      </c>
      <c r="E7" s="3">
        <v>0.87634138116278926</v>
      </c>
      <c r="F7" s="3">
        <v>9613641</v>
      </c>
      <c r="G7" s="3">
        <v>1.1327203498014082</v>
      </c>
      <c r="H7" s="3">
        <v>1.0995913387778609</v>
      </c>
    </row>
    <row r="8" spans="1:8" ht="15.75" x14ac:dyDescent="0.3">
      <c r="A8" s="2">
        <v>2018</v>
      </c>
      <c r="B8" s="2">
        <v>7</v>
      </c>
      <c r="C8" s="3">
        <v>139832</v>
      </c>
      <c r="D8" s="3">
        <v>0.74787094542991817</v>
      </c>
      <c r="E8" s="3">
        <v>0.87367959751600721</v>
      </c>
      <c r="F8" s="3">
        <v>9629489</v>
      </c>
      <c r="G8" s="3">
        <v>1.1289445663202224</v>
      </c>
      <c r="H8" s="3">
        <v>1.0928571079627656</v>
      </c>
    </row>
    <row r="9" spans="1:8" ht="15.75" x14ac:dyDescent="0.3">
      <c r="A9" s="2">
        <v>2018</v>
      </c>
      <c r="B9" s="2">
        <v>8</v>
      </c>
      <c r="C9" s="3">
        <v>139839</v>
      </c>
      <c r="D9" s="3">
        <v>0.72170963071802596</v>
      </c>
      <c r="E9" s="3">
        <v>0.87053403186354783</v>
      </c>
      <c r="F9" s="3">
        <v>9638029</v>
      </c>
      <c r="G9" s="3">
        <v>1.1070973548897634</v>
      </c>
      <c r="H9" s="3">
        <v>1.0853703132053603</v>
      </c>
    </row>
    <row r="10" spans="1:8" ht="15.75" x14ac:dyDescent="0.3">
      <c r="A10" s="2">
        <v>2018</v>
      </c>
      <c r="B10" s="2">
        <v>9</v>
      </c>
      <c r="C10" s="3">
        <v>140035</v>
      </c>
      <c r="D10" s="3">
        <v>0.76562736110410423</v>
      </c>
      <c r="E10" s="3">
        <v>0.86686870197618582</v>
      </c>
      <c r="F10" s="3">
        <v>9646404</v>
      </c>
      <c r="G10" s="3">
        <v>1.119119329819851</v>
      </c>
      <c r="H10" s="3">
        <v>1.0770892760451358</v>
      </c>
    </row>
    <row r="11" spans="1:8" ht="15.75" x14ac:dyDescent="0.3">
      <c r="A11" s="2">
        <v>2018</v>
      </c>
      <c r="B11" s="2">
        <v>10</v>
      </c>
      <c r="C11" s="3">
        <v>140142</v>
      </c>
      <c r="D11" s="3">
        <v>0.78025557864760398</v>
      </c>
      <c r="E11" s="3">
        <v>0.86263729059683869</v>
      </c>
      <c r="F11" s="3">
        <v>9656942</v>
      </c>
      <c r="G11" s="3">
        <v>1.0954427529615396</v>
      </c>
      <c r="H11" s="3">
        <v>1.0679738268439223</v>
      </c>
    </row>
    <row r="12" spans="1:8" ht="15.75" x14ac:dyDescent="0.3">
      <c r="A12" s="2">
        <v>2018</v>
      </c>
      <c r="B12" s="2">
        <v>11</v>
      </c>
      <c r="C12" s="3">
        <v>140421</v>
      </c>
      <c r="D12" s="3">
        <v>0.83731284334493949</v>
      </c>
      <c r="E12" s="3">
        <v>0.85778644981975238</v>
      </c>
      <c r="F12" s="3">
        <v>9675138</v>
      </c>
      <c r="G12" s="3">
        <v>1.126232272197214</v>
      </c>
      <c r="H12" s="3">
        <v>1.0579867147172843</v>
      </c>
    </row>
    <row r="13" spans="1:8" ht="15.75" x14ac:dyDescent="0.3">
      <c r="A13" s="2">
        <v>2018</v>
      </c>
      <c r="B13" s="2">
        <v>12</v>
      </c>
      <c r="C13" s="3">
        <v>140786</v>
      </c>
      <c r="D13" s="3">
        <v>0.9558776075093478</v>
      </c>
      <c r="E13" s="3">
        <v>0.85225711078695399</v>
      </c>
      <c r="F13" s="3">
        <v>9696272</v>
      </c>
      <c r="G13" s="3">
        <v>1.1949984188724949</v>
      </c>
      <c r="H13" s="3">
        <v>1.0470925963451001</v>
      </c>
    </row>
    <row r="14" spans="1:8" ht="15.75" x14ac:dyDescent="0.3">
      <c r="A14" s="2">
        <v>2019</v>
      </c>
      <c r="B14" s="2">
        <v>1</v>
      </c>
      <c r="C14" s="3">
        <v>140820</v>
      </c>
      <c r="D14" s="3">
        <v>1.081011240794183</v>
      </c>
      <c r="E14" s="3">
        <v>0.8459887828622431</v>
      </c>
      <c r="F14" s="3">
        <v>9695870</v>
      </c>
      <c r="G14" s="3">
        <v>1.2896213727309647</v>
      </c>
      <c r="H14" s="3">
        <v>1.0352608676820725</v>
      </c>
    </row>
    <row r="15" spans="1:8" ht="15.75" x14ac:dyDescent="0.3">
      <c r="A15" s="2">
        <v>2019</v>
      </c>
      <c r="B15" s="2">
        <v>2</v>
      </c>
      <c r="C15" s="3">
        <v>140968</v>
      </c>
      <c r="D15" s="3">
        <v>1.2163074227781179</v>
      </c>
      <c r="E15" s="3">
        <v>0.83892817127724717</v>
      </c>
      <c r="F15" s="3">
        <v>9707140</v>
      </c>
      <c r="G15" s="3">
        <v>1.3982456591167036</v>
      </c>
      <c r="H15" s="3">
        <v>1.0224711959205799</v>
      </c>
    </row>
    <row r="16" spans="1:8" ht="15.75" x14ac:dyDescent="0.3">
      <c r="A16" s="2">
        <v>2019</v>
      </c>
      <c r="B16" s="2">
        <v>3</v>
      </c>
      <c r="C16" s="3">
        <v>140943</v>
      </c>
      <c r="D16" s="3">
        <v>1.1482456958727738</v>
      </c>
      <c r="E16" s="3">
        <v>0.83103830226761655</v>
      </c>
      <c r="F16" s="3">
        <v>9705436</v>
      </c>
      <c r="G16" s="3">
        <v>1.2711171575408242</v>
      </c>
      <c r="H16" s="3">
        <v>1.0087209121769622</v>
      </c>
    </row>
    <row r="17" spans="1:8" ht="15.75" x14ac:dyDescent="0.3">
      <c r="A17" s="2">
        <v>2019</v>
      </c>
      <c r="B17" s="2">
        <v>4</v>
      </c>
      <c r="C17" s="3">
        <v>141062</v>
      </c>
      <c r="D17" s="3">
        <v>1.1581461056888953</v>
      </c>
      <c r="E17" s="3">
        <v>0.82230840896146695</v>
      </c>
      <c r="F17" s="3">
        <v>9715288</v>
      </c>
      <c r="G17" s="3">
        <v>1.2850676770616909</v>
      </c>
      <c r="H17" s="3">
        <v>0.99403344301639252</v>
      </c>
    </row>
    <row r="18" spans="1:8" ht="15.75" x14ac:dyDescent="0.3">
      <c r="A18" s="2">
        <v>2019</v>
      </c>
      <c r="B18" s="2">
        <v>5</v>
      </c>
      <c r="C18" s="3">
        <v>140967</v>
      </c>
      <c r="D18" s="3">
        <v>1.0632043818645798</v>
      </c>
      <c r="E18" s="3">
        <v>0.81274975277813655</v>
      </c>
      <c r="F18" s="3">
        <v>9707946</v>
      </c>
      <c r="G18" s="3">
        <v>1.1986181954418029</v>
      </c>
      <c r="H18" s="3">
        <v>0.97845043696552736</v>
      </c>
    </row>
    <row r="19" spans="1:8" ht="15.75" x14ac:dyDescent="0.3">
      <c r="A19" s="2">
        <v>2019</v>
      </c>
      <c r="B19" s="2">
        <v>6</v>
      </c>
      <c r="C19" s="3">
        <v>141211</v>
      </c>
      <c r="D19" s="3">
        <v>1.0996957222122683</v>
      </c>
      <c r="E19" s="3">
        <v>0.80239691719923611</v>
      </c>
      <c r="F19" s="3">
        <v>9733234</v>
      </c>
      <c r="G19" s="3">
        <v>1.2439927806748852</v>
      </c>
      <c r="H19" s="3">
        <v>0.96203375326172069</v>
      </c>
    </row>
    <row r="20" spans="1:8" ht="15.75" x14ac:dyDescent="0.3">
      <c r="A20" s="2">
        <v>2019</v>
      </c>
      <c r="B20" s="2">
        <v>7</v>
      </c>
      <c r="C20" s="3">
        <v>141320</v>
      </c>
      <c r="D20" s="3">
        <v>1.0641341037816776</v>
      </c>
      <c r="E20" s="3">
        <v>0.79130187838895172</v>
      </c>
      <c r="F20" s="3">
        <v>9745121</v>
      </c>
      <c r="G20" s="3">
        <v>1.2008113826185385</v>
      </c>
      <c r="H20" s="3">
        <v>0.94486054056999824</v>
      </c>
    </row>
    <row r="21" spans="1:8" ht="15.75" x14ac:dyDescent="0.3">
      <c r="A21" s="2">
        <v>2019</v>
      </c>
      <c r="B21" s="2">
        <v>8</v>
      </c>
      <c r="C21" s="3">
        <v>141421</v>
      </c>
      <c r="D21" s="3">
        <v>1.1313009961455567</v>
      </c>
      <c r="E21" s="3">
        <v>0.77953725826181752</v>
      </c>
      <c r="F21" s="3">
        <v>9756142</v>
      </c>
      <c r="G21" s="3">
        <v>1.2254891534358325</v>
      </c>
      <c r="H21" s="3">
        <v>0.92702752804340049</v>
      </c>
    </row>
    <row r="22" spans="1:8" ht="15.75" x14ac:dyDescent="0.3">
      <c r="A22" s="2">
        <v>2019</v>
      </c>
      <c r="B22" s="2">
        <v>9</v>
      </c>
      <c r="C22" s="3">
        <v>141505</v>
      </c>
      <c r="D22" s="3">
        <v>1.0497375656085994</v>
      </c>
      <c r="E22" s="3">
        <v>0.76719462541468642</v>
      </c>
      <c r="F22" s="3">
        <v>9760299</v>
      </c>
      <c r="G22" s="3">
        <v>1.1806990459864553</v>
      </c>
      <c r="H22" s="3">
        <v>0.90864921919899888</v>
      </c>
    </row>
    <row r="23" spans="1:8" ht="15.75" x14ac:dyDescent="0.3">
      <c r="A23" s="2">
        <v>2019</v>
      </c>
      <c r="B23" s="2">
        <v>10</v>
      </c>
      <c r="C23" s="3">
        <v>141566</v>
      </c>
      <c r="D23" s="3">
        <v>1.0161122290248459</v>
      </c>
      <c r="E23" s="3">
        <v>0.75438997648176453</v>
      </c>
      <c r="F23" s="3">
        <v>9768801</v>
      </c>
      <c r="G23" s="3">
        <v>1.1583273462758781</v>
      </c>
      <c r="H23" s="3">
        <v>0.88986084405562837</v>
      </c>
    </row>
    <row r="24" spans="1:8" ht="15.75" x14ac:dyDescent="0.3">
      <c r="A24" s="2">
        <v>2019</v>
      </c>
      <c r="B24" s="2">
        <v>11</v>
      </c>
      <c r="C24" s="3">
        <v>141784</v>
      </c>
      <c r="D24" s="3">
        <v>0.97065253772583571</v>
      </c>
      <c r="E24" s="3">
        <v>0.74125892913477154</v>
      </c>
      <c r="F24" s="3">
        <v>9784262</v>
      </c>
      <c r="G24" s="3">
        <v>1.1278805532282776</v>
      </c>
      <c r="H24" s="3">
        <v>0.87081652498120643</v>
      </c>
    </row>
    <row r="25" spans="1:8" ht="15.75" x14ac:dyDescent="0.3">
      <c r="A25" s="2">
        <v>2019</v>
      </c>
      <c r="B25" s="2">
        <v>12</v>
      </c>
      <c r="C25" s="3">
        <v>141936</v>
      </c>
      <c r="D25" s="3">
        <v>0.81684258377963115</v>
      </c>
      <c r="E25" s="3">
        <v>0.72795527620185374</v>
      </c>
      <c r="F25" s="3">
        <v>9801379</v>
      </c>
      <c r="G25" s="3">
        <v>1.0839939308633362</v>
      </c>
      <c r="H25" s="3">
        <v>0.85168902785074929</v>
      </c>
    </row>
    <row r="26" spans="1:8" ht="15.75" x14ac:dyDescent="0.3">
      <c r="A26" s="2">
        <v>2020</v>
      </c>
      <c r="B26" s="2">
        <v>1</v>
      </c>
      <c r="C26" s="3">
        <v>141940</v>
      </c>
      <c r="D26" s="3">
        <v>0.79534157079961254</v>
      </c>
      <c r="E26" s="3">
        <v>0.7146487406228651</v>
      </c>
      <c r="F26" s="3">
        <v>9801016</v>
      </c>
      <c r="G26" s="3">
        <v>1.0844411073993365</v>
      </c>
      <c r="H26" s="3">
        <v>0.83266897020790132</v>
      </c>
    </row>
    <row r="27" spans="1:8" ht="15.75" x14ac:dyDescent="0.3">
      <c r="A27" s="2">
        <v>2020</v>
      </c>
      <c r="B27" s="2">
        <v>2</v>
      </c>
      <c r="C27" s="3">
        <v>142043</v>
      </c>
      <c r="D27" s="3">
        <v>0.76258441632144347</v>
      </c>
      <c r="E27" s="3">
        <v>0.70151521806735229</v>
      </c>
      <c r="F27" s="3">
        <v>9805148</v>
      </c>
      <c r="G27" s="3">
        <v>1.0096485679613076</v>
      </c>
      <c r="H27" s="3">
        <v>0.8139631018812381</v>
      </c>
    </row>
    <row r="28" spans="1:8" ht="15.75" x14ac:dyDescent="0.3">
      <c r="A28" s="2">
        <v>2020</v>
      </c>
      <c r="B28" s="2">
        <v>3</v>
      </c>
      <c r="C28" s="3">
        <v>141862</v>
      </c>
      <c r="D28" s="3">
        <v>0.65203663892494657</v>
      </c>
      <c r="E28" s="3">
        <v>0.68873620787362433</v>
      </c>
      <c r="F28" s="3">
        <v>9799395</v>
      </c>
      <c r="G28" s="3">
        <v>0.96810694542728282</v>
      </c>
      <c r="H28" s="3">
        <v>0.79579565687552922</v>
      </c>
    </row>
    <row r="29" spans="1:8" ht="15.75" x14ac:dyDescent="0.3">
      <c r="A29" s="2">
        <v>2020</v>
      </c>
      <c r="B29" s="2">
        <v>4</v>
      </c>
      <c r="C29" s="3">
        <v>141829</v>
      </c>
      <c r="D29" s="3">
        <v>0.54373254313706543</v>
      </c>
      <c r="E29" s="3">
        <v>0.67649745029653563</v>
      </c>
      <c r="F29" s="3">
        <v>9792645</v>
      </c>
      <c r="G29" s="3">
        <v>0.79623990560033775</v>
      </c>
      <c r="H29" s="3">
        <v>0.77840445846402195</v>
      </c>
    </row>
    <row r="30" spans="1:8" ht="15.75" x14ac:dyDescent="0.3">
      <c r="A30" s="2">
        <v>2020</v>
      </c>
      <c r="B30" s="2">
        <v>5</v>
      </c>
      <c r="C30" s="3">
        <v>141368</v>
      </c>
      <c r="D30" s="3">
        <v>0.28446373974051475</v>
      </c>
      <c r="E30" s="3">
        <v>0.66498213700976372</v>
      </c>
      <c r="F30" s="3">
        <v>9754137</v>
      </c>
      <c r="G30" s="3">
        <v>0.47580610769775156</v>
      </c>
      <c r="H30" s="3">
        <v>0.76203929598166864</v>
      </c>
    </row>
    <row r="31" spans="1:8" ht="15.75" x14ac:dyDescent="0.3">
      <c r="A31" s="2">
        <v>2020</v>
      </c>
      <c r="B31" s="2">
        <v>6</v>
      </c>
      <c r="C31" s="3">
        <v>141356</v>
      </c>
      <c r="D31" s="3">
        <v>0.10268321872941577</v>
      </c>
      <c r="E31" s="3">
        <v>0.65436423990176662</v>
      </c>
      <c r="F31" s="3">
        <v>9754740</v>
      </c>
      <c r="G31" s="3">
        <v>0.22095430973918528</v>
      </c>
      <c r="H31" s="3">
        <v>0.74695119733613946</v>
      </c>
    </row>
    <row r="32" spans="1:8" ht="15.75" x14ac:dyDescent="0.3">
      <c r="A32" s="2">
        <v>2020</v>
      </c>
      <c r="B32" s="2">
        <v>7</v>
      </c>
      <c r="C32" s="3">
        <v>141427</v>
      </c>
      <c r="D32" s="3">
        <v>7.5714690065109558E-2</v>
      </c>
      <c r="E32" s="3">
        <v>0.64479130597230327</v>
      </c>
      <c r="F32" s="3">
        <v>9767050</v>
      </c>
      <c r="G32" s="3">
        <v>0.2250254255437234</v>
      </c>
      <c r="H32" s="3">
        <v>0.73337131313036263</v>
      </c>
    </row>
    <row r="33" spans="1:8" ht="15.75" x14ac:dyDescent="0.3">
      <c r="A33" s="2">
        <v>2020</v>
      </c>
      <c r="B33" s="2">
        <v>8</v>
      </c>
      <c r="C33" s="3">
        <v>141594</v>
      </c>
      <c r="D33" s="3">
        <v>0.12232978129131933</v>
      </c>
      <c r="E33" s="3">
        <v>0.63637257103910683</v>
      </c>
      <c r="F33" s="3">
        <v>9777556</v>
      </c>
      <c r="G33" s="3">
        <v>0.21949250021167099</v>
      </c>
      <c r="H33" s="3">
        <v>0.72149426640562797</v>
      </c>
    </row>
    <row r="34" spans="1:8" ht="15.75" x14ac:dyDescent="0.3">
      <c r="A34" s="2">
        <v>2020</v>
      </c>
      <c r="B34" s="2">
        <v>9</v>
      </c>
      <c r="C34" s="3">
        <v>141611</v>
      </c>
      <c r="D34" s="3">
        <v>7.490901381577153E-2</v>
      </c>
      <c r="E34" s="3">
        <v>0.62917775171047252</v>
      </c>
      <c r="F34" s="3">
        <v>9765352</v>
      </c>
      <c r="G34" s="3">
        <v>5.1770954967667038E-2</v>
      </c>
      <c r="H34" s="3">
        <v>0.71147937840547615</v>
      </c>
    </row>
    <row r="35" spans="1:8" ht="15.75" x14ac:dyDescent="0.3">
      <c r="A35" s="2">
        <v>2020</v>
      </c>
      <c r="B35" s="2">
        <v>10</v>
      </c>
      <c r="C35" s="3">
        <v>141635</v>
      </c>
      <c r="D35" s="3">
        <v>4.8740516790757304E-2</v>
      </c>
      <c r="E35" s="3">
        <v>0.62324086717874094</v>
      </c>
      <c r="F35" s="3">
        <v>9773471</v>
      </c>
      <c r="G35" s="3">
        <v>4.7805252660992892E-2</v>
      </c>
      <c r="H35" s="3">
        <v>0.70345110913968445</v>
      </c>
    </row>
    <row r="36" spans="1:8" ht="15.75" x14ac:dyDescent="0.3">
      <c r="A36" s="2">
        <v>2020</v>
      </c>
      <c r="B36" s="2">
        <v>11</v>
      </c>
      <c r="C36" s="3">
        <v>142008</v>
      </c>
      <c r="D36" s="3">
        <v>0.15798679681768846</v>
      </c>
      <c r="E36" s="3">
        <v>0.61855744575167648</v>
      </c>
      <c r="F36" s="3">
        <v>9788587</v>
      </c>
      <c r="G36" s="3">
        <v>4.420364049939618E-2</v>
      </c>
      <c r="H36" s="3">
        <v>0.69748810553306928</v>
      </c>
    </row>
    <row r="37" spans="1:8" ht="15.75" x14ac:dyDescent="0.3">
      <c r="A37" s="2">
        <v>2020</v>
      </c>
      <c r="B37" s="2">
        <v>12</v>
      </c>
      <c r="C37" s="3">
        <v>142336</v>
      </c>
      <c r="D37" s="3">
        <v>0.28181715702852994</v>
      </c>
      <c r="E37" s="3">
        <v>0.61508311987937792</v>
      </c>
      <c r="F37" s="3">
        <v>9809019</v>
      </c>
      <c r="G37" s="3">
        <v>7.7948215246048669E-2</v>
      </c>
      <c r="H37" s="3">
        <v>0.69362348354819148</v>
      </c>
    </row>
    <row r="38" spans="1:8" ht="15.75" x14ac:dyDescent="0.3">
      <c r="A38" s="2">
        <v>2021</v>
      </c>
      <c r="B38" s="2">
        <v>1</v>
      </c>
      <c r="C38" s="3">
        <v>142321</v>
      </c>
      <c r="D38" s="3">
        <v>0.26842327744116545</v>
      </c>
      <c r="E38" s="3">
        <v>0.61274153793910113</v>
      </c>
      <c r="F38" s="3">
        <v>9811124</v>
      </c>
      <c r="G38" s="3">
        <v>0.10313216507349399</v>
      </c>
      <c r="H38" s="3">
        <v>0.69184499217087336</v>
      </c>
    </row>
    <row r="39" spans="1:8" ht="15.75" x14ac:dyDescent="0.3">
      <c r="A39" s="2">
        <v>2021</v>
      </c>
      <c r="B39" s="2">
        <v>2</v>
      </c>
      <c r="C39" s="3">
        <v>142365</v>
      </c>
      <c r="D39" s="3">
        <v>0.22669191723632132</v>
      </c>
      <c r="E39" s="3">
        <v>0.61143320483845975</v>
      </c>
      <c r="F39" s="3">
        <v>9807250</v>
      </c>
      <c r="G39" s="3">
        <v>2.1437718227201863E-2</v>
      </c>
      <c r="H39" s="3">
        <v>0.69209762515997186</v>
      </c>
    </row>
    <row r="40" spans="1:8" ht="15.75" x14ac:dyDescent="0.3">
      <c r="A40" s="2">
        <v>2021</v>
      </c>
      <c r="B40" s="2">
        <v>3</v>
      </c>
      <c r="C40" s="3">
        <v>142461</v>
      </c>
      <c r="D40" s="3">
        <v>0.42224133312656065</v>
      </c>
      <c r="E40" s="3">
        <v>0.61103471449475477</v>
      </c>
      <c r="F40" s="3">
        <v>9815728</v>
      </c>
      <c r="G40" s="3">
        <v>0.16667355484700774</v>
      </c>
      <c r="H40" s="3">
        <v>0.6942854934391286</v>
      </c>
    </row>
    <row r="41" spans="1:8" ht="15.75" x14ac:dyDescent="0.3">
      <c r="A41" s="2">
        <v>2021</v>
      </c>
      <c r="B41" s="2">
        <v>4</v>
      </c>
      <c r="C41" s="3">
        <v>142592</v>
      </c>
      <c r="D41" s="3">
        <v>0.53797178292169789</v>
      </c>
      <c r="E41" s="3">
        <v>0.61139594268031483</v>
      </c>
      <c r="F41" s="3">
        <v>9825545</v>
      </c>
      <c r="G41" s="3">
        <v>0.33596643194968578</v>
      </c>
      <c r="H41" s="3">
        <v>0.69826613432733708</v>
      </c>
    </row>
    <row r="42" spans="1:8" ht="15.75" x14ac:dyDescent="0.3">
      <c r="A42" s="2">
        <v>2021</v>
      </c>
      <c r="B42" s="2">
        <v>5</v>
      </c>
      <c r="C42" s="3">
        <v>142717</v>
      </c>
      <c r="D42" s="3">
        <v>0.95424707147302446</v>
      </c>
      <c r="E42" s="3">
        <v>0.61235365451598489</v>
      </c>
      <c r="F42" s="3">
        <v>9836115</v>
      </c>
      <c r="G42" s="3">
        <v>0.84044339340323404</v>
      </c>
      <c r="H42" s="3">
        <v>0.7038604454256332</v>
      </c>
    </row>
    <row r="43" spans="1:8" ht="15.75" x14ac:dyDescent="0.3">
      <c r="A43" s="2">
        <v>2021</v>
      </c>
      <c r="B43" s="2">
        <v>6</v>
      </c>
      <c r="C43" s="3">
        <v>142931</v>
      </c>
      <c r="D43" s="3">
        <v>1.1142080987011527</v>
      </c>
      <c r="E43" s="3">
        <v>0.61373951622262668</v>
      </c>
      <c r="F43" s="3">
        <v>9854685</v>
      </c>
      <c r="G43" s="3">
        <v>1.0245788201428185</v>
      </c>
      <c r="H43" s="3">
        <v>0.710864164633499</v>
      </c>
    </row>
    <row r="44" spans="1:8" ht="15.75" x14ac:dyDescent="0.3">
      <c r="A44" s="2">
        <v>2021</v>
      </c>
      <c r="B44" s="2">
        <v>7</v>
      </c>
      <c r="C44" s="3">
        <v>143101</v>
      </c>
      <c r="D44" s="3">
        <v>1.1836495152976356</v>
      </c>
      <c r="E44" s="3">
        <v>0.61540893661950169</v>
      </c>
      <c r="F44" s="3">
        <v>9868153</v>
      </c>
      <c r="G44" s="3">
        <v>1.0351436718354146</v>
      </c>
      <c r="H44" s="3">
        <v>0.71908251477735929</v>
      </c>
    </row>
    <row r="45" spans="1:8" ht="15.75" x14ac:dyDescent="0.3">
      <c r="A45" s="2">
        <v>2021</v>
      </c>
      <c r="B45" s="2">
        <v>8</v>
      </c>
      <c r="C45" s="3">
        <v>143030</v>
      </c>
      <c r="D45" s="3">
        <v>1.014167266974586</v>
      </c>
      <c r="E45" s="3">
        <v>0.61725207928854364</v>
      </c>
      <c r="F45" s="3">
        <v>9862327</v>
      </c>
      <c r="G45" s="3">
        <v>0.86699580140476851</v>
      </c>
      <c r="H45" s="3">
        <v>0.72834250442360493</v>
      </c>
    </row>
    <row r="46" spans="1:8" ht="15.75" x14ac:dyDescent="0.3">
      <c r="A46" s="2">
        <v>2021</v>
      </c>
      <c r="B46" s="2">
        <v>9</v>
      </c>
      <c r="C46" s="3">
        <v>143252</v>
      </c>
      <c r="D46" s="3">
        <v>1.1588082846671455</v>
      </c>
      <c r="E46" s="3">
        <v>0.61919856896298331</v>
      </c>
      <c r="F46" s="3">
        <v>9871644</v>
      </c>
      <c r="G46" s="3">
        <v>1.088460508131206</v>
      </c>
      <c r="H46" s="3">
        <v>0.73849309083008918</v>
      </c>
    </row>
    <row r="47" spans="1:8" ht="15.75" x14ac:dyDescent="0.3">
      <c r="A47" s="2">
        <v>2021</v>
      </c>
      <c r="B47" s="2">
        <v>10</v>
      </c>
      <c r="C47" s="3">
        <v>143270</v>
      </c>
      <c r="D47" s="3">
        <v>1.1543756839764274</v>
      </c>
      <c r="E47" s="3">
        <v>0.62120559393075181</v>
      </c>
      <c r="F47" s="3">
        <v>9881206</v>
      </c>
      <c r="G47" s="3">
        <v>1.1023207619892617</v>
      </c>
      <c r="H47" s="3">
        <v>0.74939285995584437</v>
      </c>
    </row>
    <row r="48" spans="1:8" ht="15.75" x14ac:dyDescent="0.3">
      <c r="A48" s="2">
        <v>2021</v>
      </c>
      <c r="B48" s="2">
        <v>11</v>
      </c>
      <c r="C48" s="3">
        <v>143487</v>
      </c>
      <c r="D48" s="3">
        <v>1.0414906202467433</v>
      </c>
      <c r="E48" s="3">
        <v>0.62326781537670406</v>
      </c>
      <c r="F48" s="3">
        <v>9899198</v>
      </c>
      <c r="G48" s="3">
        <v>1.1299996618510999</v>
      </c>
      <c r="H48" s="3">
        <v>0.76092470105277088</v>
      </c>
    </row>
    <row r="49" spans="1:8" ht="15.75" x14ac:dyDescent="0.3">
      <c r="A49" s="2">
        <v>2021</v>
      </c>
      <c r="B49" s="2">
        <v>12</v>
      </c>
      <c r="C49" s="3">
        <v>143720</v>
      </c>
      <c r="D49" s="3">
        <v>0.97234712230216402</v>
      </c>
      <c r="E49" s="3">
        <v>0.62541692018639272</v>
      </c>
      <c r="F49" s="3">
        <v>9916966</v>
      </c>
      <c r="G49" s="3">
        <v>1.1004872148784761</v>
      </c>
      <c r="H49" s="3">
        <v>0.77299601225485493</v>
      </c>
    </row>
    <row r="50" spans="1:8" ht="15.75" x14ac:dyDescent="0.3">
      <c r="A50" s="2">
        <v>2022</v>
      </c>
      <c r="B50" s="2">
        <v>1</v>
      </c>
      <c r="C50" s="3">
        <v>143731</v>
      </c>
      <c r="D50" s="3">
        <v>0.99071816527427359</v>
      </c>
      <c r="E50" s="3">
        <v>0.6277136384957086</v>
      </c>
      <c r="F50" s="3">
        <v>9922051</v>
      </c>
      <c r="G50" s="3">
        <v>1.1306247887601817</v>
      </c>
      <c r="H50" s="3">
        <v>0.78553982190169358</v>
      </c>
    </row>
    <row r="51" spans="1:8" ht="15.75" x14ac:dyDescent="0.3">
      <c r="A51" s="2">
        <v>2022</v>
      </c>
      <c r="B51" s="2">
        <v>2</v>
      </c>
      <c r="C51" s="3">
        <v>143509</v>
      </c>
      <c r="D51" s="3">
        <v>0.8035682927685972</v>
      </c>
      <c r="E51" s="3">
        <v>0.6302427928156894</v>
      </c>
      <c r="F51" s="3">
        <v>9912271</v>
      </c>
      <c r="G51" s="3">
        <v>1.0708506462056233</v>
      </c>
      <c r="H51" s="3">
        <v>0.79851190077751044</v>
      </c>
    </row>
    <row r="52" spans="1:8" ht="15.75" x14ac:dyDescent="0.3">
      <c r="A52" s="2">
        <v>2022</v>
      </c>
      <c r="B52" s="2">
        <v>3</v>
      </c>
      <c r="C52" s="3">
        <v>143616</v>
      </c>
      <c r="D52" s="3">
        <v>0.8107482047718273</v>
      </c>
      <c r="E52" s="3">
        <v>0.63311441430506576</v>
      </c>
      <c r="F52" s="3">
        <v>9923175</v>
      </c>
      <c r="G52" s="3">
        <v>1.094641171801003</v>
      </c>
      <c r="H52" s="3">
        <v>0.8118919839003389</v>
      </c>
    </row>
    <row r="53" spans="1:8" ht="15.75" x14ac:dyDescent="0.3">
      <c r="A53" s="2">
        <v>2022</v>
      </c>
      <c r="B53" s="2">
        <v>4</v>
      </c>
      <c r="C53" s="3">
        <v>143593</v>
      </c>
      <c r="D53" s="3">
        <v>0.70200291741471244</v>
      </c>
      <c r="E53" s="3">
        <v>0.63645057061562071</v>
      </c>
      <c r="F53" s="3">
        <v>9929502</v>
      </c>
      <c r="G53" s="3">
        <v>1.0580278244107566</v>
      </c>
      <c r="H53" s="3">
        <v>0.82567871870108933</v>
      </c>
    </row>
    <row r="54" spans="1:8" ht="15.75" x14ac:dyDescent="0.3">
      <c r="A54" s="2">
        <v>2022</v>
      </c>
      <c r="B54" s="2">
        <v>5</v>
      </c>
      <c r="C54" s="3">
        <v>143395</v>
      </c>
      <c r="D54" s="3">
        <v>0.47506603978502149</v>
      </c>
      <c r="E54" s="3">
        <v>0.64038566507903083</v>
      </c>
      <c r="F54" s="3">
        <v>9918996</v>
      </c>
      <c r="G54" s="3">
        <v>0.84261926583819591</v>
      </c>
      <c r="H54" s="3">
        <v>0.83989038797094306</v>
      </c>
    </row>
    <row r="55" spans="1:8" ht="15.75" x14ac:dyDescent="0.3">
      <c r="A55" s="2">
        <v>2022</v>
      </c>
      <c r="B55" s="2">
        <v>6</v>
      </c>
      <c r="C55" s="3">
        <v>143618</v>
      </c>
      <c r="D55" s="3">
        <v>0.48065150317286864</v>
      </c>
      <c r="E55" s="3">
        <v>0.64505865327327827</v>
      </c>
      <c r="F55" s="3">
        <v>9936182</v>
      </c>
      <c r="G55" s="3">
        <v>0.82698736692243813</v>
      </c>
      <c r="H55" s="3">
        <v>0.85456140985564466</v>
      </c>
    </row>
    <row r="56" spans="1:8" ht="15.75" x14ac:dyDescent="0.3">
      <c r="A56" s="2">
        <v>2022</v>
      </c>
      <c r="B56" s="2">
        <v>7</v>
      </c>
      <c r="C56" s="3">
        <v>143739</v>
      </c>
      <c r="D56" s="3">
        <v>0.44583895290739584</v>
      </c>
      <c r="E56" s="3">
        <v>0.65059701024681083</v>
      </c>
      <c r="F56" s="3">
        <v>9946399</v>
      </c>
      <c r="G56" s="3">
        <v>0.79291433766783825</v>
      </c>
      <c r="H56" s="3">
        <v>0.86972639200634594</v>
      </c>
    </row>
    <row r="57" spans="1:8" ht="15.75" x14ac:dyDescent="0.3">
      <c r="A57" s="2">
        <v>2022</v>
      </c>
      <c r="B57" s="2">
        <v>8</v>
      </c>
      <c r="C57" s="3">
        <v>143610</v>
      </c>
      <c r="D57" s="3">
        <v>0.40550933370622211</v>
      </c>
      <c r="E57" s="3">
        <v>0.65711679388487465</v>
      </c>
      <c r="F57" s="3">
        <v>9948815</v>
      </c>
      <c r="G57" s="3">
        <v>0.87695327887626906</v>
      </c>
      <c r="H57" s="3">
        <v>0.88541802721010598</v>
      </c>
    </row>
    <row r="58" spans="1:8" ht="15.75" x14ac:dyDescent="0.3">
      <c r="A58" s="2">
        <v>2022</v>
      </c>
      <c r="B58" s="2">
        <v>9</v>
      </c>
      <c r="C58" s="3">
        <v>143528</v>
      </c>
      <c r="D58" s="3">
        <v>0.19266746712087723</v>
      </c>
      <c r="E58" s="3">
        <v>0.66471984276317853</v>
      </c>
      <c r="F58" s="3">
        <v>9949869</v>
      </c>
      <c r="G58" s="3">
        <v>0.79242120157494433</v>
      </c>
      <c r="H58" s="3">
        <v>0.90166367408354386</v>
      </c>
    </row>
    <row r="59" spans="1:8" ht="15.75" x14ac:dyDescent="0.3">
      <c r="A59" s="2">
        <v>2022</v>
      </c>
      <c r="B59" s="2">
        <v>10</v>
      </c>
      <c r="C59" s="3">
        <v>143635</v>
      </c>
      <c r="D59" s="3">
        <v>0.2547637328121688</v>
      </c>
      <c r="E59" s="3">
        <v>0.67349052271714105</v>
      </c>
      <c r="F59" s="3">
        <v>9959123</v>
      </c>
      <c r="G59" s="3">
        <v>0.7885373506027582</v>
      </c>
      <c r="H59" s="3">
        <v>0.91849010341353321</v>
      </c>
    </row>
    <row r="60" spans="1:8" ht="15.75" x14ac:dyDescent="0.3">
      <c r="A60" s="2">
        <v>2022</v>
      </c>
      <c r="B60" s="2">
        <v>11</v>
      </c>
      <c r="C60" s="3">
        <v>143909</v>
      </c>
      <c r="D60" s="3">
        <v>0.29410329855665829</v>
      </c>
      <c r="E60" s="3">
        <v>0.68348041816720562</v>
      </c>
      <c r="F60" s="3">
        <v>9975234</v>
      </c>
      <c r="G60" s="3">
        <v>0.76810262811188856</v>
      </c>
      <c r="H60" s="3">
        <v>0.93591649970413449</v>
      </c>
    </row>
    <row r="61" spans="1:8" ht="15.75" x14ac:dyDescent="0.3">
      <c r="A61" s="2">
        <v>2022</v>
      </c>
      <c r="B61" s="2">
        <v>12</v>
      </c>
      <c r="C61" s="3">
        <v>144089</v>
      </c>
      <c r="D61" s="3">
        <v>0.25674923462288834</v>
      </c>
      <c r="E61" s="3">
        <v>0.69471203528451664</v>
      </c>
      <c r="F61" s="3">
        <v>9994836</v>
      </c>
      <c r="G61" s="3">
        <v>0.78521999571239398</v>
      </c>
      <c r="H61" s="3">
        <v>0.95395302296268514</v>
      </c>
    </row>
    <row r="62" spans="1:8" ht="15.75" x14ac:dyDescent="0.3">
      <c r="A62" s="2">
        <v>2023</v>
      </c>
      <c r="B62" s="2">
        <v>1</v>
      </c>
      <c r="C62" s="3">
        <v>144277</v>
      </c>
      <c r="D62" s="3">
        <v>0.37987629669313794</v>
      </c>
      <c r="E62" s="3">
        <v>0.70718084016246774</v>
      </c>
      <c r="F62" s="3">
        <v>10009149</v>
      </c>
      <c r="G62" s="3">
        <v>0.87782253890853479</v>
      </c>
      <c r="H62" s="3">
        <v>0.9725981794554398</v>
      </c>
    </row>
    <row r="63" spans="1:8" ht="15.75" x14ac:dyDescent="0.3">
      <c r="A63" s="2">
        <v>2023</v>
      </c>
      <c r="B63" s="2">
        <v>2</v>
      </c>
      <c r="C63" s="3">
        <v>144397</v>
      </c>
      <c r="D63" s="3">
        <v>0.61877652272679384</v>
      </c>
      <c r="E63" s="3">
        <v>0.72085188481107332</v>
      </c>
      <c r="F63" s="3">
        <v>10007629</v>
      </c>
      <c r="G63" s="3">
        <v>0.96201970264937486</v>
      </c>
      <c r="H63" s="3">
        <v>0.99183875787731623</v>
      </c>
    </row>
    <row r="64" spans="1:8" ht="15.75" x14ac:dyDescent="0.3">
      <c r="A64" s="2">
        <v>2023</v>
      </c>
      <c r="B64" s="2">
        <v>3</v>
      </c>
      <c r="C64" s="3">
        <v>144513</v>
      </c>
      <c r="D64" s="3">
        <v>0.62458221925134616</v>
      </c>
      <c r="E64" s="3">
        <v>0.73566749175816226</v>
      </c>
      <c r="F64" s="3">
        <v>10019006</v>
      </c>
      <c r="G64" s="3">
        <v>0.96572921469186834</v>
      </c>
      <c r="H64" s="3">
        <v>1.0116549652815274</v>
      </c>
    </row>
    <row r="65" spans="1:8" ht="15.75" x14ac:dyDescent="0.3">
      <c r="A65" s="2">
        <v>2023</v>
      </c>
      <c r="B65" s="2">
        <v>4</v>
      </c>
      <c r="C65" s="3">
        <v>144593</v>
      </c>
      <c r="D65" s="3">
        <v>0.696412777781652</v>
      </c>
      <c r="E65" s="3">
        <v>0.75156289496475204</v>
      </c>
      <c r="F65" s="3">
        <v>10026535</v>
      </c>
      <c r="G65" s="3">
        <v>0.97721919991555772</v>
      </c>
      <c r="H65" s="3">
        <v>1.0320249379535622</v>
      </c>
    </row>
    <row r="66" spans="1:8" ht="15.75" x14ac:dyDescent="0.3">
      <c r="A66" s="2">
        <v>2023</v>
      </c>
      <c r="B66" s="2">
        <v>5</v>
      </c>
      <c r="C66" s="3">
        <v>144557</v>
      </c>
      <c r="D66" s="3">
        <v>0.81034903587990925</v>
      </c>
      <c r="E66" s="3">
        <v>0.7684656141368249</v>
      </c>
      <c r="F66" s="3">
        <v>10019689</v>
      </c>
      <c r="G66" s="3">
        <v>1.0151531465482977</v>
      </c>
      <c r="H66" s="3">
        <v>1.052923622890674</v>
      </c>
    </row>
    <row r="67" spans="1:8" ht="15.75" x14ac:dyDescent="0.3">
      <c r="A67" s="2">
        <v>2023</v>
      </c>
      <c r="B67" s="2">
        <v>6</v>
      </c>
      <c r="C67" s="3">
        <v>144801</v>
      </c>
      <c r="D67" s="3">
        <v>0.82371290506761952</v>
      </c>
      <c r="E67" s="3">
        <v>0.78629933911111427</v>
      </c>
      <c r="F67" s="3">
        <v>10040732</v>
      </c>
      <c r="G67" s="3">
        <v>1.0522150258519769</v>
      </c>
      <c r="H67" s="3">
        <v>1.0743221611360856</v>
      </c>
    </row>
    <row r="68" spans="1:8" ht="15.75" x14ac:dyDescent="0.3">
      <c r="A68" s="2">
        <v>2023</v>
      </c>
      <c r="B68" s="2">
        <v>7</v>
      </c>
      <c r="C68" s="3">
        <v>144953</v>
      </c>
      <c r="D68" s="3">
        <v>0.84458636834818801</v>
      </c>
      <c r="E68" s="3">
        <v>0.80499066829530785</v>
      </c>
      <c r="F68" s="3">
        <v>10055940</v>
      </c>
      <c r="G68" s="3">
        <v>1.1013131486078631</v>
      </c>
      <c r="H68" s="3">
        <v>1.096189070783274</v>
      </c>
    </row>
    <row r="69" spans="1:8" ht="15.75" x14ac:dyDescent="0.3">
      <c r="A69" s="2">
        <v>2023</v>
      </c>
      <c r="B69" s="2">
        <v>8</v>
      </c>
      <c r="C69" s="3">
        <v>145077</v>
      </c>
      <c r="D69" s="3">
        <v>1.0215166074785786</v>
      </c>
      <c r="E69" s="3">
        <v>0.82446879826139596</v>
      </c>
      <c r="F69" s="3">
        <v>10069148</v>
      </c>
      <c r="G69" s="3">
        <v>1.2095209328950141</v>
      </c>
      <c r="H69" s="3">
        <v>1.1184913347079879</v>
      </c>
    </row>
    <row r="70" spans="1:8" ht="15.75" x14ac:dyDescent="0.3">
      <c r="A70" s="2">
        <v>2023</v>
      </c>
      <c r="B70" s="2">
        <v>9</v>
      </c>
      <c r="C70" s="3">
        <v>145145</v>
      </c>
      <c r="D70" s="3">
        <v>1.1266094420600892</v>
      </c>
      <c r="E70" s="3">
        <v>0.84466567528276149</v>
      </c>
      <c r="F70" s="3">
        <v>10073434</v>
      </c>
      <c r="G70" s="3">
        <v>1.2418756468050018</v>
      </c>
      <c r="H70" s="3">
        <v>1.141196291624714</v>
      </c>
    </row>
    <row r="71" spans="1:8" ht="15.75" x14ac:dyDescent="0.3">
      <c r="A71" s="2">
        <v>2023</v>
      </c>
      <c r="B71" s="2">
        <v>10</v>
      </c>
      <c r="C71" s="3">
        <v>145250</v>
      </c>
      <c r="D71" s="3">
        <v>1.1243777630800311</v>
      </c>
      <c r="E71" s="3">
        <v>0.86552692950842736</v>
      </c>
      <c r="F71" s="3">
        <v>10085672</v>
      </c>
      <c r="G71" s="3">
        <v>1.2706841757050391</v>
      </c>
      <c r="H71" s="3">
        <v>1.1642776017478131</v>
      </c>
    </row>
    <row r="72" spans="1:8" ht="15.75" x14ac:dyDescent="0.3">
      <c r="A72" s="2">
        <v>2023</v>
      </c>
      <c r="B72" s="2">
        <v>11</v>
      </c>
      <c r="C72" s="3">
        <v>145464</v>
      </c>
      <c r="D72" s="3">
        <v>1.080543954860369</v>
      </c>
      <c r="E72" s="3">
        <v>0.88701777051566488</v>
      </c>
      <c r="F72" s="3">
        <v>10101961</v>
      </c>
      <c r="G72" s="3">
        <v>1.2704163130408785</v>
      </c>
      <c r="H72" s="3">
        <v>1.1877159169135334</v>
      </c>
    </row>
    <row r="73" spans="1:8" ht="15.75" x14ac:dyDescent="0.3">
      <c r="A73" s="2">
        <v>2023</v>
      </c>
      <c r="B73" s="2">
        <v>12</v>
      </c>
      <c r="C73" s="3">
        <v>145534</v>
      </c>
      <c r="D73" s="3">
        <v>1.0028524037227093</v>
      </c>
      <c r="E73" s="3">
        <v>0.9091213836340768</v>
      </c>
      <c r="F73" s="3">
        <v>10111991</v>
      </c>
      <c r="G73" s="3">
        <v>1.172155300997435</v>
      </c>
      <c r="H73" s="3">
        <v>1.2114992783035368</v>
      </c>
    </row>
    <row r="74" spans="1:8" ht="15.75" x14ac:dyDescent="0.3">
      <c r="A74" s="2">
        <v>2024</v>
      </c>
      <c r="B74" s="2">
        <v>1</v>
      </c>
      <c r="C74" s="3">
        <v>145682</v>
      </c>
      <c r="D74" s="3">
        <v>0.97382119118085697</v>
      </c>
      <c r="E74" s="3">
        <v>0.93183439351162312</v>
      </c>
      <c r="F74" s="3">
        <v>10132479</v>
      </c>
      <c r="G74" s="3">
        <v>1.2321726852102977</v>
      </c>
      <c r="H74" s="3">
        <v>1.2356214701825496</v>
      </c>
    </row>
    <row r="75" spans="1:8" ht="15.75" x14ac:dyDescent="0.3">
      <c r="A75" s="2">
        <v>2024</v>
      </c>
      <c r="B75" s="2">
        <v>2</v>
      </c>
      <c r="C75" s="3">
        <v>145573</v>
      </c>
      <c r="D75" s="3">
        <v>0.81442135224416567</v>
      </c>
      <c r="E75" s="3">
        <v>0.95515993389488096</v>
      </c>
      <c r="F75" s="3">
        <v>10128762</v>
      </c>
      <c r="G75" s="3">
        <v>1.2104065808195008</v>
      </c>
      <c r="H75" s="3">
        <v>1.260073544594652</v>
      </c>
    </row>
    <row r="76" spans="1:8" ht="15.75" x14ac:dyDescent="0.3">
      <c r="A76" s="2">
        <v>2024</v>
      </c>
      <c r="B76" s="2">
        <v>3</v>
      </c>
      <c r="C76" s="3">
        <v>145638</v>
      </c>
      <c r="D76" s="3">
        <v>0.77847667683876853</v>
      </c>
      <c r="E76" s="3">
        <v>0.97910405428026581</v>
      </c>
      <c r="F76" s="3">
        <v>10142082</v>
      </c>
      <c r="G76" s="3">
        <v>1.2284252549604302</v>
      </c>
      <c r="H76" s="3">
        <v>1.2848463140849677</v>
      </c>
    </row>
    <row r="77" spans="1:8" ht="15.75" x14ac:dyDescent="0.3">
      <c r="A77" s="2">
        <v>2024</v>
      </c>
      <c r="B77" s="2">
        <v>4</v>
      </c>
      <c r="C77" s="3">
        <v>145761</v>
      </c>
      <c r="D77" s="3">
        <v>0.80778460921344664</v>
      </c>
      <c r="E77" s="3">
        <v>1.0036630306515786</v>
      </c>
      <c r="F77" s="3">
        <v>10149834</v>
      </c>
      <c r="G77" s="3">
        <v>1.229726919618801</v>
      </c>
      <c r="H77" s="3">
        <v>1.309927142103914</v>
      </c>
    </row>
    <row r="78" spans="1:8" ht="15.75" x14ac:dyDescent="0.3">
      <c r="A78" s="2">
        <v>2024</v>
      </c>
      <c r="B78" s="2">
        <v>5</v>
      </c>
      <c r="C78" s="3">
        <v>145929</v>
      </c>
      <c r="D78" s="3">
        <v>0.94910658079512267</v>
      </c>
      <c r="E78" s="3">
        <v>1.0288192065358535</v>
      </c>
      <c r="F78" s="3">
        <v>10150528</v>
      </c>
      <c r="G78" s="3">
        <v>1.3058189730240199</v>
      </c>
      <c r="H78" s="3">
        <v>1.3352994739728026</v>
      </c>
    </row>
    <row r="79" spans="1:8" ht="15.75" x14ac:dyDescent="0.3">
      <c r="A79" s="2">
        <v>2024</v>
      </c>
      <c r="B79" s="2">
        <v>6</v>
      </c>
      <c r="C79" s="3">
        <v>146110</v>
      </c>
      <c r="D79" s="3">
        <v>0.90399928177291589</v>
      </c>
      <c r="E79" s="3">
        <v>1.0545413227919695</v>
      </c>
      <c r="F79" s="3">
        <v>10163619</v>
      </c>
      <c r="G79" s="3">
        <v>1.2238848721388029</v>
      </c>
      <c r="H79" s="3">
        <v>1.3609411855530502</v>
      </c>
    </row>
    <row r="80" spans="1:8" ht="15.75" x14ac:dyDescent="0.3">
      <c r="A80" s="2">
        <v>2024</v>
      </c>
      <c r="B80" s="2">
        <v>7</v>
      </c>
      <c r="C80" s="3">
        <v>146342</v>
      </c>
      <c r="D80" s="3">
        <v>0.95824163694437914</v>
      </c>
      <c r="E80" s="3">
        <v>1.0807925846797961</v>
      </c>
      <c r="F80" s="3">
        <v>10188792</v>
      </c>
      <c r="G80" s="3">
        <v>1.3211296010119389</v>
      </c>
      <c r="H80" s="3">
        <v>1.3868281054490639</v>
      </c>
    </row>
    <row r="81" spans="1:8" ht="15.75" x14ac:dyDescent="0.3">
      <c r="A81" s="2">
        <v>2024</v>
      </c>
      <c r="B81" s="2">
        <v>8</v>
      </c>
      <c r="C81" s="3">
        <v>146523</v>
      </c>
      <c r="D81" s="3">
        <v>0.99671209082072831</v>
      </c>
      <c r="E81" s="3">
        <v>1.1075257431507985</v>
      </c>
      <c r="F81" s="3">
        <v>10208300</v>
      </c>
      <c r="G81" s="3">
        <v>1.3819639953648544</v>
      </c>
      <c r="H81" s="3">
        <v>1.4129265444657078</v>
      </c>
    </row>
    <row r="82" spans="1:8" ht="15.75" x14ac:dyDescent="0.3">
      <c r="A82" s="2">
        <v>2024</v>
      </c>
      <c r="B82" s="2">
        <v>9</v>
      </c>
      <c r="C82" s="3">
        <v>146800</v>
      </c>
      <c r="D82" s="3">
        <v>1.1402390712735633</v>
      </c>
      <c r="E82" s="3">
        <v>1.1346850386739606</v>
      </c>
      <c r="F82" s="3">
        <v>10218434</v>
      </c>
      <c r="G82" s="3">
        <v>1.4394296919997718</v>
      </c>
      <c r="H82" s="3">
        <v>1.439198251011705</v>
      </c>
    </row>
    <row r="83" spans="1:8" ht="15.75" x14ac:dyDescent="0.3">
      <c r="A83" s="2">
        <v>2024</v>
      </c>
      <c r="B83" s="2">
        <v>10</v>
      </c>
      <c r="C83" s="3">
        <v>146877</v>
      </c>
      <c r="D83" s="3">
        <v>1.120137693631662</v>
      </c>
      <c r="E83" s="3">
        <v>1.1622070163257436</v>
      </c>
      <c r="F83" s="3">
        <v>10238434</v>
      </c>
      <c r="G83" s="3">
        <v>1.514643744115407</v>
      </c>
      <c r="H83" s="3">
        <v>1.4656028233187577</v>
      </c>
    </row>
    <row r="84" spans="1:8" ht="15.75" x14ac:dyDescent="0.3">
      <c r="A84" s="2">
        <v>2024</v>
      </c>
      <c r="B84" s="2">
        <v>11</v>
      </c>
      <c r="C84" s="3">
        <v>147241</v>
      </c>
      <c r="D84" s="3">
        <v>1.2216080954738029</v>
      </c>
      <c r="E84" s="3">
        <v>1.1900286068793169</v>
      </c>
      <c r="F84" s="3">
        <v>10263079</v>
      </c>
      <c r="G84" s="3">
        <v>1.5949180560091314</v>
      </c>
      <c r="H84" s="3">
        <v>1.4920998756908592</v>
      </c>
    </row>
    <row r="85" spans="1:8" ht="15.75" x14ac:dyDescent="0.3">
      <c r="A85" s="2">
        <v>2024</v>
      </c>
      <c r="B85" s="2">
        <v>12</v>
      </c>
      <c r="C85" s="3">
        <v>147474</v>
      </c>
      <c r="D85" s="3">
        <v>1.3330218368216462</v>
      </c>
      <c r="E85" s="3">
        <v>1.2180838196271071</v>
      </c>
      <c r="F85" s="3">
        <v>10281477</v>
      </c>
      <c r="G85" s="3">
        <v>1.6760893082282236</v>
      </c>
      <c r="H85" s="3">
        <v>1.5186524280515024</v>
      </c>
    </row>
    <row r="86" spans="1:8" ht="15.75" x14ac:dyDescent="0.3">
      <c r="A86" s="2">
        <v>2025</v>
      </c>
      <c r="B86" s="2">
        <v>1</v>
      </c>
      <c r="C86" s="3">
        <v>147697</v>
      </c>
      <c r="D86" s="3">
        <v>1.3831495998132937</v>
      </c>
      <c r="E86" s="3">
        <v>1.2463088568815821</v>
      </c>
      <c r="F86" s="3">
        <v>10294786</v>
      </c>
      <c r="G86" s="3">
        <v>1.6018488664027775</v>
      </c>
      <c r="H86" s="3">
        <v>1.5452306404755909</v>
      </c>
    </row>
    <row r="87" spans="1:8" ht="15.75" x14ac:dyDescent="0.3">
      <c r="A87" s="2">
        <v>2025</v>
      </c>
      <c r="B87" s="2">
        <v>2</v>
      </c>
      <c r="C87" s="3">
        <v>147607</v>
      </c>
      <c r="D87" s="3">
        <v>1.3972371250163151</v>
      </c>
      <c r="E87" s="3">
        <v>1.2746479027619595</v>
      </c>
      <c r="F87" s="3">
        <v>10293631</v>
      </c>
      <c r="G87" s="3">
        <v>1.6277310099694242</v>
      </c>
      <c r="H87" s="3">
        <v>1.5718156061547075</v>
      </c>
    </row>
    <row r="88" spans="1:8" ht="15.75" x14ac:dyDescent="0.3">
      <c r="A88" s="2">
        <v>2025</v>
      </c>
      <c r="B88" s="2">
        <v>3</v>
      </c>
      <c r="C88" s="3">
        <v>147891</v>
      </c>
      <c r="D88" s="3">
        <v>1.5469863634490988</v>
      </c>
      <c r="E88" s="3">
        <v>1.3030546442168267</v>
      </c>
      <c r="F88" s="3">
        <v>10313634</v>
      </c>
      <c r="G88" s="3">
        <v>1.6914870142047844</v>
      </c>
      <c r="H88" s="3">
        <v>1.5983923501016795</v>
      </c>
    </row>
    <row r="89" spans="1:8" ht="15.75" x14ac:dyDescent="0.3">
      <c r="A89" s="2">
        <v>2025</v>
      </c>
      <c r="B89" s="2">
        <v>4</v>
      </c>
      <c r="C89" s="3">
        <v>147963</v>
      </c>
      <c r="D89" s="3">
        <v>1.5106921604544521</v>
      </c>
      <c r="E89" s="3">
        <v>1.3314912813352058</v>
      </c>
      <c r="F89" s="3">
        <v>10324244</v>
      </c>
      <c r="G89" s="3">
        <v>1.71835322626952</v>
      </c>
      <c r="H89" s="3">
        <v>1.624949780343488</v>
      </c>
    </row>
    <row r="90" spans="1:8" ht="15.75" x14ac:dyDescent="0.3">
      <c r="A90" s="2">
        <v>2025</v>
      </c>
      <c r="B90" s="2">
        <v>5</v>
      </c>
      <c r="C90" s="3">
        <v>147978</v>
      </c>
      <c r="D90" s="3">
        <v>1.4041074769236994</v>
      </c>
      <c r="E90" s="3">
        <v>1.3599369539088431</v>
      </c>
      <c r="F90" s="3">
        <v>10321860</v>
      </c>
      <c r="G90" s="3">
        <v>1.6879121953064846</v>
      </c>
      <c r="H90" s="3">
        <v>1.6514832698143436</v>
      </c>
    </row>
    <row r="91" spans="1:8" ht="15.75" x14ac:dyDescent="0.3">
      <c r="A91" s="2">
        <v>2025</v>
      </c>
      <c r="B91" s="2">
        <v>6</v>
      </c>
      <c r="C91" s="3">
        <v>148328</v>
      </c>
      <c r="D91" s="3">
        <v>1.5180343576757238</v>
      </c>
      <c r="E91" s="3">
        <v>1.388383246234979</v>
      </c>
      <c r="F91" s="3">
        <v>10342975</v>
      </c>
      <c r="G91" s="3">
        <v>1.7646863779525734</v>
      </c>
      <c r="H91" s="3">
        <v>1.6779946777988681</v>
      </c>
    </row>
    <row r="92" spans="1:8" ht="15.75" x14ac:dyDescent="0.3">
      <c r="A92" s="2">
        <v>2025</v>
      </c>
      <c r="B92" s="2">
        <v>7</v>
      </c>
      <c r="C92" s="3">
        <v>148361</v>
      </c>
      <c r="D92" s="3">
        <v>1.3796449413018719</v>
      </c>
      <c r="E92" s="3">
        <v>1.4168248100082859</v>
      </c>
      <c r="F92" s="3">
        <v>10357872</v>
      </c>
      <c r="G92" s="3">
        <v>1.659470524081752</v>
      </c>
      <c r="H92" s="3">
        <v>1.7044883933681758</v>
      </c>
    </row>
    <row r="93" spans="1:8" ht="15.75" x14ac:dyDescent="0.3">
      <c r="A93" s="2">
        <v>2025</v>
      </c>
      <c r="B93" s="2">
        <v>8</v>
      </c>
      <c r="C93" s="3">
        <v>148618</v>
      </c>
      <c r="D93" s="3">
        <v>1.4298096544569816</v>
      </c>
      <c r="E93" s="3">
        <v>1.4452653004728415</v>
      </c>
      <c r="F93" s="3">
        <v>10374297</v>
      </c>
      <c r="G93" s="3">
        <v>1.6260983709334598</v>
      </c>
      <c r="H93" s="3">
        <v>1.7309748258503366</v>
      </c>
    </row>
    <row r="94" spans="1:8" ht="15.75" x14ac:dyDescent="0.3">
      <c r="A94" s="2"/>
      <c r="B94" s="2"/>
      <c r="C94" s="3"/>
      <c r="D94" s="3"/>
      <c r="E94" s="3"/>
      <c r="F94" s="3"/>
      <c r="G94" s="3"/>
      <c r="H94" s="3"/>
    </row>
    <row r="95" spans="1:8" ht="15.75" x14ac:dyDescent="0.3">
      <c r="A95" s="2"/>
      <c r="B95" s="2"/>
      <c r="C95" s="3"/>
      <c r="D95" s="3"/>
      <c r="E95" s="3"/>
      <c r="F95" s="3"/>
      <c r="G95" s="3"/>
      <c r="H95" s="3"/>
    </row>
    <row r="96" spans="1:8" ht="15.75" x14ac:dyDescent="0.3">
      <c r="A96" s="2"/>
      <c r="B96" s="2"/>
      <c r="C96" s="3"/>
      <c r="D96" s="3"/>
      <c r="E96" s="3"/>
      <c r="F96" s="3"/>
      <c r="G96" s="3"/>
      <c r="H96" s="3"/>
    </row>
    <row r="97" spans="1:8" ht="15.75" x14ac:dyDescent="0.3">
      <c r="A97" s="2"/>
      <c r="B97" s="2"/>
      <c r="C97" s="3"/>
      <c r="D97" s="3"/>
      <c r="E97" s="3"/>
      <c r="F97" s="3"/>
      <c r="G97" s="3"/>
      <c r="H97" s="3"/>
    </row>
    <row r="98" spans="1:8" ht="15.75" x14ac:dyDescent="0.3">
      <c r="A98" s="2"/>
      <c r="B98" s="2"/>
      <c r="C98" s="4"/>
      <c r="D98" s="2"/>
      <c r="E98" s="2"/>
      <c r="F98" s="4"/>
      <c r="G98" s="2"/>
      <c r="H98" s="2"/>
    </row>
    <row r="99" spans="1:8" ht="15.75" x14ac:dyDescent="0.3">
      <c r="A99" s="2"/>
      <c r="B99" s="2"/>
      <c r="C99" s="4"/>
      <c r="D99" s="2"/>
      <c r="E99" s="2"/>
      <c r="F99" s="4"/>
      <c r="G99" s="2"/>
      <c r="H99" s="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82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2.140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212</v>
      </c>
      <c r="D1" s="2" t="s">
        <v>213</v>
      </c>
      <c r="E1" s="2" t="s">
        <v>214</v>
      </c>
      <c r="F1" s="2" t="s">
        <v>215</v>
      </c>
      <c r="G1" s="2" t="s">
        <v>216</v>
      </c>
      <c r="H1" s="2" t="s">
        <v>217</v>
      </c>
    </row>
    <row r="2" spans="1:8" x14ac:dyDescent="0.3">
      <c r="A2" s="2">
        <v>2018</v>
      </c>
      <c r="B2" s="3">
        <v>1</v>
      </c>
      <c r="C2" s="3">
        <v>7029</v>
      </c>
      <c r="D2" s="3">
        <v>1.2240783410138345</v>
      </c>
      <c r="E2" s="3">
        <v>1.318155627976781</v>
      </c>
      <c r="F2" s="3">
        <v>454496</v>
      </c>
      <c r="G2" s="3">
        <v>-0.11823292325409129</v>
      </c>
      <c r="H2" s="3">
        <v>-5.5665528948848013E-2</v>
      </c>
    </row>
    <row r="3" spans="1:8" x14ac:dyDescent="0.3">
      <c r="A3" s="2">
        <v>2018</v>
      </c>
      <c r="B3" s="3">
        <v>2</v>
      </c>
      <c r="C3" s="3">
        <v>7018</v>
      </c>
      <c r="D3" s="3">
        <v>0.58764511967894784</v>
      </c>
      <c r="E3" s="3">
        <v>1.2601815980199325</v>
      </c>
      <c r="F3" s="3">
        <v>454621</v>
      </c>
      <c r="G3" s="3">
        <v>-0.18859225432510396</v>
      </c>
      <c r="H3" s="3">
        <v>-8.2886144329218828E-2</v>
      </c>
    </row>
    <row r="4" spans="1:8" x14ac:dyDescent="0.3">
      <c r="A4" s="2">
        <v>2018</v>
      </c>
      <c r="B4" s="3">
        <v>3</v>
      </c>
      <c r="C4" s="3">
        <v>7036</v>
      </c>
      <c r="D4" s="3">
        <v>0.48557554984289819</v>
      </c>
      <c r="E4" s="3">
        <v>1.202275224946469</v>
      </c>
      <c r="F4" s="3">
        <v>454559</v>
      </c>
      <c r="G4" s="3">
        <v>-0.31098059770559017</v>
      </c>
      <c r="H4" s="3">
        <v>-0.10942774591501303</v>
      </c>
    </row>
    <row r="5" spans="1:8" x14ac:dyDescent="0.3">
      <c r="A5" s="2">
        <v>2018</v>
      </c>
      <c r="B5" s="3">
        <v>4</v>
      </c>
      <c r="C5" s="3">
        <v>7035</v>
      </c>
      <c r="D5" s="3">
        <v>0.17086715079026593</v>
      </c>
      <c r="E5" s="3">
        <v>1.1444785396551274</v>
      </c>
      <c r="F5" s="3">
        <v>454127</v>
      </c>
      <c r="G5" s="3">
        <v>-0.42908762420957869</v>
      </c>
      <c r="H5" s="3">
        <v>-0.13519843127708944</v>
      </c>
    </row>
    <row r="6" spans="1:8" x14ac:dyDescent="0.3">
      <c r="A6" s="2">
        <v>2018</v>
      </c>
      <c r="B6" s="3">
        <v>5</v>
      </c>
      <c r="C6" s="3">
        <v>7043</v>
      </c>
      <c r="D6" s="3">
        <v>0.22769318343531797</v>
      </c>
      <c r="E6" s="3">
        <v>1.0867838022338734</v>
      </c>
      <c r="F6" s="3">
        <v>453206</v>
      </c>
      <c r="G6" s="3">
        <v>-0.53637660485021943</v>
      </c>
      <c r="H6" s="3">
        <v>-0.16012029471212569</v>
      </c>
    </row>
    <row r="7" spans="1:8" x14ac:dyDescent="0.3">
      <c r="A7" s="2">
        <v>2018</v>
      </c>
      <c r="B7" s="3">
        <v>6</v>
      </c>
      <c r="C7" s="3">
        <v>7073</v>
      </c>
      <c r="D7" s="3">
        <v>0.69760820045559058</v>
      </c>
      <c r="E7" s="3">
        <v>1.0291156608686685</v>
      </c>
      <c r="F7" s="3">
        <v>452932</v>
      </c>
      <c r="G7" s="3">
        <v>-0.52818022695277911</v>
      </c>
      <c r="H7" s="3">
        <v>-0.18413583948853085</v>
      </c>
    </row>
    <row r="8" spans="1:8" x14ac:dyDescent="0.3">
      <c r="A8" s="2">
        <v>2018</v>
      </c>
      <c r="B8" s="3">
        <v>7</v>
      </c>
      <c r="C8" s="3">
        <v>7072</v>
      </c>
      <c r="D8" s="3">
        <v>0.68337129840547739</v>
      </c>
      <c r="E8" s="3">
        <v>0.97133910467472451</v>
      </c>
      <c r="F8" s="3">
        <v>455941</v>
      </c>
      <c r="G8" s="3">
        <v>0.17797073809517894</v>
      </c>
      <c r="H8" s="3">
        <v>-0.20721369778514026</v>
      </c>
    </row>
    <row r="9" spans="1:8" x14ac:dyDescent="0.3">
      <c r="A9" s="2">
        <v>2018</v>
      </c>
      <c r="B9" s="3">
        <v>8</v>
      </c>
      <c r="C9" s="3">
        <v>7223</v>
      </c>
      <c r="D9" s="3">
        <v>3.0532172920530787</v>
      </c>
      <c r="E9" s="3">
        <v>0.91329610141583573</v>
      </c>
      <c r="F9" s="3">
        <v>452545</v>
      </c>
      <c r="G9" s="3">
        <v>-0.59374231188275006</v>
      </c>
      <c r="H9" s="3">
        <v>-0.22934639375214094</v>
      </c>
    </row>
    <row r="10" spans="1:8" x14ac:dyDescent="0.3">
      <c r="A10" s="2">
        <v>2018</v>
      </c>
      <c r="B10" s="3">
        <v>9</v>
      </c>
      <c r="C10" s="3">
        <v>7098</v>
      </c>
      <c r="D10" s="3">
        <v>1.2697959766015066</v>
      </c>
      <c r="E10" s="3">
        <v>0.85480862109147182</v>
      </c>
      <c r="F10" s="3">
        <v>451066</v>
      </c>
      <c r="G10" s="3">
        <v>-0.85350226069296209</v>
      </c>
      <c r="H10" s="3">
        <v>-0.25049970262056154</v>
      </c>
    </row>
    <row r="11" spans="1:8" x14ac:dyDescent="0.3">
      <c r="A11" s="2">
        <v>2018</v>
      </c>
      <c r="B11" s="3">
        <v>10</v>
      </c>
      <c r="C11" s="3">
        <v>7087</v>
      </c>
      <c r="D11" s="3">
        <v>1.0119726339794743</v>
      </c>
      <c r="E11" s="3">
        <v>0.79584723933934121</v>
      </c>
      <c r="F11" s="3">
        <v>451229</v>
      </c>
      <c r="G11" s="3">
        <v>-0.82007209425004612</v>
      </c>
      <c r="H11" s="3">
        <v>-0.27066470489352312</v>
      </c>
    </row>
    <row r="12" spans="1:8" x14ac:dyDescent="0.3">
      <c r="A12" s="2">
        <v>2018</v>
      </c>
      <c r="B12" s="3">
        <v>11</v>
      </c>
      <c r="C12" s="3">
        <v>7108</v>
      </c>
      <c r="D12" s="3">
        <v>0.98025287682910189</v>
      </c>
      <c r="E12" s="3">
        <v>0.73641135036350736</v>
      </c>
      <c r="F12" s="3">
        <v>452093</v>
      </c>
      <c r="G12" s="3">
        <v>-0.67099200917505319</v>
      </c>
      <c r="H12" s="3">
        <v>-0.2898743562517907</v>
      </c>
    </row>
    <row r="13" spans="1:8" x14ac:dyDescent="0.3">
      <c r="A13" s="2">
        <v>2018</v>
      </c>
      <c r="B13" s="3">
        <v>12</v>
      </c>
      <c r="C13" s="3">
        <v>7125</v>
      </c>
      <c r="D13" s="3">
        <v>1.4379271070614985</v>
      </c>
      <c r="E13" s="3">
        <v>0.67651535707599475</v>
      </c>
      <c r="F13" s="3">
        <v>451780</v>
      </c>
      <c r="G13" s="3">
        <v>-0.6373741417002754</v>
      </c>
      <c r="H13" s="3">
        <v>-0.30819976566705676</v>
      </c>
    </row>
    <row r="14" spans="1:8" x14ac:dyDescent="0.3">
      <c r="A14" s="2">
        <v>2019</v>
      </c>
      <c r="B14" s="3">
        <v>1</v>
      </c>
      <c r="C14" s="3">
        <v>7156</v>
      </c>
      <c r="D14" s="3">
        <v>1.8068003983496839</v>
      </c>
      <c r="E14" s="3">
        <v>0.6161905958281656</v>
      </c>
      <c r="F14" s="3">
        <v>452030</v>
      </c>
      <c r="G14" s="3">
        <v>-0.54257903259874452</v>
      </c>
      <c r="H14" s="3">
        <v>-0.325738508614689</v>
      </c>
    </row>
    <row r="15" spans="1:8" x14ac:dyDescent="0.3">
      <c r="A15" s="2">
        <v>2019</v>
      </c>
      <c r="B15" s="3">
        <v>2</v>
      </c>
      <c r="C15" s="3">
        <v>7148</v>
      </c>
      <c r="D15" s="3">
        <v>1.8523795953263145</v>
      </c>
      <c r="E15" s="3">
        <v>0.55552127878735336</v>
      </c>
      <c r="F15" s="3">
        <v>454616</v>
      </c>
      <c r="G15" s="3">
        <v>-1.0998172103815484E-3</v>
      </c>
      <c r="H15" s="3">
        <v>-0.3426110199017241</v>
      </c>
    </row>
    <row r="16" spans="1:8" x14ac:dyDescent="0.3">
      <c r="A16" s="2">
        <v>2019</v>
      </c>
      <c r="B16" s="3">
        <v>3</v>
      </c>
      <c r="C16" s="3">
        <v>7147</v>
      </c>
      <c r="D16" s="3">
        <v>1.5776009096077237</v>
      </c>
      <c r="E16" s="3">
        <v>0.4946742993571776</v>
      </c>
      <c r="F16" s="3">
        <v>453112</v>
      </c>
      <c r="G16" s="3">
        <v>-0.31833051375068644</v>
      </c>
      <c r="H16" s="3">
        <v>-0.35895279270491975</v>
      </c>
    </row>
    <row r="17" spans="1:8" x14ac:dyDescent="0.3">
      <c r="A17" s="2">
        <v>2019</v>
      </c>
      <c r="B17" s="3">
        <v>4</v>
      </c>
      <c r="C17" s="3">
        <v>7164</v>
      </c>
      <c r="D17" s="3">
        <v>1.8336886993603363</v>
      </c>
      <c r="E17" s="3">
        <v>0.43390661054657303</v>
      </c>
      <c r="F17" s="3">
        <v>453265</v>
      </c>
      <c r="G17" s="3">
        <v>-0.18981474345282079</v>
      </c>
      <c r="H17" s="3">
        <v>-0.3748756041452912</v>
      </c>
    </row>
    <row r="18" spans="1:8" x14ac:dyDescent="0.3">
      <c r="A18" s="2">
        <v>2019</v>
      </c>
      <c r="B18" s="3">
        <v>5</v>
      </c>
      <c r="C18" s="3">
        <v>7145</v>
      </c>
      <c r="D18" s="3">
        <v>1.4482464858724953</v>
      </c>
      <c r="E18" s="3">
        <v>0.37355036860129731</v>
      </c>
      <c r="F18" s="3">
        <v>452991</v>
      </c>
      <c r="G18" s="3">
        <v>-4.7439795589643285E-2</v>
      </c>
      <c r="H18" s="3">
        <v>-0.39048841035225962</v>
      </c>
    </row>
    <row r="19" spans="1:8" x14ac:dyDescent="0.3">
      <c r="A19" s="2">
        <v>2019</v>
      </c>
      <c r="B19" s="3">
        <v>6</v>
      </c>
      <c r="C19" s="3">
        <v>7143</v>
      </c>
      <c r="D19" s="3">
        <v>0.98967906121871785</v>
      </c>
      <c r="E19" s="3">
        <v>0.31403493685660894</v>
      </c>
      <c r="F19" s="3">
        <v>453905</v>
      </c>
      <c r="G19" s="3">
        <v>0.21482253406692742</v>
      </c>
      <c r="H19" s="3">
        <v>-0.40588731600658695</v>
      </c>
    </row>
    <row r="20" spans="1:8" x14ac:dyDescent="0.3">
      <c r="A20" s="2">
        <v>2019</v>
      </c>
      <c r="B20" s="3">
        <v>7</v>
      </c>
      <c r="C20" s="3">
        <v>7098</v>
      </c>
      <c r="D20" s="3">
        <v>0.36764705882352811</v>
      </c>
      <c r="E20" s="3">
        <v>0.25586431032257689</v>
      </c>
      <c r="F20" s="3">
        <v>452194</v>
      </c>
      <c r="G20" s="3">
        <v>-0.8218168578829288</v>
      </c>
      <c r="H20" s="3">
        <v>-0.42114460296856537</v>
      </c>
    </row>
    <row r="21" spans="1:8" x14ac:dyDescent="0.3">
      <c r="A21" s="2">
        <v>2019</v>
      </c>
      <c r="B21" s="3">
        <v>8</v>
      </c>
      <c r="C21" s="3">
        <v>7103</v>
      </c>
      <c r="D21" s="3">
        <v>-1.6613595458950581</v>
      </c>
      <c r="E21" s="3">
        <v>0.19958940374012857</v>
      </c>
      <c r="F21" s="3">
        <v>451707</v>
      </c>
      <c r="G21" s="3">
        <v>-0.18517495497685221</v>
      </c>
      <c r="H21" s="3">
        <v>-0.43628944824778754</v>
      </c>
    </row>
    <row r="22" spans="1:8" x14ac:dyDescent="0.3">
      <c r="A22" s="2">
        <v>2019</v>
      </c>
      <c r="B22" s="3">
        <v>9</v>
      </c>
      <c r="C22" s="3">
        <v>7104</v>
      </c>
      <c r="D22" s="3">
        <v>8.453085376163294E-2</v>
      </c>
      <c r="E22" s="3">
        <v>0.14576889454105948</v>
      </c>
      <c r="F22" s="3">
        <v>451675</v>
      </c>
      <c r="G22" s="3">
        <v>0.13501350135014523</v>
      </c>
      <c r="H22" s="3">
        <v>-0.45137885331599281</v>
      </c>
    </row>
    <row r="23" spans="1:8" x14ac:dyDescent="0.3">
      <c r="A23" s="2">
        <v>2019</v>
      </c>
      <c r="B23" s="3">
        <v>10</v>
      </c>
      <c r="C23" s="3">
        <v>7096</v>
      </c>
      <c r="D23" s="3">
        <v>0.12699308593198122</v>
      </c>
      <c r="E23" s="3">
        <v>9.4832227591218274E-2</v>
      </c>
      <c r="F23" s="3">
        <v>452189</v>
      </c>
      <c r="G23" s="3">
        <v>0.21275228320873918</v>
      </c>
      <c r="H23" s="3">
        <v>-0.46645238113844351</v>
      </c>
    </row>
    <row r="24" spans="1:8" x14ac:dyDescent="0.3">
      <c r="A24" s="2">
        <v>2019</v>
      </c>
      <c r="B24" s="3">
        <v>11</v>
      </c>
      <c r="C24" s="3">
        <v>7087</v>
      </c>
      <c r="D24" s="3">
        <v>-0.29544175576814435</v>
      </c>
      <c r="E24" s="3">
        <v>4.7204595114732795E-2</v>
      </c>
      <c r="F24" s="3">
        <v>452465</v>
      </c>
      <c r="G24" s="3">
        <v>8.2283954849993179E-2</v>
      </c>
      <c r="H24" s="3">
        <v>-0.48150887298910572</v>
      </c>
    </row>
    <row r="25" spans="1:8" x14ac:dyDescent="0.3">
      <c r="A25" s="2">
        <v>2019</v>
      </c>
      <c r="B25" s="3">
        <v>12</v>
      </c>
      <c r="C25" s="3">
        <v>7093</v>
      </c>
      <c r="D25" s="3">
        <v>-0.44912280701754348</v>
      </c>
      <c r="E25" s="3">
        <v>3.313422728671266E-3</v>
      </c>
      <c r="F25" s="3">
        <v>452157</v>
      </c>
      <c r="G25" s="3">
        <v>8.3447695781124764E-2</v>
      </c>
      <c r="H25" s="3">
        <v>-0.49650000315136589</v>
      </c>
    </row>
    <row r="26" spans="1:8" x14ac:dyDescent="0.3">
      <c r="A26" s="2">
        <v>2020</v>
      </c>
      <c r="B26" s="3">
        <v>1</v>
      </c>
      <c r="C26" s="3">
        <v>7089</v>
      </c>
      <c r="D26" s="3">
        <v>-0.93627724986026228</v>
      </c>
      <c r="E26" s="3">
        <v>-3.6437658835376092E-2</v>
      </c>
      <c r="F26" s="3">
        <v>452146</v>
      </c>
      <c r="G26" s="3">
        <v>2.5662013583160892E-2</v>
      </c>
      <c r="H26" s="3">
        <v>-0.51133829362889938</v>
      </c>
    </row>
    <row r="27" spans="1:8" x14ac:dyDescent="0.3">
      <c r="A27" s="2">
        <v>2020</v>
      </c>
      <c r="B27" s="3">
        <v>2</v>
      </c>
      <c r="C27" s="3">
        <v>7073</v>
      </c>
      <c r="D27" s="3">
        <v>-1.0492445439283737</v>
      </c>
      <c r="E27" s="3">
        <v>-7.1676438028440315E-2</v>
      </c>
      <c r="F27" s="3">
        <v>452461</v>
      </c>
      <c r="G27" s="3">
        <v>-0.47402643109789588</v>
      </c>
      <c r="H27" s="3">
        <v>-0.52589599227962225</v>
      </c>
    </row>
    <row r="28" spans="1:8" x14ac:dyDescent="0.3">
      <c r="A28" s="2">
        <v>2020</v>
      </c>
      <c r="B28" s="3">
        <v>3</v>
      </c>
      <c r="C28" s="3">
        <v>7074</v>
      </c>
      <c r="D28" s="3">
        <v>-1.021407583601508</v>
      </c>
      <c r="E28" s="3">
        <v>-0.10209319216204027</v>
      </c>
      <c r="F28" s="3">
        <v>452307</v>
      </c>
      <c r="G28" s="3">
        <v>-0.17766026942566127</v>
      </c>
      <c r="H28" s="3">
        <v>-0.54000805527344975</v>
      </c>
    </row>
    <row r="29" spans="1:8" x14ac:dyDescent="0.3">
      <c r="A29" s="2">
        <v>2020</v>
      </c>
      <c r="B29" s="3">
        <v>4</v>
      </c>
      <c r="C29" s="3">
        <v>7066</v>
      </c>
      <c r="D29" s="3">
        <v>-1.3679508654383055</v>
      </c>
      <c r="E29" s="3">
        <v>-0.12744608522171566</v>
      </c>
      <c r="F29" s="3">
        <v>452487</v>
      </c>
      <c r="G29" s="3">
        <v>-0.17164351979526149</v>
      </c>
      <c r="H29" s="3">
        <v>-0.55350583672743725</v>
      </c>
    </row>
    <row r="30" spans="1:8" x14ac:dyDescent="0.3">
      <c r="A30" s="2">
        <v>2020</v>
      </c>
      <c r="B30" s="3">
        <v>5</v>
      </c>
      <c r="C30" s="3">
        <v>7056</v>
      </c>
      <c r="D30" s="3">
        <v>-1.2456263121063627</v>
      </c>
      <c r="E30" s="3">
        <v>-0.14755712247018948</v>
      </c>
      <c r="F30" s="3">
        <v>451549</v>
      </c>
      <c r="G30" s="3">
        <v>-0.31832862021541342</v>
      </c>
      <c r="H30" s="3">
        <v>-0.56619552771795634</v>
      </c>
    </row>
    <row r="31" spans="1:8" x14ac:dyDescent="0.3">
      <c r="A31" s="2">
        <v>2020</v>
      </c>
      <c r="B31" s="3">
        <v>6</v>
      </c>
      <c r="C31" s="3">
        <v>7052</v>
      </c>
      <c r="D31" s="3">
        <v>-1.2739745205095909</v>
      </c>
      <c r="E31" s="3">
        <v>-0.16233445533547755</v>
      </c>
      <c r="F31" s="3">
        <v>450767</v>
      </c>
      <c r="G31" s="3">
        <v>-0.6913340897324316</v>
      </c>
      <c r="H31" s="3">
        <v>-0.57785680110492488</v>
      </c>
    </row>
    <row r="32" spans="1:8" x14ac:dyDescent="0.3">
      <c r="A32" s="2">
        <v>2020</v>
      </c>
      <c r="B32" s="3">
        <v>7</v>
      </c>
      <c r="C32" s="3">
        <v>7038</v>
      </c>
      <c r="D32" s="3">
        <v>-0.84530853761622948</v>
      </c>
      <c r="E32" s="3">
        <v>-0.17176249005043154</v>
      </c>
      <c r="F32" s="3">
        <v>450117</v>
      </c>
      <c r="G32" s="3">
        <v>-0.4593161342255736</v>
      </c>
      <c r="H32" s="3">
        <v>-0.58825211676857325</v>
      </c>
    </row>
    <row r="33" spans="1:8" x14ac:dyDescent="0.3">
      <c r="A33" s="2">
        <v>2020</v>
      </c>
      <c r="B33" s="3">
        <v>8</v>
      </c>
      <c r="C33" s="3">
        <v>7041</v>
      </c>
      <c r="D33" s="3">
        <v>-0.87287061804871557</v>
      </c>
      <c r="E33" s="3">
        <v>-0.17590283007465138</v>
      </c>
      <c r="F33" s="3">
        <v>449588</v>
      </c>
      <c r="G33" s="3">
        <v>-0.46910940056275052</v>
      </c>
      <c r="H33" s="3">
        <v>-0.59715181495639769</v>
      </c>
    </row>
    <row r="34" spans="1:8" x14ac:dyDescent="0.3">
      <c r="A34" s="2">
        <v>2020</v>
      </c>
      <c r="B34" s="3">
        <v>9</v>
      </c>
      <c r="C34" s="3">
        <v>7052</v>
      </c>
      <c r="D34" s="3">
        <v>-0.73198198198197728</v>
      </c>
      <c r="E34" s="3">
        <v>-0.17486385289881795</v>
      </c>
      <c r="F34" s="3">
        <v>449188</v>
      </c>
      <c r="G34" s="3">
        <v>-0.55061714728510402</v>
      </c>
      <c r="H34" s="3">
        <v>-0.60431728202821788</v>
      </c>
    </row>
    <row r="35" spans="1:8" x14ac:dyDescent="0.3">
      <c r="A35" s="2">
        <v>2020</v>
      </c>
      <c r="B35" s="3">
        <v>10</v>
      </c>
      <c r="C35" s="3">
        <v>7070</v>
      </c>
      <c r="D35" s="3">
        <v>-0.36640360766628799</v>
      </c>
      <c r="E35" s="3">
        <v>-0.16880233655444368</v>
      </c>
      <c r="F35" s="3">
        <v>447428</v>
      </c>
      <c r="G35" s="3">
        <v>-1.0528783318479618</v>
      </c>
      <c r="H35" s="3">
        <v>-0.6095010125095206</v>
      </c>
    </row>
    <row r="36" spans="1:8" x14ac:dyDescent="0.3">
      <c r="A36" s="2">
        <v>2020</v>
      </c>
      <c r="B36" s="3">
        <v>11</v>
      </c>
      <c r="C36" s="3">
        <v>7059</v>
      </c>
      <c r="D36" s="3">
        <v>-0.39508960067730081</v>
      </c>
      <c r="E36" s="3">
        <v>-0.1579137478320051</v>
      </c>
      <c r="F36" s="3">
        <v>445878</v>
      </c>
      <c r="G36" s="3">
        <v>-1.4558032112981123</v>
      </c>
      <c r="H36" s="3">
        <v>-0.61245177174976884</v>
      </c>
    </row>
    <row r="37" spans="1:8" x14ac:dyDescent="0.3">
      <c r="A37" s="2">
        <v>2020</v>
      </c>
      <c r="B37" s="3">
        <v>12</v>
      </c>
      <c r="C37" s="3">
        <v>7061</v>
      </c>
      <c r="D37" s="3">
        <v>-0.45114902016072378</v>
      </c>
      <c r="E37" s="3">
        <v>-0.14240727583247262</v>
      </c>
      <c r="F37" s="3">
        <v>446021</v>
      </c>
      <c r="G37" s="3">
        <v>-1.3570507589178105</v>
      </c>
      <c r="H37" s="3">
        <v>-0.61294911519004625</v>
      </c>
    </row>
    <row r="38" spans="1:8" x14ac:dyDescent="0.3">
      <c r="A38" s="2">
        <v>2021</v>
      </c>
      <c r="B38" s="3">
        <v>1</v>
      </c>
      <c r="C38" s="3">
        <v>7040</v>
      </c>
      <c r="D38" s="3">
        <v>-0.69121173649315804</v>
      </c>
      <c r="E38" s="3">
        <v>-0.12250858020215312</v>
      </c>
      <c r="F38" s="3">
        <v>446359</v>
      </c>
      <c r="G38" s="3">
        <v>-1.2798963166764765</v>
      </c>
      <c r="H38" s="3">
        <v>-0.61083116434362728</v>
      </c>
    </row>
    <row r="39" spans="1:8" x14ac:dyDescent="0.3">
      <c r="A39" s="2">
        <v>2021</v>
      </c>
      <c r="B39" s="3">
        <v>2</v>
      </c>
      <c r="C39" s="3">
        <v>7039</v>
      </c>
      <c r="D39" s="3">
        <v>-0.48070125830623756</v>
      </c>
      <c r="E39" s="3">
        <v>-9.8464760986265151E-2</v>
      </c>
      <c r="F39" s="3">
        <v>446831</v>
      </c>
      <c r="G39" s="3">
        <v>-1.2443061390926546</v>
      </c>
      <c r="H39" s="3">
        <v>-0.60598771444904531</v>
      </c>
    </row>
    <row r="40" spans="1:8" x14ac:dyDescent="0.3">
      <c r="A40" s="2">
        <v>2021</v>
      </c>
      <c r="B40" s="3">
        <v>3</v>
      </c>
      <c r="C40" s="3">
        <v>7047</v>
      </c>
      <c r="D40" s="3">
        <v>-0.38167938931297218</v>
      </c>
      <c r="E40" s="3">
        <v>-7.0562411504769662E-2</v>
      </c>
      <c r="F40" s="3">
        <v>447382</v>
      </c>
      <c r="G40" s="3">
        <v>-1.088862210843522</v>
      </c>
      <c r="H40" s="3">
        <v>-0.59835502360263448</v>
      </c>
    </row>
    <row r="41" spans="1:8" x14ac:dyDescent="0.3">
      <c r="A41" s="2">
        <v>2021</v>
      </c>
      <c r="B41" s="3">
        <v>4</v>
      </c>
      <c r="C41" s="3">
        <v>7046</v>
      </c>
      <c r="D41" s="3">
        <v>-0.2830455703368262</v>
      </c>
      <c r="E41" s="3">
        <v>-3.9114669278830387E-2</v>
      </c>
      <c r="F41" s="3">
        <v>447358</v>
      </c>
      <c r="G41" s="3">
        <v>-1.1335132280043458</v>
      </c>
      <c r="H41" s="3">
        <v>-0.58791367756910695</v>
      </c>
    </row>
    <row r="42" spans="1:8" x14ac:dyDescent="0.3">
      <c r="A42" s="2">
        <v>2021</v>
      </c>
      <c r="B42" s="3">
        <v>5</v>
      </c>
      <c r="C42" s="3">
        <v>7071</v>
      </c>
      <c r="D42" s="3">
        <v>0.21258503401360151</v>
      </c>
      <c r="E42" s="3">
        <v>-4.4562771752921998E-3</v>
      </c>
      <c r="F42" s="3">
        <v>447206</v>
      </c>
      <c r="G42" s="3">
        <v>-0.96180038046812522</v>
      </c>
      <c r="H42" s="3">
        <v>-0.57467832511228889</v>
      </c>
    </row>
    <row r="43" spans="1:8" x14ac:dyDescent="0.3">
      <c r="A43" s="2">
        <v>2021</v>
      </c>
      <c r="B43" s="3">
        <v>6</v>
      </c>
      <c r="C43" s="3">
        <v>7068</v>
      </c>
      <c r="D43" s="3">
        <v>0.22688598979012653</v>
      </c>
      <c r="E43" s="3">
        <v>3.3061082293093222E-2</v>
      </c>
      <c r="F43" s="3">
        <v>447009</v>
      </c>
      <c r="G43" s="3">
        <v>-0.83369013259622093</v>
      </c>
      <c r="H43" s="3">
        <v>-0.55870150385367567</v>
      </c>
    </row>
    <row r="44" spans="1:8" x14ac:dyDescent="0.3">
      <c r="A44" s="2">
        <v>2021</v>
      </c>
      <c r="B44" s="3">
        <v>7</v>
      </c>
      <c r="C44" s="3">
        <v>7089</v>
      </c>
      <c r="D44" s="3">
        <v>0.72463768115942351</v>
      </c>
      <c r="E44" s="3">
        <v>7.3100798926851215E-2</v>
      </c>
      <c r="F44" s="3">
        <v>447290</v>
      </c>
      <c r="G44" s="3">
        <v>-0.62805892690123155</v>
      </c>
      <c r="H44" s="3">
        <v>-0.54006263489082906</v>
      </c>
    </row>
    <row r="45" spans="1:8" x14ac:dyDescent="0.3">
      <c r="A45" s="2">
        <v>2021</v>
      </c>
      <c r="B45" s="3">
        <v>8</v>
      </c>
      <c r="C45" s="3">
        <v>7083</v>
      </c>
      <c r="D45" s="3">
        <v>0.5965061780996983</v>
      </c>
      <c r="E45" s="3">
        <v>0.11533972258952775</v>
      </c>
      <c r="F45" s="3">
        <v>446172</v>
      </c>
      <c r="G45" s="3">
        <v>-0.75980675640808792</v>
      </c>
      <c r="H45" s="3">
        <v>-0.51886023575386242</v>
      </c>
    </row>
    <row r="46" spans="1:8" x14ac:dyDescent="0.3">
      <c r="A46" s="2">
        <v>2021</v>
      </c>
      <c r="B46" s="3">
        <v>9</v>
      </c>
      <c r="C46" s="3">
        <v>7054</v>
      </c>
      <c r="D46" s="3">
        <v>2.8360748723765816E-2</v>
      </c>
      <c r="E46" s="3">
        <v>0.15949994876149051</v>
      </c>
      <c r="F46" s="3">
        <v>445619</v>
      </c>
      <c r="G46" s="3">
        <v>-0.79454482310301611</v>
      </c>
      <c r="H46" s="3">
        <v>-0.49519893482650096</v>
      </c>
    </row>
    <row r="47" spans="1:8" x14ac:dyDescent="0.3">
      <c r="A47" s="2">
        <v>2021</v>
      </c>
      <c r="B47" s="3">
        <v>10</v>
      </c>
      <c r="C47" s="3">
        <v>7067</v>
      </c>
      <c r="D47" s="3">
        <v>-4.2432814710047229E-2</v>
      </c>
      <c r="E47" s="3">
        <v>0.20533698726029534</v>
      </c>
      <c r="F47" s="3">
        <v>445730</v>
      </c>
      <c r="G47" s="3">
        <v>-0.3795024003862113</v>
      </c>
      <c r="H47" s="3">
        <v>-0.46920009288973741</v>
      </c>
    </row>
    <row r="48" spans="1:8" x14ac:dyDescent="0.3">
      <c r="A48" s="2">
        <v>2021</v>
      </c>
      <c r="B48" s="3">
        <v>11</v>
      </c>
      <c r="C48" s="3">
        <v>7060</v>
      </c>
      <c r="D48" s="3">
        <v>1.4166312508856471E-2</v>
      </c>
      <c r="E48" s="3">
        <v>0.25259724101460657</v>
      </c>
      <c r="F48" s="3">
        <v>445593</v>
      </c>
      <c r="G48" s="3">
        <v>-6.3918829814435529E-2</v>
      </c>
      <c r="H48" s="3">
        <v>-0.44100585863347269</v>
      </c>
    </row>
    <row r="49" spans="1:8" x14ac:dyDescent="0.3">
      <c r="A49" s="2">
        <v>2021</v>
      </c>
      <c r="B49" s="3">
        <v>12</v>
      </c>
      <c r="C49" s="3">
        <v>7047</v>
      </c>
      <c r="D49" s="3">
        <v>-0.19827219940518059</v>
      </c>
      <c r="E49" s="3">
        <v>0.30100990671684058</v>
      </c>
      <c r="F49" s="3">
        <v>446119</v>
      </c>
      <c r="G49" s="3">
        <v>2.1972059611541361E-2</v>
      </c>
      <c r="H49" s="3">
        <v>-0.41075215174118385</v>
      </c>
    </row>
    <row r="50" spans="1:8" x14ac:dyDescent="0.3">
      <c r="A50" s="2">
        <v>2022</v>
      </c>
      <c r="B50" s="3">
        <v>1</v>
      </c>
      <c r="C50" s="3">
        <v>7075</v>
      </c>
      <c r="D50" s="3">
        <v>0.49715909090908283</v>
      </c>
      <c r="E50" s="3">
        <v>0.3502876233560453</v>
      </c>
      <c r="F50" s="3">
        <v>448816</v>
      </c>
      <c r="G50" s="3">
        <v>0.55045378271749712</v>
      </c>
      <c r="H50" s="3">
        <v>-0.37854870529712431</v>
      </c>
    </row>
    <row r="51" spans="1:8" x14ac:dyDescent="0.3">
      <c r="A51" s="2">
        <v>2022</v>
      </c>
      <c r="B51" s="3">
        <v>2</v>
      </c>
      <c r="C51" s="3">
        <v>7064</v>
      </c>
      <c r="D51" s="3">
        <v>0.35516408580764658</v>
      </c>
      <c r="E51" s="3">
        <v>0.40010835755278795</v>
      </c>
      <c r="F51" s="3">
        <v>445860</v>
      </c>
      <c r="G51" s="3">
        <v>-0.21730810977752535</v>
      </c>
      <c r="H51" s="3">
        <v>-0.34447520209309246</v>
      </c>
    </row>
    <row r="52" spans="1:8" x14ac:dyDescent="0.3">
      <c r="A52" s="2">
        <v>2022</v>
      </c>
      <c r="B52" s="3">
        <v>3</v>
      </c>
      <c r="C52" s="3">
        <v>7090</v>
      </c>
      <c r="D52" s="3">
        <v>0.61018873279410357</v>
      </c>
      <c r="E52" s="3">
        <v>0.45016027533510472</v>
      </c>
      <c r="F52" s="3">
        <v>446325</v>
      </c>
      <c r="G52" s="3">
        <v>-0.23626341694569231</v>
      </c>
      <c r="H52" s="3">
        <v>-0.30854681085921903</v>
      </c>
    </row>
    <row r="53" spans="1:8" x14ac:dyDescent="0.3">
      <c r="A53" s="2">
        <v>2022</v>
      </c>
      <c r="B53" s="3">
        <v>4</v>
      </c>
      <c r="C53" s="3">
        <v>7111</v>
      </c>
      <c r="D53" s="3">
        <v>0.92250922509224953</v>
      </c>
      <c r="E53" s="3">
        <v>0.50012842160104953</v>
      </c>
      <c r="F53" s="3">
        <v>444868</v>
      </c>
      <c r="G53" s="3">
        <v>-0.55660120082797748</v>
      </c>
      <c r="H53" s="3">
        <v>-0.27076986927755731</v>
      </c>
    </row>
    <row r="54" spans="1:8" x14ac:dyDescent="0.3">
      <c r="A54" s="2">
        <v>2022</v>
      </c>
      <c r="B54" s="3">
        <v>5</v>
      </c>
      <c r="C54" s="3">
        <v>7140</v>
      </c>
      <c r="D54" s="3">
        <v>0.97581671616462362</v>
      </c>
      <c r="E54" s="3">
        <v>0.54970895433599987</v>
      </c>
      <c r="F54" s="3">
        <v>445069</v>
      </c>
      <c r="G54" s="3">
        <v>-0.47785584272125314</v>
      </c>
      <c r="H54" s="3">
        <v>-0.23114569535002771</v>
      </c>
    </row>
    <row r="55" spans="1:8" x14ac:dyDescent="0.3">
      <c r="A55" s="2">
        <v>2022</v>
      </c>
      <c r="B55" s="3">
        <v>6</v>
      </c>
      <c r="C55" s="3">
        <v>7147</v>
      </c>
      <c r="D55" s="3">
        <v>1.1177136389360465</v>
      </c>
      <c r="E55" s="3">
        <v>0.59862736352557577</v>
      </c>
      <c r="F55" s="3">
        <v>445724</v>
      </c>
      <c r="G55" s="3">
        <v>-0.28746624788315023</v>
      </c>
      <c r="H55" s="3">
        <v>-0.18969545647657504</v>
      </c>
    </row>
    <row r="56" spans="1:8" x14ac:dyDescent="0.3">
      <c r="A56" s="2">
        <v>2022</v>
      </c>
      <c r="B56" s="3">
        <v>7</v>
      </c>
      <c r="C56" s="3">
        <v>7155</v>
      </c>
      <c r="D56" s="3">
        <v>0.93101988997037477</v>
      </c>
      <c r="E56" s="3">
        <v>0.64663872997219074</v>
      </c>
      <c r="F56" s="3">
        <v>447007</v>
      </c>
      <c r="G56" s="3">
        <v>-6.3269914373220715E-2</v>
      </c>
      <c r="H56" s="3">
        <v>-0.14645745270626703</v>
      </c>
    </row>
    <row r="57" spans="1:8" x14ac:dyDescent="0.3">
      <c r="A57" s="2">
        <v>2022</v>
      </c>
      <c r="B57" s="3">
        <v>8</v>
      </c>
      <c r="C57" s="3">
        <v>7145</v>
      </c>
      <c r="D57" s="3">
        <v>0.87533530989694075</v>
      </c>
      <c r="E57" s="3">
        <v>0.69353418213627283</v>
      </c>
      <c r="F57" s="3">
        <v>446822</v>
      </c>
      <c r="G57" s="3">
        <v>0.14568372735177526</v>
      </c>
      <c r="H57" s="3">
        <v>-0.10147677372646351</v>
      </c>
    </row>
    <row r="58" spans="1:8" x14ac:dyDescent="0.3">
      <c r="A58" s="2">
        <v>2022</v>
      </c>
      <c r="B58" s="3">
        <v>9</v>
      </c>
      <c r="C58" s="3">
        <v>7104</v>
      </c>
      <c r="D58" s="3">
        <v>0.70881769208959167</v>
      </c>
      <c r="E58" s="3">
        <v>0.73912459716991674</v>
      </c>
      <c r="F58" s="3">
        <v>445145</v>
      </c>
      <c r="G58" s="3">
        <v>-0.10636889360642332</v>
      </c>
      <c r="H58" s="3">
        <v>-5.4792732312140081E-2</v>
      </c>
    </row>
    <row r="59" spans="1:8" x14ac:dyDescent="0.3">
      <c r="A59" s="2">
        <v>2022</v>
      </c>
      <c r="B59" s="3">
        <v>10</v>
      </c>
      <c r="C59" s="3">
        <v>7118</v>
      </c>
      <c r="D59" s="3">
        <v>0.72166407244940167</v>
      </c>
      <c r="E59" s="3">
        <v>0.78323347730353376</v>
      </c>
      <c r="F59" s="3">
        <v>444526</v>
      </c>
      <c r="G59" s="3">
        <v>-0.27011868171314957</v>
      </c>
      <c r="H59" s="3">
        <v>-6.4274773145863761E-3</v>
      </c>
    </row>
    <row r="60" spans="1:8" x14ac:dyDescent="0.3">
      <c r="A60" s="2">
        <v>2022</v>
      </c>
      <c r="B60" s="3">
        <v>11</v>
      </c>
      <c r="C60" s="3">
        <v>7139</v>
      </c>
      <c r="D60" s="3">
        <v>1.1189801699716728</v>
      </c>
      <c r="E60" s="3">
        <v>0.82568222012134918</v>
      </c>
      <c r="F60" s="3">
        <v>444875</v>
      </c>
      <c r="G60" s="3">
        <v>-0.1611335905187028</v>
      </c>
      <c r="H60" s="3">
        <v>4.3593260737040333E-2</v>
      </c>
    </row>
    <row r="61" spans="1:8" x14ac:dyDescent="0.3">
      <c r="A61" s="2">
        <v>2022</v>
      </c>
      <c r="B61" s="3">
        <v>12</v>
      </c>
      <c r="C61" s="3">
        <v>7152</v>
      </c>
      <c r="D61" s="3">
        <v>1.4899957428692989</v>
      </c>
      <c r="E61" s="3">
        <v>0.86628794755447325</v>
      </c>
      <c r="F61" s="3">
        <v>444536</v>
      </c>
      <c r="G61" s="3">
        <v>-0.35483805890356157</v>
      </c>
      <c r="H61" s="3">
        <v>9.5225439424388422E-2</v>
      </c>
    </row>
    <row r="62" spans="1:8" x14ac:dyDescent="0.3">
      <c r="A62" s="2">
        <v>2023</v>
      </c>
      <c r="B62" s="3">
        <v>1</v>
      </c>
      <c r="C62" s="3">
        <v>7139</v>
      </c>
      <c r="D62" s="3">
        <v>0.90459363957597905</v>
      </c>
      <c r="E62" s="3">
        <v>0.9048881494472002</v>
      </c>
      <c r="F62" s="3">
        <v>444356</v>
      </c>
      <c r="G62" s="3">
        <v>-0.99372571387829067</v>
      </c>
      <c r="H62" s="3">
        <v>0.14841079918665795</v>
      </c>
    </row>
    <row r="63" spans="1:8" x14ac:dyDescent="0.3">
      <c r="A63" s="2">
        <v>2023</v>
      </c>
      <c r="B63" s="3">
        <v>2</v>
      </c>
      <c r="C63" s="3">
        <v>7147</v>
      </c>
      <c r="D63" s="3">
        <v>1.174971687429216</v>
      </c>
      <c r="E63" s="3">
        <v>0.94136362868516565</v>
      </c>
      <c r="F63" s="3">
        <v>445442</v>
      </c>
      <c r="G63" s="3">
        <v>-9.3751401785313604E-2</v>
      </c>
      <c r="H63" s="3">
        <v>0.20305982605344286</v>
      </c>
    </row>
    <row r="64" spans="1:8" x14ac:dyDescent="0.3">
      <c r="A64" s="2">
        <v>2023</v>
      </c>
      <c r="B64" s="3">
        <v>3</v>
      </c>
      <c r="C64" s="3">
        <v>7139</v>
      </c>
      <c r="D64" s="3">
        <v>0.69111424541608013</v>
      </c>
      <c r="E64" s="3">
        <v>0.97559516770193078</v>
      </c>
      <c r="F64" s="3">
        <v>446163</v>
      </c>
      <c r="G64" s="3">
        <v>-3.6296420769621474E-2</v>
      </c>
      <c r="H64" s="3">
        <v>0.25900369101870757</v>
      </c>
    </row>
    <row r="65" spans="1:8" x14ac:dyDescent="0.3">
      <c r="A65" s="2">
        <v>2023</v>
      </c>
      <c r="B65" s="3">
        <v>4</v>
      </c>
      <c r="C65" s="3">
        <v>7179</v>
      </c>
      <c r="D65" s="3">
        <v>0.95626494163971731</v>
      </c>
      <c r="E65" s="3">
        <v>1.0074797717129138</v>
      </c>
      <c r="F65" s="3">
        <v>447066</v>
      </c>
      <c r="G65" s="3">
        <v>0.4940791425771307</v>
      </c>
      <c r="H65" s="3">
        <v>0.31605295318559434</v>
      </c>
    </row>
    <row r="66" spans="1:8" x14ac:dyDescent="0.3">
      <c r="A66" s="2">
        <v>2023</v>
      </c>
      <c r="B66" s="3">
        <v>5</v>
      </c>
      <c r="C66" s="3">
        <v>7182</v>
      </c>
      <c r="D66" s="3">
        <v>0.58823529411764497</v>
      </c>
      <c r="E66" s="3">
        <v>1.0368946903139298</v>
      </c>
      <c r="F66" s="3">
        <v>447866</v>
      </c>
      <c r="G66" s="3">
        <v>0.62844188204524976</v>
      </c>
      <c r="H66" s="3">
        <v>0.37399766470503792</v>
      </c>
    </row>
    <row r="67" spans="1:8" x14ac:dyDescent="0.3">
      <c r="A67" s="2">
        <v>2023</v>
      </c>
      <c r="B67" s="3">
        <v>6</v>
      </c>
      <c r="C67" s="3">
        <v>7239</v>
      </c>
      <c r="D67" s="3">
        <v>1.2872533930320396</v>
      </c>
      <c r="E67" s="3">
        <v>1.063713616515372</v>
      </c>
      <c r="F67" s="3">
        <v>448726</v>
      </c>
      <c r="G67" s="3">
        <v>0.67351096194057103</v>
      </c>
      <c r="H67" s="3">
        <v>0.43264024065779189</v>
      </c>
    </row>
    <row r="68" spans="1:8" x14ac:dyDescent="0.3">
      <c r="A68" s="2">
        <v>2023</v>
      </c>
      <c r="B68" s="3">
        <v>7</v>
      </c>
      <c r="C68" s="3">
        <v>7265</v>
      </c>
      <c r="D68" s="3">
        <v>1.5373864430468176</v>
      </c>
      <c r="E68" s="3">
        <v>1.08777908642512</v>
      </c>
      <c r="F68" s="3">
        <v>449515</v>
      </c>
      <c r="G68" s="3">
        <v>0.56106503924995277</v>
      </c>
      <c r="H68" s="3">
        <v>0.491800765861925</v>
      </c>
    </row>
    <row r="69" spans="1:8" x14ac:dyDescent="0.3">
      <c r="A69" s="2">
        <v>2023</v>
      </c>
      <c r="B69" s="3">
        <v>8</v>
      </c>
      <c r="C69" s="3">
        <v>7275</v>
      </c>
      <c r="D69" s="3">
        <v>1.8194541637508665</v>
      </c>
      <c r="E69" s="3">
        <v>1.1089491597466448</v>
      </c>
      <c r="F69" s="3">
        <v>449841</v>
      </c>
      <c r="G69" s="3">
        <v>0.67566055386709678</v>
      </c>
      <c r="H69" s="3">
        <v>0.55131605226892855</v>
      </c>
    </row>
    <row r="70" spans="1:8" x14ac:dyDescent="0.3">
      <c r="A70" s="2">
        <v>2023</v>
      </c>
      <c r="B70" s="3">
        <v>9</v>
      </c>
      <c r="C70" s="3">
        <v>7237</v>
      </c>
      <c r="D70" s="3">
        <v>1.8721846846846857</v>
      </c>
      <c r="E70" s="3">
        <v>1.1271131189165162</v>
      </c>
      <c r="F70" s="3">
        <v>449637</v>
      </c>
      <c r="G70" s="3">
        <v>1.0091093913219273</v>
      </c>
      <c r="H70" s="3">
        <v>0.61102772184927912</v>
      </c>
    </row>
    <row r="71" spans="1:8" x14ac:dyDescent="0.3">
      <c r="A71" s="2">
        <v>2023</v>
      </c>
      <c r="B71" s="3">
        <v>10</v>
      </c>
      <c r="C71" s="3">
        <v>7228</v>
      </c>
      <c r="D71" s="3">
        <v>1.5453779151447078</v>
      </c>
      <c r="E71" s="3">
        <v>1.1422095869965823</v>
      </c>
      <c r="F71" s="3">
        <v>449316</v>
      </c>
      <c r="G71" s="3">
        <v>1.0775522691585993</v>
      </c>
      <c r="H71" s="3">
        <v>0.67078603160828654</v>
      </c>
    </row>
    <row r="72" spans="1:8" x14ac:dyDescent="0.3">
      <c r="A72" s="2">
        <v>2023</v>
      </c>
      <c r="B72" s="3">
        <v>11</v>
      </c>
      <c r="C72" s="3">
        <v>7226</v>
      </c>
      <c r="D72" s="3">
        <v>1.2186580753607013</v>
      </c>
      <c r="E72" s="3">
        <v>1.1542289281296467</v>
      </c>
      <c r="F72" s="3">
        <v>448633</v>
      </c>
      <c r="G72" s="3">
        <v>0.84473166619836171</v>
      </c>
      <c r="H72" s="3">
        <v>0.73046888311164049</v>
      </c>
    </row>
    <row r="73" spans="1:8" x14ac:dyDescent="0.3">
      <c r="A73" s="2">
        <v>2023</v>
      </c>
      <c r="B73" s="3">
        <v>12</v>
      </c>
      <c r="C73" s="3">
        <v>7259</v>
      </c>
      <c r="D73" s="3">
        <v>1.4960850111856772</v>
      </c>
      <c r="E73" s="3">
        <v>1.1631895042590794</v>
      </c>
      <c r="F73" s="3">
        <v>449198</v>
      </c>
      <c r="G73" s="3">
        <v>1.0487339608040713</v>
      </c>
      <c r="H73" s="3">
        <v>0.78998242558041631</v>
      </c>
    </row>
    <row r="74" spans="1:8" x14ac:dyDescent="0.3">
      <c r="A74" s="2">
        <v>2024</v>
      </c>
      <c r="B74" s="3">
        <v>1</v>
      </c>
      <c r="C74" s="3">
        <v>7270</v>
      </c>
      <c r="D74" s="3">
        <v>1.8349908950833438</v>
      </c>
      <c r="E74" s="3">
        <v>1.1691141515745858</v>
      </c>
      <c r="F74" s="3">
        <v>449434</v>
      </c>
      <c r="G74" s="3">
        <v>1.1427774127051205</v>
      </c>
      <c r="H74" s="3">
        <v>0.84924074315118137</v>
      </c>
    </row>
    <row r="75" spans="1:8" x14ac:dyDescent="0.3">
      <c r="A75" s="2">
        <v>2024</v>
      </c>
      <c r="B75" s="3">
        <v>2</v>
      </c>
      <c r="C75" s="3">
        <v>7282</v>
      </c>
      <c r="D75" s="3">
        <v>1.8889044354274631</v>
      </c>
      <c r="E75" s="3">
        <v>1.1720488240094076</v>
      </c>
      <c r="F75" s="3">
        <v>450350</v>
      </c>
      <c r="G75" s="3">
        <v>1.1018269494120547</v>
      </c>
      <c r="H75" s="3">
        <v>0.90817588881711575</v>
      </c>
    </row>
    <row r="76" spans="1:8" x14ac:dyDescent="0.3">
      <c r="A76" s="2">
        <v>2024</v>
      </c>
      <c r="B76" s="3">
        <v>3</v>
      </c>
      <c r="C76" s="3">
        <v>7314</v>
      </c>
      <c r="D76" s="3">
        <v>2.4513237148059863</v>
      </c>
      <c r="E76" s="3">
        <v>1.172085716937308</v>
      </c>
      <c r="F76" s="3">
        <v>451712</v>
      </c>
      <c r="G76" s="3">
        <v>1.2437158616918076</v>
      </c>
      <c r="H76" s="3">
        <v>0.9667403000623408</v>
      </c>
    </row>
    <row r="77" spans="1:8" x14ac:dyDescent="0.3">
      <c r="A77" s="2">
        <v>2024</v>
      </c>
      <c r="B77" s="3">
        <v>4</v>
      </c>
      <c r="C77" s="3">
        <v>7311</v>
      </c>
      <c r="D77" s="3">
        <v>1.8386961972419513</v>
      </c>
      <c r="E77" s="3">
        <v>1.1693668073717325</v>
      </c>
      <c r="F77" s="3">
        <v>452203</v>
      </c>
      <c r="G77" s="3">
        <v>1.1490473442399951</v>
      </c>
      <c r="H77" s="3">
        <v>1.024899862361297</v>
      </c>
    </row>
    <row r="78" spans="1:8" x14ac:dyDescent="0.3">
      <c r="A78" s="2">
        <v>2024</v>
      </c>
      <c r="B78" s="3">
        <v>5</v>
      </c>
      <c r="C78" s="3">
        <v>7296</v>
      </c>
      <c r="D78" s="3">
        <v>1.5873015873015817</v>
      </c>
      <c r="E78" s="3">
        <v>1.1641229082982005</v>
      </c>
      <c r="F78" s="3">
        <v>453236</v>
      </c>
      <c r="G78" s="3">
        <v>1.1990193495375889</v>
      </c>
      <c r="H78" s="3">
        <v>1.0826396956024273</v>
      </c>
    </row>
    <row r="79" spans="1:8" x14ac:dyDescent="0.3">
      <c r="A79" s="2">
        <v>2024</v>
      </c>
      <c r="B79" s="3">
        <v>6</v>
      </c>
      <c r="C79" s="3">
        <v>7289</v>
      </c>
      <c r="D79" s="3">
        <v>0.69070313579222553</v>
      </c>
      <c r="E79" s="3">
        <v>1.1566313139098621</v>
      </c>
      <c r="F79" s="3">
        <v>454552</v>
      </c>
      <c r="G79" s="3">
        <v>1.2983424183131698</v>
      </c>
      <c r="H79" s="3">
        <v>1.1399535410270829</v>
      </c>
    </row>
    <row r="80" spans="1:8" x14ac:dyDescent="0.3">
      <c r="A80" s="2">
        <v>2024</v>
      </c>
      <c r="B80" s="3">
        <v>7</v>
      </c>
      <c r="C80" s="3">
        <v>7286</v>
      </c>
      <c r="D80" s="3">
        <v>0.2890571231934036</v>
      </c>
      <c r="E80" s="3">
        <v>1.147198705808131</v>
      </c>
      <c r="F80" s="3">
        <v>455111</v>
      </c>
      <c r="G80" s="3">
        <v>1.2448972781775813</v>
      </c>
      <c r="H80" s="3">
        <v>1.1968432217970271</v>
      </c>
    </row>
    <row r="81" spans="1:8" x14ac:dyDescent="0.3">
      <c r="A81" s="2">
        <v>2024</v>
      </c>
      <c r="B81" s="3">
        <v>8</v>
      </c>
      <c r="C81" s="3">
        <v>7314</v>
      </c>
      <c r="D81" s="3">
        <v>0.53608247422680666</v>
      </c>
      <c r="E81" s="3">
        <v>1.1360994094709409</v>
      </c>
      <c r="F81" s="3">
        <v>455567</v>
      </c>
      <c r="G81" s="3">
        <v>1.272894200395247</v>
      </c>
      <c r="H81" s="3">
        <v>1.2533215603016128</v>
      </c>
    </row>
    <row r="82" spans="1:8" x14ac:dyDescent="0.3">
      <c r="A82" s="2">
        <v>2024</v>
      </c>
      <c r="B82" s="3">
        <v>9</v>
      </c>
      <c r="C82" s="3">
        <v>7322</v>
      </c>
      <c r="D82" s="3">
        <v>1.1745198286582825</v>
      </c>
      <c r="E82" s="3">
        <v>1.1235481572107664</v>
      </c>
      <c r="F82" s="3">
        <v>454771</v>
      </c>
      <c r="G82" s="3">
        <v>1.1418099489143518</v>
      </c>
      <c r="H82" s="3">
        <v>1.3094047160174418</v>
      </c>
    </row>
    <row r="83" spans="1:8" x14ac:dyDescent="0.3">
      <c r="A83" s="2">
        <v>2024</v>
      </c>
      <c r="B83" s="3">
        <v>10</v>
      </c>
      <c r="C83" s="3">
        <v>7330</v>
      </c>
      <c r="D83" s="3">
        <v>1.4111787493082506</v>
      </c>
      <c r="E83" s="3">
        <v>1.109718013497357</v>
      </c>
      <c r="F83" s="3">
        <v>454927</v>
      </c>
      <c r="G83" s="3">
        <v>1.2487870451975969</v>
      </c>
      <c r="H83" s="3">
        <v>1.3651102076322337</v>
      </c>
    </row>
    <row r="84" spans="1:8" x14ac:dyDescent="0.3">
      <c r="A84" s="2">
        <v>2024</v>
      </c>
      <c r="B84" s="3">
        <v>11</v>
      </c>
      <c r="C84" s="3">
        <v>7311</v>
      </c>
      <c r="D84" s="3">
        <v>1.1763077774702424</v>
      </c>
      <c r="E84" s="3">
        <v>1.094785582499868</v>
      </c>
      <c r="F84" s="3">
        <v>455804</v>
      </c>
      <c r="G84" s="3">
        <v>1.598411173498171</v>
      </c>
      <c r="H84" s="3">
        <v>1.4204439153082145</v>
      </c>
    </row>
    <row r="85" spans="1:8" x14ac:dyDescent="0.3">
      <c r="A85" s="2">
        <v>2024</v>
      </c>
      <c r="B85" s="3">
        <v>12</v>
      </c>
      <c r="C85" s="3">
        <v>7319</v>
      </c>
      <c r="D85" s="3">
        <v>0.82656013224962077</v>
      </c>
      <c r="E85" s="3">
        <v>1.078948403160775</v>
      </c>
      <c r="F85" s="3">
        <v>457400</v>
      </c>
      <c r="G85" s="3">
        <v>1.8259208634054502</v>
      </c>
      <c r="H85" s="3">
        <v>1.4754036412102192</v>
      </c>
    </row>
    <row r="86" spans="1:8" x14ac:dyDescent="0.3">
      <c r="A86" s="2">
        <v>2025</v>
      </c>
      <c r="B86" s="3">
        <v>1</v>
      </c>
      <c r="C86" s="3">
        <v>7299</v>
      </c>
      <c r="D86" s="3">
        <v>0.39889958734524722</v>
      </c>
      <c r="E86" s="3">
        <v>1.0624096756860932</v>
      </c>
      <c r="F86" s="3">
        <v>457380</v>
      </c>
      <c r="G86" s="3">
        <v>1.7680015308143116</v>
      </c>
      <c r="H86" s="3">
        <v>1.5299995463404568</v>
      </c>
    </row>
    <row r="87" spans="1:8" x14ac:dyDescent="0.3">
      <c r="A87" s="2">
        <v>2025</v>
      </c>
      <c r="B87" s="3">
        <v>2</v>
      </c>
      <c r="C87" s="3">
        <v>7328</v>
      </c>
      <c r="D87" s="3">
        <v>0.63169458939851264</v>
      </c>
      <c r="E87" s="3">
        <v>1.0453550733185801</v>
      </c>
      <c r="F87" s="3">
        <v>457809</v>
      </c>
      <c r="G87" s="3">
        <v>1.656267347618523</v>
      </c>
      <c r="H87" s="3">
        <v>1.5842661331748997</v>
      </c>
    </row>
    <row r="88" spans="1:8" x14ac:dyDescent="0.3">
      <c r="A88" s="2">
        <v>2025</v>
      </c>
      <c r="B88" s="3">
        <v>3</v>
      </c>
      <c r="C88" s="3">
        <v>7344</v>
      </c>
      <c r="D88" s="3">
        <v>0.41017227235438103</v>
      </c>
      <c r="E88" s="3">
        <v>1.0279241922115248</v>
      </c>
      <c r="F88" s="3">
        <v>458987</v>
      </c>
      <c r="G88" s="3">
        <v>1.6105394587701882</v>
      </c>
      <c r="H88" s="3">
        <v>1.6382544321051089</v>
      </c>
    </row>
    <row r="89" spans="1:8" x14ac:dyDescent="0.3">
      <c r="A89" s="2">
        <v>2025</v>
      </c>
      <c r="B89" s="3">
        <v>4</v>
      </c>
      <c r="C89" s="3">
        <v>7368</v>
      </c>
      <c r="D89" s="3">
        <v>0.77964710709890195</v>
      </c>
      <c r="E89" s="3">
        <v>1.0102279020957219</v>
      </c>
      <c r="F89" s="3">
        <v>459806</v>
      </c>
      <c r="G89" s="3">
        <v>1.6813245378734853</v>
      </c>
      <c r="H89" s="3">
        <v>1.6920204736069815</v>
      </c>
    </row>
    <row r="90" spans="1:8" x14ac:dyDescent="0.3">
      <c r="A90" s="2">
        <v>2025</v>
      </c>
      <c r="B90" s="3">
        <v>5</v>
      </c>
      <c r="C90" s="3">
        <v>7370</v>
      </c>
      <c r="D90" s="3">
        <v>1.0142543859649189</v>
      </c>
      <c r="E90" s="3">
        <v>0.99233417326308715</v>
      </c>
      <c r="F90" s="3">
        <v>461072</v>
      </c>
      <c r="G90" s="3">
        <v>1.7289006168971666</v>
      </c>
      <c r="H90" s="3">
        <v>1.7456183635054887</v>
      </c>
    </row>
    <row r="91" spans="1:8" x14ac:dyDescent="0.3">
      <c r="A91" s="2">
        <v>2025</v>
      </c>
      <c r="B91" s="3">
        <v>6</v>
      </c>
      <c r="C91" s="3">
        <v>7355</v>
      </c>
      <c r="D91" s="3">
        <v>0.90547400192069194</v>
      </c>
      <c r="E91" s="3">
        <v>0.97429496345032807</v>
      </c>
      <c r="F91" s="3">
        <v>461985</v>
      </c>
      <c r="G91" s="3">
        <v>1.6352364525950902</v>
      </c>
      <c r="H91" s="3">
        <v>1.7991014648522865</v>
      </c>
    </row>
    <row r="92" spans="1:8" x14ac:dyDescent="0.3">
      <c r="A92" s="2">
        <v>2025</v>
      </c>
      <c r="B92" s="3">
        <v>7</v>
      </c>
      <c r="C92" s="3">
        <v>7350</v>
      </c>
      <c r="D92" s="3">
        <v>0.87839692561075822</v>
      </c>
      <c r="E92" s="3">
        <v>0.95616375263114517</v>
      </c>
      <c r="F92" s="3">
        <v>462293</v>
      </c>
      <c r="G92" s="3">
        <v>1.5780765571475897</v>
      </c>
      <c r="H92" s="3">
        <v>1.8525219797444055</v>
      </c>
    </row>
    <row r="93" spans="1:8" x14ac:dyDescent="0.3">
      <c r="A93" s="2">
        <v>2025</v>
      </c>
      <c r="B93" s="3">
        <v>8</v>
      </c>
      <c r="C93" s="3">
        <v>7337</v>
      </c>
      <c r="D93" s="3">
        <v>0.31446540880504248</v>
      </c>
      <c r="E93" s="3">
        <v>0.93798924154579977</v>
      </c>
      <c r="F93" s="3">
        <v>462822</v>
      </c>
      <c r="G93" s="3">
        <v>1.5925209683756769</v>
      </c>
      <c r="H93" s="3">
        <v>1.9059207307641364</v>
      </c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98"/>
  <sheetViews>
    <sheetView topLeftCell="A82" workbookViewId="0">
      <selection activeCell="C93" sqref="C93"/>
    </sheetView>
  </sheetViews>
  <sheetFormatPr baseColWidth="10" defaultColWidth="11.42578125" defaultRowHeight="13.5" x14ac:dyDescent="0.3"/>
  <cols>
    <col min="1" max="1" width="4.42578125" style="2" bestFit="1" customWidth="1"/>
    <col min="2" max="2" width="9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3.71093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ht="67.5" x14ac:dyDescent="0.3">
      <c r="A1" s="1" t="s">
        <v>0</v>
      </c>
      <c r="B1" s="1" t="s">
        <v>1</v>
      </c>
      <c r="C1" s="1" t="s">
        <v>218</v>
      </c>
      <c r="D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</row>
    <row r="2" spans="1:8" x14ac:dyDescent="0.3">
      <c r="A2" s="1">
        <v>2018</v>
      </c>
      <c r="B2" s="8">
        <v>1</v>
      </c>
      <c r="C2" s="8">
        <v>28054.1</v>
      </c>
      <c r="D2" s="8">
        <v>13.077553415793307</v>
      </c>
      <c r="E2" s="8">
        <v>3.4145822027748935</v>
      </c>
      <c r="F2" s="8">
        <v>1795693.96</v>
      </c>
      <c r="G2" s="8">
        <v>11.85483123832336</v>
      </c>
      <c r="H2" s="8">
        <v>3.6600033959187166</v>
      </c>
    </row>
    <row r="3" spans="1:8" x14ac:dyDescent="0.3">
      <c r="A3" s="2">
        <v>2018</v>
      </c>
      <c r="B3" s="8">
        <v>2</v>
      </c>
      <c r="C3" s="8">
        <v>54204.85</v>
      </c>
      <c r="D3" s="8">
        <v>6.8658517855942236</v>
      </c>
      <c r="E3" s="8">
        <v>3.5375008451965733</v>
      </c>
      <c r="F3" s="8">
        <v>3554242.1</v>
      </c>
      <c r="G3" s="8">
        <v>6.5064748589143129</v>
      </c>
      <c r="H3" s="8">
        <v>3.7501405506585805</v>
      </c>
    </row>
    <row r="4" spans="1:8" x14ac:dyDescent="0.3">
      <c r="A4" s="2">
        <v>2018</v>
      </c>
      <c r="B4" s="8">
        <v>3</v>
      </c>
      <c r="C4" s="8">
        <v>78604.240000000005</v>
      </c>
      <c r="D4" s="8">
        <v>2.7236503872838602</v>
      </c>
      <c r="E4" s="8">
        <v>3.6626786795346105</v>
      </c>
      <c r="F4" s="8">
        <v>5459109.9299999997</v>
      </c>
      <c r="G4" s="8">
        <v>4.1304722248526549</v>
      </c>
      <c r="H4" s="8">
        <v>3.8441608605104571</v>
      </c>
    </row>
    <row r="5" spans="1:8" x14ac:dyDescent="0.3">
      <c r="A5" s="2">
        <v>2018</v>
      </c>
      <c r="B5" s="8">
        <v>4</v>
      </c>
      <c r="C5" s="8">
        <v>107322.29</v>
      </c>
      <c r="D5" s="8">
        <v>7.8263674853572995</v>
      </c>
      <c r="E5" s="8">
        <v>3.7884707607204473</v>
      </c>
      <c r="F5" s="8">
        <v>7322880.0999999996</v>
      </c>
      <c r="G5" s="8">
        <v>5.2673642851850611</v>
      </c>
      <c r="H5" s="8">
        <v>3.9413456165899983</v>
      </c>
    </row>
    <row r="6" spans="1:8" x14ac:dyDescent="0.3">
      <c r="A6" s="2">
        <v>2018</v>
      </c>
      <c r="B6" s="8">
        <v>5</v>
      </c>
      <c r="C6" s="8">
        <v>138485.93</v>
      </c>
      <c r="D6" s="8">
        <v>9.0642806700424572</v>
      </c>
      <c r="E6" s="8">
        <v>3.913166933387453</v>
      </c>
      <c r="F6" s="8">
        <v>9317008.7599999998</v>
      </c>
      <c r="G6" s="8">
        <v>5.2505670794004811</v>
      </c>
      <c r="H6" s="8">
        <v>4.0409959927464909</v>
      </c>
    </row>
    <row r="7" spans="1:8" x14ac:dyDescent="0.3">
      <c r="A7" s="2">
        <v>2018</v>
      </c>
      <c r="B7" s="8">
        <v>6</v>
      </c>
      <c r="C7" s="8">
        <v>164714.47</v>
      </c>
      <c r="D7" s="8">
        <v>7.7690187429648727</v>
      </c>
      <c r="E7" s="8">
        <v>4.0353374516637635</v>
      </c>
      <c r="F7" s="8">
        <v>11266649.710000001</v>
      </c>
      <c r="G7" s="8">
        <v>4.9965615888603931</v>
      </c>
      <c r="H7" s="8">
        <v>4.1425052474589856</v>
      </c>
    </row>
    <row r="8" spans="1:8" x14ac:dyDescent="0.3">
      <c r="A8" s="2">
        <v>2018</v>
      </c>
      <c r="B8" s="8">
        <v>7</v>
      </c>
      <c r="C8" s="8">
        <v>192426.09</v>
      </c>
      <c r="D8" s="8">
        <v>7.2701997408025409</v>
      </c>
      <c r="E8" s="8">
        <v>4.1539102859092258</v>
      </c>
      <c r="F8" s="8">
        <v>13175683.73</v>
      </c>
      <c r="G8" s="8">
        <v>4.9893038304352988</v>
      </c>
      <c r="H8" s="8">
        <v>4.2453506371986611</v>
      </c>
    </row>
    <row r="9" spans="1:8" x14ac:dyDescent="0.3">
      <c r="A9" s="2">
        <v>2018</v>
      </c>
      <c r="B9" s="8">
        <v>8</v>
      </c>
      <c r="C9" s="8">
        <v>218330.61</v>
      </c>
      <c r="D9" s="8">
        <v>6.7197055555191509</v>
      </c>
      <c r="E9" s="8">
        <v>4.2680726899066936</v>
      </c>
      <c r="F9" s="8">
        <v>14958733.25</v>
      </c>
      <c r="G9" s="8">
        <v>5.2656821109627217</v>
      </c>
      <c r="H9" s="8">
        <v>4.3490687279048483</v>
      </c>
    </row>
    <row r="10" spans="1:8" x14ac:dyDescent="0.3">
      <c r="A10" s="2">
        <v>2018</v>
      </c>
      <c r="B10" s="8">
        <v>9</v>
      </c>
      <c r="C10" s="8">
        <v>244827.38</v>
      </c>
      <c r="D10" s="8">
        <v>6.0959751783983274</v>
      </c>
      <c r="E10" s="8">
        <v>4.3772283264289431</v>
      </c>
      <c r="F10" s="8">
        <v>16671971.810000001</v>
      </c>
      <c r="G10" s="8">
        <v>4.6727365446177949</v>
      </c>
      <c r="H10" s="8">
        <v>4.4532477489330748</v>
      </c>
    </row>
    <row r="11" spans="1:8" x14ac:dyDescent="0.3">
      <c r="A11" s="2">
        <v>2018</v>
      </c>
      <c r="B11" s="8">
        <v>10</v>
      </c>
      <c r="C11" s="8">
        <v>274654.52</v>
      </c>
      <c r="D11" s="8">
        <v>7.5497465681759968</v>
      </c>
      <c r="E11" s="8">
        <v>4.4809511105310849</v>
      </c>
      <c r="F11" s="8">
        <v>18660037.460000001</v>
      </c>
      <c r="G11" s="8">
        <v>5.2020527400521877</v>
      </c>
      <c r="H11" s="8">
        <v>4.5575395833460242</v>
      </c>
    </row>
    <row r="12" spans="1:8" x14ac:dyDescent="0.3">
      <c r="A12" s="2">
        <v>2018</v>
      </c>
      <c r="B12" s="8">
        <v>11</v>
      </c>
      <c r="C12" s="8">
        <v>298258.33</v>
      </c>
      <c r="D12" s="8">
        <v>4.916139784847906</v>
      </c>
      <c r="E12" s="8">
        <v>4.578934314688504</v>
      </c>
      <c r="F12" s="8">
        <v>20657261.239999998</v>
      </c>
      <c r="G12" s="8">
        <v>5.1465187698384041</v>
      </c>
      <c r="H12" s="8">
        <v>4.6616113564838573</v>
      </c>
    </row>
    <row r="13" spans="1:8" x14ac:dyDescent="0.3">
      <c r="A13" s="2">
        <v>2018</v>
      </c>
      <c r="B13" s="8">
        <v>12</v>
      </c>
      <c r="C13" s="8">
        <v>338319.67</v>
      </c>
      <c r="D13" s="8">
        <v>7.0867661303397167</v>
      </c>
      <c r="E13" s="8">
        <v>4.6710843221722573</v>
      </c>
      <c r="F13" s="8">
        <v>22652191.109999999</v>
      </c>
      <c r="G13" s="8">
        <v>4.6914640770168159</v>
      </c>
      <c r="H13" s="8">
        <v>4.7651749515448421</v>
      </c>
    </row>
    <row r="14" spans="1:8" x14ac:dyDescent="0.3">
      <c r="A14" s="2">
        <v>2019</v>
      </c>
      <c r="B14" s="8">
        <v>1</v>
      </c>
      <c r="C14" s="8">
        <v>33387.24</v>
      </c>
      <c r="D14" s="8">
        <v>19.010198152854652</v>
      </c>
      <c r="E14" s="8">
        <v>4.7573309332999401</v>
      </c>
      <c r="F14" s="8">
        <v>1843444.31</v>
      </c>
      <c r="G14" s="8">
        <v>2.6591585795610717</v>
      </c>
      <c r="H14" s="8">
        <v>4.8679759258531732</v>
      </c>
    </row>
    <row r="15" spans="1:8" x14ac:dyDescent="0.3">
      <c r="A15" s="2">
        <v>2019</v>
      </c>
      <c r="B15" s="8">
        <v>2</v>
      </c>
      <c r="C15" s="8">
        <v>54401.16</v>
      </c>
      <c r="D15" s="8">
        <v>0.36216316436630258</v>
      </c>
      <c r="E15" s="8">
        <v>4.8377717040702697</v>
      </c>
      <c r="F15" s="8">
        <v>3731966.86</v>
      </c>
      <c r="G15" s="8">
        <v>5.0003560534044533</v>
      </c>
      <c r="H15" s="8">
        <v>4.9697547179223136</v>
      </c>
    </row>
    <row r="16" spans="1:8" x14ac:dyDescent="0.3">
      <c r="A16" s="2">
        <v>2019</v>
      </c>
      <c r="B16" s="8">
        <v>3</v>
      </c>
      <c r="C16" s="8">
        <v>83591.98</v>
      </c>
      <c r="D16" s="8">
        <v>6.3453828953756064</v>
      </c>
      <c r="E16" s="8">
        <v>4.9134939729277667</v>
      </c>
      <c r="F16" s="8">
        <v>5706201.7599999998</v>
      </c>
      <c r="G16" s="8">
        <v>4.5262292419159911</v>
      </c>
      <c r="H16" s="8">
        <v>5.0700983761722345</v>
      </c>
    </row>
    <row r="17" spans="1:8" x14ac:dyDescent="0.3">
      <c r="A17" s="2">
        <v>2019</v>
      </c>
      <c r="B17" s="8">
        <v>4</v>
      </c>
      <c r="C17" s="8">
        <v>112520.75</v>
      </c>
      <c r="D17" s="8">
        <v>4.8437840825051426</v>
      </c>
      <c r="E17" s="8">
        <v>4.9852742721683621</v>
      </c>
      <c r="F17" s="8">
        <v>7669657.0300000003</v>
      </c>
      <c r="G17" s="8">
        <v>4.7355265314258155</v>
      </c>
      <c r="H17" s="8">
        <v>5.1685960741156496</v>
      </c>
    </row>
    <row r="18" spans="1:8" x14ac:dyDescent="0.3">
      <c r="A18" s="2">
        <v>2019</v>
      </c>
      <c r="B18" s="8">
        <v>5</v>
      </c>
      <c r="C18" s="8">
        <v>139997.37</v>
      </c>
      <c r="D18" s="8">
        <v>1.0914032927388462</v>
      </c>
      <c r="E18" s="8">
        <v>5.0539885708187109</v>
      </c>
      <c r="F18" s="8">
        <v>9751738.6400000006</v>
      </c>
      <c r="G18" s="8">
        <v>4.6659812306541371</v>
      </c>
      <c r="H18" s="8">
        <v>5.2647992165753923</v>
      </c>
    </row>
    <row r="19" spans="1:8" x14ac:dyDescent="0.3">
      <c r="A19" s="2">
        <v>2019</v>
      </c>
      <c r="B19" s="8">
        <v>6</v>
      </c>
      <c r="C19" s="8">
        <v>168170.52</v>
      </c>
      <c r="D19" s="8">
        <v>2.0982066724313908</v>
      </c>
      <c r="E19" s="8">
        <v>5.1205030121978519</v>
      </c>
      <c r="F19" s="8">
        <v>11694644.039999999</v>
      </c>
      <c r="G19" s="8">
        <v>3.7987719598677305</v>
      </c>
      <c r="H19" s="8">
        <v>5.3582291341004984</v>
      </c>
    </row>
    <row r="20" spans="1:8" x14ac:dyDescent="0.3">
      <c r="A20" s="2">
        <v>2019</v>
      </c>
      <c r="B20" s="8">
        <v>7</v>
      </c>
      <c r="C20" s="8">
        <v>197678.86</v>
      </c>
      <c r="D20" s="8">
        <v>2.7297597742592883</v>
      </c>
      <c r="E20" s="8">
        <v>5.1854085600916235</v>
      </c>
      <c r="F20" s="8">
        <v>13758081.710000001</v>
      </c>
      <c r="G20" s="8">
        <v>4.4202486332753033</v>
      </c>
      <c r="H20" s="8">
        <v>5.4483655726576465</v>
      </c>
    </row>
    <row r="21" spans="1:8" x14ac:dyDescent="0.3">
      <c r="A21" s="2">
        <v>2019</v>
      </c>
      <c r="B21" s="8">
        <v>8</v>
      </c>
      <c r="C21" s="8">
        <v>223049.92</v>
      </c>
      <c r="D21" s="8">
        <v>2.1615429920706086</v>
      </c>
      <c r="E21" s="8">
        <v>5.2490862965956024</v>
      </c>
      <c r="F21" s="8">
        <v>15546222.539999999</v>
      </c>
      <c r="G21" s="8">
        <v>3.9274000022695654</v>
      </c>
      <c r="H21" s="8">
        <v>5.5345799825764157</v>
      </c>
    </row>
    <row r="22" spans="1:8" x14ac:dyDescent="0.3">
      <c r="A22" s="2">
        <v>2019</v>
      </c>
      <c r="B22" s="8">
        <v>9</v>
      </c>
      <c r="C22" s="8">
        <v>250600.7</v>
      </c>
      <c r="D22" s="8">
        <v>2.358118605852022</v>
      </c>
      <c r="E22" s="8">
        <v>5.3117467726396832</v>
      </c>
      <c r="F22" s="8">
        <v>17425193.170000002</v>
      </c>
      <c r="G22" s="8">
        <v>4.5178900767347319</v>
      </c>
      <c r="H22" s="8">
        <v>5.6161724171767053</v>
      </c>
    </row>
    <row r="23" spans="1:8" x14ac:dyDescent="0.3">
      <c r="A23" s="2">
        <v>2019</v>
      </c>
      <c r="B23" s="8">
        <v>10</v>
      </c>
      <c r="C23" s="8">
        <v>286289.5</v>
      </c>
      <c r="D23" s="8">
        <v>4.2362237475647602</v>
      </c>
      <c r="E23" s="8">
        <v>5.373386126424279</v>
      </c>
      <c r="F23" s="8">
        <v>19560469.609999999</v>
      </c>
      <c r="G23" s="8">
        <v>4.8254573546820723</v>
      </c>
      <c r="H23" s="8">
        <v>5.6923313200575612</v>
      </c>
    </row>
    <row r="24" spans="1:8" x14ac:dyDescent="0.3">
      <c r="A24" s="2">
        <v>2019</v>
      </c>
      <c r="B24" s="8">
        <v>11</v>
      </c>
      <c r="C24" s="8">
        <v>316649.01</v>
      </c>
      <c r="D24" s="8">
        <v>6.1660239296585484</v>
      </c>
      <c r="E24" s="8">
        <v>5.433795383082666</v>
      </c>
      <c r="F24" s="8">
        <v>21550482.460000001</v>
      </c>
      <c r="G24" s="8">
        <v>4.3240060220103071</v>
      </c>
      <c r="H24" s="8">
        <v>5.7621688652110539</v>
      </c>
    </row>
    <row r="25" spans="1:8" x14ac:dyDescent="0.3">
      <c r="A25" s="2">
        <v>2019</v>
      </c>
      <c r="B25" s="8">
        <v>12</v>
      </c>
      <c r="C25" s="8">
        <v>352340.73</v>
      </c>
      <c r="D25" s="8">
        <v>4.1443230303458201</v>
      </c>
      <c r="E25" s="8">
        <v>5.4926865981384747</v>
      </c>
      <c r="F25" s="8">
        <v>23727677.84</v>
      </c>
      <c r="G25" s="8">
        <v>4.7478264896203326</v>
      </c>
      <c r="H25" s="8">
        <v>5.8247370270483243</v>
      </c>
    </row>
    <row r="26" spans="1:8" x14ac:dyDescent="0.3">
      <c r="A26" s="2">
        <v>2020</v>
      </c>
      <c r="B26" s="8">
        <v>1</v>
      </c>
      <c r="C26" s="8">
        <v>40503.550000000003</v>
      </c>
      <c r="D26" s="8">
        <v>21.314460254875822</v>
      </c>
      <c r="E26" s="8">
        <v>5.5498226763199598</v>
      </c>
      <c r="F26" s="8">
        <v>1972532.7</v>
      </c>
      <c r="G26" s="8">
        <v>7.0025652144598771</v>
      </c>
      <c r="H26" s="8">
        <v>5.8789879075608464</v>
      </c>
    </row>
    <row r="27" spans="1:8" x14ac:dyDescent="0.3">
      <c r="A27" s="2">
        <v>2020</v>
      </c>
      <c r="B27" s="8">
        <v>2</v>
      </c>
      <c r="C27" s="8">
        <v>57983.95</v>
      </c>
      <c r="D27" s="8">
        <v>6.5858705954064067</v>
      </c>
      <c r="E27" s="8">
        <v>5.6048728859965022</v>
      </c>
      <c r="F27" s="8">
        <v>3973241.71</v>
      </c>
      <c r="G27" s="8">
        <v>6.4650855447306865</v>
      </c>
      <c r="H27" s="8">
        <v>5.9237988232861065</v>
      </c>
    </row>
    <row r="28" spans="1:8" x14ac:dyDescent="0.3">
      <c r="A28" s="2">
        <v>2020</v>
      </c>
      <c r="B28" s="8">
        <v>3</v>
      </c>
      <c r="C28" s="8">
        <v>90109.89</v>
      </c>
      <c r="D28" s="8">
        <v>7.7972910798380424</v>
      </c>
      <c r="E28" s="8">
        <v>5.6586012620359929</v>
      </c>
      <c r="F28" s="8">
        <v>6410777.25</v>
      </c>
      <c r="G28" s="8">
        <v>12.347539039699162</v>
      </c>
      <c r="H28" s="8">
        <v>5.9581251169634584</v>
      </c>
    </row>
    <row r="29" spans="1:8" x14ac:dyDescent="0.3">
      <c r="A29" s="2">
        <v>2020</v>
      </c>
      <c r="B29" s="8">
        <v>4</v>
      </c>
      <c r="C29" s="8">
        <v>114454.06</v>
      </c>
      <c r="D29" s="8">
        <v>1.7181808688619737</v>
      </c>
      <c r="E29" s="8">
        <v>5.7118399641472539</v>
      </c>
      <c r="F29" s="8">
        <v>8631767.3499999996</v>
      </c>
      <c r="G29" s="8">
        <v>12.544372143848005</v>
      </c>
      <c r="H29" s="8">
        <v>5.9809597206879115</v>
      </c>
    </row>
    <row r="30" spans="1:8" x14ac:dyDescent="0.3">
      <c r="A30" s="2">
        <v>2020</v>
      </c>
      <c r="B30" s="8">
        <v>5</v>
      </c>
      <c r="C30" s="8">
        <v>142794.79</v>
      </c>
      <c r="D30" s="8">
        <v>1.9981946803715012</v>
      </c>
      <c r="E30" s="8">
        <v>5.765569672165344</v>
      </c>
      <c r="F30" s="8">
        <v>10629037.4</v>
      </c>
      <c r="G30" s="8">
        <v>8.9963317556673204</v>
      </c>
      <c r="H30" s="8">
        <v>5.9917392758546661</v>
      </c>
    </row>
    <row r="31" spans="1:8" x14ac:dyDescent="0.3">
      <c r="A31" s="2">
        <v>2020</v>
      </c>
      <c r="B31" s="8">
        <v>6</v>
      </c>
      <c r="C31" s="8">
        <v>167093.69</v>
      </c>
      <c r="D31" s="8">
        <v>-0.64032031297756031</v>
      </c>
      <c r="E31" s="8">
        <v>5.8204937284881479</v>
      </c>
      <c r="F31" s="8">
        <v>12831432.84</v>
      </c>
      <c r="G31" s="8">
        <v>9.7205934281690212</v>
      </c>
      <c r="H31" s="8">
        <v>5.9903562163883066</v>
      </c>
    </row>
    <row r="32" spans="1:8" x14ac:dyDescent="0.3">
      <c r="A32" s="2">
        <v>2020</v>
      </c>
      <c r="B32" s="8">
        <v>7</v>
      </c>
      <c r="C32" s="8">
        <v>201871.37</v>
      </c>
      <c r="D32" s="8">
        <v>2.1208691713418437</v>
      </c>
      <c r="E32" s="8">
        <v>5.8770538522502322</v>
      </c>
      <c r="F32" s="8">
        <v>15150981.75</v>
      </c>
      <c r="G32" s="8">
        <v>10.124231483431112</v>
      </c>
      <c r="H32" s="8">
        <v>5.9769116284689607</v>
      </c>
    </row>
    <row r="33" spans="1:8" x14ac:dyDescent="0.3">
      <c r="A33" s="2">
        <v>2020</v>
      </c>
      <c r="B33" s="8">
        <v>8</v>
      </c>
      <c r="C33" s="8">
        <v>230771</v>
      </c>
      <c r="D33" s="8">
        <v>3.4615928129451801</v>
      </c>
      <c r="E33" s="8">
        <v>5.9352430949443962</v>
      </c>
      <c r="F33" s="8">
        <v>17149770.77</v>
      </c>
      <c r="G33" s="8">
        <v>10.31471295277111</v>
      </c>
      <c r="H33" s="8">
        <v>5.951765642527576</v>
      </c>
    </row>
    <row r="34" spans="1:8" x14ac:dyDescent="0.3">
      <c r="A34" s="2">
        <v>2020</v>
      </c>
      <c r="B34" s="8">
        <v>9</v>
      </c>
      <c r="C34" s="8">
        <v>262202.95</v>
      </c>
      <c r="D34" s="8">
        <v>4.6297755752477965</v>
      </c>
      <c r="E34" s="8">
        <v>5.9947936619050415</v>
      </c>
      <c r="F34" s="8">
        <v>19269151.829999998</v>
      </c>
      <c r="G34" s="8">
        <v>10.582141856393523</v>
      </c>
      <c r="H34" s="8">
        <v>5.9155663973183596</v>
      </c>
    </row>
    <row r="35" spans="1:8" x14ac:dyDescent="0.3">
      <c r="A35" s="2">
        <v>2020</v>
      </c>
      <c r="B35" s="8">
        <v>10</v>
      </c>
      <c r="C35" s="8">
        <v>295713.28999999998</v>
      </c>
      <c r="D35" s="8">
        <v>3.2916994860097804</v>
      </c>
      <c r="E35" s="8">
        <v>6.0552659771969877</v>
      </c>
      <c r="F35" s="8">
        <v>21630533.629999999</v>
      </c>
      <c r="G35" s="8">
        <v>10.582895305037621</v>
      </c>
      <c r="H35" s="8">
        <v>5.8692650140476195</v>
      </c>
    </row>
    <row r="36" spans="1:8" x14ac:dyDescent="0.3">
      <c r="A36" s="2">
        <v>2020</v>
      </c>
      <c r="B36" s="8">
        <v>11</v>
      </c>
      <c r="C36" s="8">
        <v>329188.81</v>
      </c>
      <c r="D36" s="8">
        <v>3.96015765215878</v>
      </c>
      <c r="E36" s="8">
        <v>6.1161256719623687</v>
      </c>
      <c r="F36" s="8">
        <v>23922242.829999998</v>
      </c>
      <c r="G36" s="8">
        <v>11.005602191979879</v>
      </c>
      <c r="H36" s="8">
        <v>5.8141366816618776</v>
      </c>
    </row>
    <row r="37" spans="1:8" x14ac:dyDescent="0.3">
      <c r="A37" s="2">
        <v>2020</v>
      </c>
      <c r="B37" s="8">
        <v>12</v>
      </c>
      <c r="C37" s="8">
        <v>375885.77</v>
      </c>
      <c r="D37" s="8">
        <v>6.6824633076056905</v>
      </c>
      <c r="E37" s="8">
        <v>6.1766464630036539</v>
      </c>
      <c r="F37" s="8">
        <v>26514012.649999999</v>
      </c>
      <c r="G37" s="8">
        <v>11.742973032543503</v>
      </c>
      <c r="H37" s="8">
        <v>5.7517839245445304</v>
      </c>
    </row>
    <row r="38" spans="1:8" x14ac:dyDescent="0.3">
      <c r="A38" s="2">
        <v>2021</v>
      </c>
      <c r="B38" s="8">
        <v>1</v>
      </c>
      <c r="C38" s="8">
        <v>37692.120000000003</v>
      </c>
      <c r="D38" s="8">
        <v>-6.9411940434850772</v>
      </c>
      <c r="E38" s="8">
        <v>6.2359523471219376</v>
      </c>
      <c r="F38" s="8">
        <v>1964934.09</v>
      </c>
      <c r="G38" s="8">
        <v>-0.38522099025277701</v>
      </c>
      <c r="H38" s="8">
        <v>5.6841697855171915</v>
      </c>
    </row>
    <row r="39" spans="1:8" x14ac:dyDescent="0.3">
      <c r="A39" s="2">
        <v>2021</v>
      </c>
      <c r="B39" s="8">
        <v>2</v>
      </c>
      <c r="C39" s="8">
        <v>57819.6</v>
      </c>
      <c r="D39" s="8">
        <v>-0.2834405037945853</v>
      </c>
      <c r="E39" s="8">
        <v>6.2932024472880794</v>
      </c>
      <c r="F39" s="8">
        <v>4066806.15</v>
      </c>
      <c r="G39" s="8">
        <v>2.3548640336809479</v>
      </c>
      <c r="H39" s="8">
        <v>5.6136733622006423</v>
      </c>
    </row>
    <row r="40" spans="1:8" x14ac:dyDescent="0.3">
      <c r="A40" s="2">
        <v>2021</v>
      </c>
      <c r="B40" s="8">
        <v>3</v>
      </c>
      <c r="C40" s="8">
        <v>98623.039999999994</v>
      </c>
      <c r="D40" s="8">
        <v>9.4475201334725867</v>
      </c>
      <c r="E40" s="8">
        <v>6.3466408068624807</v>
      </c>
      <c r="F40" s="8">
        <v>6481921.1900000004</v>
      </c>
      <c r="G40" s="8">
        <v>1.1097552952725076</v>
      </c>
      <c r="H40" s="8">
        <v>5.5422522667451251</v>
      </c>
    </row>
    <row r="41" spans="1:8" x14ac:dyDescent="0.3">
      <c r="A41" s="2">
        <v>2021</v>
      </c>
      <c r="B41" s="8">
        <v>4</v>
      </c>
      <c r="C41" s="8">
        <v>130770.49</v>
      </c>
      <c r="D41" s="8">
        <v>14.25587698680153</v>
      </c>
      <c r="E41" s="8">
        <v>6.3940547578894948</v>
      </c>
      <c r="F41" s="8">
        <v>8754733.75</v>
      </c>
      <c r="G41" s="8">
        <v>1.4245796372164721</v>
      </c>
      <c r="H41" s="8">
        <v>5.4716378050975116</v>
      </c>
    </row>
    <row r="42" spans="1:8" x14ac:dyDescent="0.3">
      <c r="A42" s="2">
        <v>2021</v>
      </c>
      <c r="B42" s="8">
        <v>5</v>
      </c>
      <c r="C42" s="8">
        <v>163020.26</v>
      </c>
      <c r="D42" s="8">
        <v>14.164011165953605</v>
      </c>
      <c r="E42" s="8">
        <v>6.4334469712556031</v>
      </c>
      <c r="F42" s="8">
        <v>10984661.060000001</v>
      </c>
      <c r="G42" s="8">
        <v>3.3457748488118</v>
      </c>
      <c r="H42" s="8">
        <v>5.40325347091499</v>
      </c>
    </row>
    <row r="43" spans="1:8" x14ac:dyDescent="0.3">
      <c r="A43" s="2">
        <v>2021</v>
      </c>
      <c r="B43" s="8">
        <v>6</v>
      </c>
      <c r="C43" s="8">
        <v>197322.9</v>
      </c>
      <c r="D43" s="8">
        <v>18.091173879755718</v>
      </c>
      <c r="E43" s="8">
        <v>6.4633660777242934</v>
      </c>
      <c r="F43" s="8">
        <v>13310759.49</v>
      </c>
      <c r="G43" s="8">
        <v>3.735566058575901</v>
      </c>
      <c r="H43" s="8">
        <v>5.3382417121486458</v>
      </c>
    </row>
    <row r="44" spans="1:8" x14ac:dyDescent="0.3">
      <c r="A44" s="2">
        <v>2021</v>
      </c>
      <c r="B44" s="8">
        <v>7</v>
      </c>
      <c r="C44" s="8">
        <v>232024.98</v>
      </c>
      <c r="D44" s="8">
        <v>14.937041344693913</v>
      </c>
      <c r="E44" s="8">
        <v>6.482897552794797</v>
      </c>
      <c r="F44" s="8">
        <v>15564130.710000001</v>
      </c>
      <c r="G44" s="8">
        <v>2.7268791344164933</v>
      </c>
      <c r="H44" s="8">
        <v>5.2776020962896952</v>
      </c>
    </row>
    <row r="45" spans="1:8" x14ac:dyDescent="0.3">
      <c r="A45" s="2">
        <v>2021</v>
      </c>
      <c r="B45" s="8">
        <v>8</v>
      </c>
      <c r="C45" s="8">
        <v>265250.63</v>
      </c>
      <c r="D45" s="8">
        <v>14.941058451885203</v>
      </c>
      <c r="E45" s="8">
        <v>6.4919343586192628</v>
      </c>
      <c r="F45" s="8">
        <v>17636512.440000001</v>
      </c>
      <c r="G45" s="8">
        <v>2.8381817840472667</v>
      </c>
      <c r="H45" s="8">
        <v>5.2222228939089668</v>
      </c>
    </row>
    <row r="46" spans="1:8" x14ac:dyDescent="0.3">
      <c r="A46" s="2">
        <v>2021</v>
      </c>
      <c r="B46" s="8">
        <v>9</v>
      </c>
      <c r="C46" s="8">
        <v>299118.65000000002</v>
      </c>
      <c r="D46" s="8">
        <v>14.079055937395069</v>
      </c>
      <c r="E46" s="8">
        <v>6.4909565506687228</v>
      </c>
      <c r="F46" s="8">
        <v>19808781.57</v>
      </c>
      <c r="G46" s="8">
        <v>2.8004851731971758</v>
      </c>
      <c r="H46" s="8">
        <v>5.1728152420382711</v>
      </c>
    </row>
    <row r="47" spans="1:8" x14ac:dyDescent="0.3">
      <c r="A47" s="2">
        <v>2021</v>
      </c>
      <c r="B47" s="8">
        <v>10</v>
      </c>
      <c r="C47" s="8">
        <v>330378.84000000003</v>
      </c>
      <c r="D47" s="8">
        <v>11.722689230504324</v>
      </c>
      <c r="E47" s="8">
        <v>6.4810309291429071</v>
      </c>
      <c r="F47" s="8">
        <v>22048159.379999999</v>
      </c>
      <c r="G47" s="8">
        <v>1.9307232874772096</v>
      </c>
      <c r="H47" s="8">
        <v>5.1299247192990114</v>
      </c>
    </row>
    <row r="48" spans="1:8" x14ac:dyDescent="0.3">
      <c r="A48" s="2">
        <v>2021</v>
      </c>
      <c r="B48" s="8">
        <v>11</v>
      </c>
      <c r="C48" s="8">
        <v>367467.44</v>
      </c>
      <c r="D48" s="8">
        <v>11.62816864886751</v>
      </c>
      <c r="E48" s="8">
        <v>6.4637512455878472</v>
      </c>
      <c r="F48" s="8">
        <v>24567513.02</v>
      </c>
      <c r="G48" s="8">
        <v>2.6973649359950169</v>
      </c>
      <c r="H48" s="8">
        <v>5.0939321591689222</v>
      </c>
    </row>
    <row r="49" spans="1:8" x14ac:dyDescent="0.3">
      <c r="A49" s="2">
        <v>2021</v>
      </c>
      <c r="B49" s="8">
        <v>12</v>
      </c>
      <c r="C49" s="8">
        <v>400868.43</v>
      </c>
      <c r="D49" s="8">
        <v>6.6463436484972549</v>
      </c>
      <c r="E49" s="8">
        <v>6.4410752555982809</v>
      </c>
      <c r="F49" s="8">
        <v>27301566.27</v>
      </c>
      <c r="G49" s="8">
        <v>2.9703298040781423</v>
      </c>
      <c r="H49" s="8">
        <v>5.0649962283596386</v>
      </c>
    </row>
    <row r="50" spans="1:8" x14ac:dyDescent="0.3">
      <c r="A50" s="2">
        <v>2022</v>
      </c>
      <c r="B50" s="8">
        <v>1</v>
      </c>
      <c r="C50" s="8">
        <v>32765.29</v>
      </c>
      <c r="D50" s="8">
        <v>-13.071246722126538</v>
      </c>
      <c r="E50" s="8">
        <v>6.4153193548663952</v>
      </c>
      <c r="F50" s="8">
        <v>2117469.9300000002</v>
      </c>
      <c r="G50" s="8">
        <v>7.762898550963615</v>
      </c>
      <c r="H50" s="8">
        <v>5.0431091653034086</v>
      </c>
    </row>
    <row r="51" spans="1:8" x14ac:dyDescent="0.3">
      <c r="A51" s="2">
        <v>2022</v>
      </c>
      <c r="B51" s="8">
        <v>2</v>
      </c>
      <c r="C51" s="8">
        <v>63718.96</v>
      </c>
      <c r="D51" s="8">
        <v>10.203045334108163</v>
      </c>
      <c r="E51" s="8">
        <v>6.388814193833884</v>
      </c>
      <c r="F51" s="8">
        <v>4313206.1100000003</v>
      </c>
      <c r="G51" s="8">
        <v>6.0588075977017208</v>
      </c>
      <c r="H51" s="8">
        <v>5.0281177454863499</v>
      </c>
    </row>
    <row r="52" spans="1:8" x14ac:dyDescent="0.3">
      <c r="A52" s="2">
        <v>2022</v>
      </c>
      <c r="B52" s="8">
        <v>3</v>
      </c>
      <c r="C52" s="8">
        <v>100000.14</v>
      </c>
      <c r="D52" s="8">
        <v>1.3963268623640168</v>
      </c>
      <c r="E52" s="8">
        <v>6.3625371891870941</v>
      </c>
      <c r="F52" s="8">
        <v>6806508.5</v>
      </c>
      <c r="G52" s="8">
        <v>5.0075787792785542</v>
      </c>
      <c r="H52" s="8">
        <v>5.0200576186574732</v>
      </c>
    </row>
    <row r="53" spans="1:8" x14ac:dyDescent="0.3">
      <c r="A53" s="2">
        <v>2022</v>
      </c>
      <c r="B53" s="8">
        <v>4</v>
      </c>
      <c r="C53" s="8">
        <v>133882.72</v>
      </c>
      <c r="D53" s="8">
        <v>2.3799176710280756</v>
      </c>
      <c r="E53" s="8">
        <v>6.3377306347748927</v>
      </c>
      <c r="F53" s="8">
        <v>9051650.7599999998</v>
      </c>
      <c r="G53" s="8">
        <v>3.3915024543150762</v>
      </c>
      <c r="H53" s="8">
        <v>5.0190360102499723</v>
      </c>
    </row>
    <row r="54" spans="1:8" x14ac:dyDescent="0.3">
      <c r="A54" s="2">
        <v>2022</v>
      </c>
      <c r="B54" s="8">
        <v>5</v>
      </c>
      <c r="C54" s="8">
        <v>167702.35999999999</v>
      </c>
      <c r="D54" s="8">
        <v>2.8720970019309178</v>
      </c>
      <c r="E54" s="8">
        <v>6.3152919487290058</v>
      </c>
      <c r="F54" s="8">
        <v>11493755.35</v>
      </c>
      <c r="G54" s="8">
        <v>4.6345926125461956</v>
      </c>
      <c r="H54" s="8">
        <v>5.0251592791109712</v>
      </c>
    </row>
    <row r="55" spans="1:8" x14ac:dyDescent="0.3">
      <c r="A55" s="2">
        <v>2022</v>
      </c>
      <c r="B55" s="8">
        <v>6</v>
      </c>
      <c r="C55" s="8">
        <v>204711.85</v>
      </c>
      <c r="D55" s="8">
        <v>3.7445983208233891</v>
      </c>
      <c r="E55" s="8">
        <v>6.2958437010586756</v>
      </c>
      <c r="F55" s="8">
        <v>13907954.539999999</v>
      </c>
      <c r="G55" s="8">
        <v>4.4865587906434357</v>
      </c>
      <c r="H55" s="8">
        <v>5.0384207609239873</v>
      </c>
    </row>
    <row r="56" spans="1:8" x14ac:dyDescent="0.3">
      <c r="A56" s="2">
        <v>2022</v>
      </c>
      <c r="B56" s="8">
        <v>7</v>
      </c>
      <c r="C56" s="8">
        <v>239482.19</v>
      </c>
      <c r="D56" s="8">
        <v>3.213968599415451</v>
      </c>
      <c r="E56" s="8">
        <v>6.2797693510129502</v>
      </c>
      <c r="F56" s="8">
        <v>16202484.810000001</v>
      </c>
      <c r="G56" s="8">
        <v>4.1014439668632052</v>
      </c>
      <c r="H56" s="8">
        <v>5.0587866686873593</v>
      </c>
    </row>
    <row r="57" spans="1:8" x14ac:dyDescent="0.3">
      <c r="A57" s="2">
        <v>2022</v>
      </c>
      <c r="B57" s="8">
        <v>8</v>
      </c>
      <c r="C57" s="8">
        <v>276159.65999999997</v>
      </c>
      <c r="D57" s="8">
        <v>4.1127253873063152</v>
      </c>
      <c r="E57" s="8">
        <v>6.2672751880228059</v>
      </c>
      <c r="F57" s="8">
        <v>18389946.960000001</v>
      </c>
      <c r="G57" s="8">
        <v>4.2720153577030073</v>
      </c>
      <c r="H57" s="8">
        <v>5.0861848916514898</v>
      </c>
    </row>
    <row r="58" spans="1:8" x14ac:dyDescent="0.3">
      <c r="A58" s="2">
        <v>2022</v>
      </c>
      <c r="B58" s="8">
        <v>9</v>
      </c>
      <c r="C58" s="8">
        <v>310352.02</v>
      </c>
      <c r="D58" s="8">
        <v>3.7554896694004247</v>
      </c>
      <c r="E58" s="8">
        <v>6.2583545986892473</v>
      </c>
      <c r="F58" s="8">
        <v>20661775.370000001</v>
      </c>
      <c r="G58" s="8">
        <v>4.3061396632887439</v>
      </c>
      <c r="H58" s="8">
        <v>5.1204768369347109</v>
      </c>
    </row>
    <row r="59" spans="1:8" x14ac:dyDescent="0.3">
      <c r="A59" s="2">
        <v>2022</v>
      </c>
      <c r="B59" s="8">
        <v>10</v>
      </c>
      <c r="C59" s="8">
        <v>345442.01</v>
      </c>
      <c r="D59" s="8">
        <v>4.5593628211782589</v>
      </c>
      <c r="E59" s="8">
        <v>6.2528513480993402</v>
      </c>
      <c r="F59" s="8">
        <v>22995425.84</v>
      </c>
      <c r="G59" s="8">
        <v>4.2963516530965862</v>
      </c>
      <c r="H59" s="8">
        <v>5.1614673721043856</v>
      </c>
    </row>
    <row r="60" spans="1:8" x14ac:dyDescent="0.3">
      <c r="A60" s="2">
        <v>2022</v>
      </c>
      <c r="B60" s="8">
        <v>11</v>
      </c>
      <c r="C60" s="8">
        <v>381585.25</v>
      </c>
      <c r="D60" s="8">
        <v>3.841921341384702</v>
      </c>
      <c r="E60" s="8">
        <v>6.2504353912756159</v>
      </c>
      <c r="F60" s="8">
        <v>25577769.219999999</v>
      </c>
      <c r="G60" s="8">
        <v>4.1121630796636444</v>
      </c>
      <c r="H60" s="8">
        <v>5.2089048135352618</v>
      </c>
    </row>
    <row r="61" spans="1:8" x14ac:dyDescent="0.3">
      <c r="A61" s="2">
        <v>2022</v>
      </c>
      <c r="B61" s="8">
        <v>12</v>
      </c>
      <c r="C61" s="8">
        <v>417540.16</v>
      </c>
      <c r="D61" s="8">
        <v>4.1589032092150591</v>
      </c>
      <c r="E61" s="8">
        <v>6.2506590798706787</v>
      </c>
      <c r="F61" s="8">
        <v>28295121.960000001</v>
      </c>
      <c r="G61" s="8">
        <v>3.6391893423776134</v>
      </c>
      <c r="H61" s="8">
        <v>5.2624774001216004</v>
      </c>
    </row>
    <row r="62" spans="1:8" x14ac:dyDescent="0.3">
      <c r="A62" s="2">
        <v>2023</v>
      </c>
      <c r="B62" s="8">
        <v>1</v>
      </c>
      <c r="C62" s="8">
        <v>37543.82</v>
      </c>
      <c r="D62" s="8">
        <v>14.584122405142752</v>
      </c>
      <c r="E62" s="8">
        <v>6.2529075076170031</v>
      </c>
      <c r="F62" s="8">
        <v>2253499.48</v>
      </c>
      <c r="G62" s="8">
        <v>6.4241549819788801</v>
      </c>
      <c r="H62" s="8">
        <v>5.3217972081372551</v>
      </c>
    </row>
    <row r="63" spans="1:8" x14ac:dyDescent="0.3">
      <c r="A63" s="2">
        <v>2023</v>
      </c>
      <c r="B63" s="8">
        <v>2</v>
      </c>
      <c r="C63" s="8">
        <v>70634.98</v>
      </c>
      <c r="D63" s="8">
        <v>10.85394362996508</v>
      </c>
      <c r="E63" s="8">
        <v>6.2564205074227104</v>
      </c>
      <c r="F63" s="8">
        <v>4556678.63</v>
      </c>
      <c r="G63" s="8">
        <v>5.6448153366823295</v>
      </c>
      <c r="H63" s="8">
        <v>5.3863635855187351</v>
      </c>
    </row>
    <row r="64" spans="1:8" x14ac:dyDescent="0.3">
      <c r="A64" s="2">
        <v>2023</v>
      </c>
      <c r="B64" s="8">
        <v>3</v>
      </c>
      <c r="C64" s="8">
        <v>107174.61</v>
      </c>
      <c r="D64" s="8">
        <v>7.174459955756074</v>
      </c>
      <c r="E64" s="8">
        <v>6.2610164687860292</v>
      </c>
      <c r="F64" s="8">
        <v>7142360.7599999998</v>
      </c>
      <c r="G64" s="8">
        <v>4.9342810634850354</v>
      </c>
      <c r="H64" s="8">
        <v>5.455752432825733</v>
      </c>
    </row>
    <row r="65" spans="1:8" x14ac:dyDescent="0.3">
      <c r="A65" s="2">
        <v>2023</v>
      </c>
      <c r="B65" s="8">
        <v>4</v>
      </c>
      <c r="C65" s="8">
        <v>139543.25</v>
      </c>
      <c r="D65" s="8">
        <v>4.2279765454421581</v>
      </c>
      <c r="E65" s="8">
        <v>6.2668330536442527</v>
      </c>
      <c r="F65" s="8">
        <v>9446477.0099999998</v>
      </c>
      <c r="G65" s="8">
        <v>4.3619253600102548</v>
      </c>
      <c r="H65" s="8">
        <v>5.5295575986562158</v>
      </c>
    </row>
    <row r="66" spans="1:8" x14ac:dyDescent="0.3">
      <c r="A66" s="2">
        <v>2023</v>
      </c>
      <c r="B66" s="8">
        <v>5</v>
      </c>
      <c r="C66" s="8">
        <v>179378.21</v>
      </c>
      <c r="D66" s="8">
        <v>6.9622454925500232</v>
      </c>
      <c r="E66" s="8">
        <v>6.2740713575101568</v>
      </c>
      <c r="F66" s="8">
        <v>12069308.33</v>
      </c>
      <c r="G66" s="8">
        <v>5.007527674582013</v>
      </c>
      <c r="H66" s="8">
        <v>5.6073367183186127</v>
      </c>
    </row>
    <row r="67" spans="1:8" x14ac:dyDescent="0.3">
      <c r="A67" s="2">
        <v>2023</v>
      </c>
      <c r="B67" s="8">
        <v>6</v>
      </c>
      <c r="C67" s="8">
        <v>216993.02</v>
      </c>
      <c r="D67" s="8">
        <v>5.9992472345885117</v>
      </c>
      <c r="E67" s="8">
        <v>6.2827908886390036</v>
      </c>
      <c r="F67" s="8">
        <v>14579690.57</v>
      </c>
      <c r="G67" s="8">
        <v>4.8298693245513169</v>
      </c>
      <c r="H67" s="8">
        <v>5.6885663415492251</v>
      </c>
    </row>
    <row r="68" spans="1:8" x14ac:dyDescent="0.3">
      <c r="A68" s="2">
        <v>2023</v>
      </c>
      <c r="B68" s="8">
        <v>7</v>
      </c>
      <c r="C68" s="8">
        <v>254002.66</v>
      </c>
      <c r="D68" s="8">
        <v>6.0632776074078798</v>
      </c>
      <c r="E68" s="8">
        <v>6.2930989451565464</v>
      </c>
      <c r="F68" s="8">
        <v>17018897.190000001</v>
      </c>
      <c r="G68" s="8">
        <v>5.0388097231612194</v>
      </c>
      <c r="H68" s="8">
        <v>5.7726813646785411</v>
      </c>
    </row>
    <row r="69" spans="1:8" x14ac:dyDescent="0.3">
      <c r="A69" s="2">
        <v>2023</v>
      </c>
      <c r="B69" s="8">
        <v>8</v>
      </c>
      <c r="C69" s="8">
        <v>289467.44</v>
      </c>
      <c r="D69" s="8">
        <v>4.8188718077071924</v>
      </c>
      <c r="E69" s="8">
        <v>6.3050831346570062</v>
      </c>
      <c r="F69" s="8">
        <v>19352970.960000001</v>
      </c>
      <c r="G69" s="8">
        <v>5.2366872079330884</v>
      </c>
      <c r="H69" s="8">
        <v>5.8590570522997556</v>
      </c>
    </row>
    <row r="70" spans="1:8" x14ac:dyDescent="0.3">
      <c r="A70" s="2">
        <v>2023</v>
      </c>
      <c r="B70" s="8">
        <v>9</v>
      </c>
      <c r="C70" s="8">
        <v>325232.02</v>
      </c>
      <c r="D70" s="8">
        <v>4.7945555501781589</v>
      </c>
      <c r="E70" s="8">
        <v>6.3188151049194818</v>
      </c>
      <c r="F70" s="8">
        <v>21748426</v>
      </c>
      <c r="G70" s="8">
        <v>5.2592316513989879</v>
      </c>
      <c r="H70" s="8">
        <v>5.9470177056976254</v>
      </c>
    </row>
    <row r="71" spans="1:8" x14ac:dyDescent="0.3">
      <c r="A71" s="2">
        <v>2023</v>
      </c>
      <c r="B71" s="8">
        <v>10</v>
      </c>
      <c r="C71" s="8">
        <v>363850.88</v>
      </c>
      <c r="D71" s="8">
        <v>5.3290767964209174</v>
      </c>
      <c r="E71" s="8">
        <v>6.3342632946031463</v>
      </c>
      <c r="F71" s="8">
        <v>24315694.640000001</v>
      </c>
      <c r="G71" s="8">
        <v>5.7414409682443157</v>
      </c>
      <c r="H71" s="8">
        <v>6.0358444060288274</v>
      </c>
    </row>
    <row r="72" spans="1:8" x14ac:dyDescent="0.3">
      <c r="A72" s="2">
        <v>2023</v>
      </c>
      <c r="B72" s="8">
        <v>11</v>
      </c>
      <c r="C72" s="8">
        <v>401761.56</v>
      </c>
      <c r="D72" s="8">
        <v>5.2874973547850646</v>
      </c>
      <c r="E72" s="8">
        <v>6.3512902910092048</v>
      </c>
      <c r="F72" s="8">
        <v>27042344.07</v>
      </c>
      <c r="G72" s="8">
        <v>5.7259678801652836</v>
      </c>
      <c r="H72" s="8">
        <v>6.1247704715296001</v>
      </c>
    </row>
    <row r="73" spans="1:8" x14ac:dyDescent="0.3">
      <c r="A73" s="2">
        <v>2023</v>
      </c>
      <c r="B73" s="8">
        <v>12</v>
      </c>
      <c r="C73" s="8">
        <v>442146.18</v>
      </c>
      <c r="D73" s="8">
        <v>5.8930906191155374</v>
      </c>
      <c r="E73" s="8">
        <v>6.3696888768209323</v>
      </c>
      <c r="F73" s="8">
        <v>29725384.460000001</v>
      </c>
      <c r="G73" s="8">
        <v>5.0548023861566094</v>
      </c>
      <c r="H73" s="8">
        <v>6.2130087757530026</v>
      </c>
    </row>
    <row r="74" spans="1:8" x14ac:dyDescent="0.3">
      <c r="A74" s="2">
        <v>2024</v>
      </c>
      <c r="B74" s="8">
        <v>1</v>
      </c>
      <c r="C74" s="8">
        <v>37645.129999999997</v>
      </c>
      <c r="D74" s="8">
        <v>0.26984467749950891</v>
      </c>
      <c r="E74" s="8">
        <v>6.3891779602121437</v>
      </c>
      <c r="F74" s="8">
        <v>2427536.96</v>
      </c>
      <c r="G74" s="8">
        <v>7.7229873600858312</v>
      </c>
      <c r="H74" s="8">
        <v>6.2997444976276933</v>
      </c>
    </row>
    <row r="75" spans="1:8" x14ac:dyDescent="0.3">
      <c r="A75" s="2">
        <v>2024</v>
      </c>
      <c r="B75" s="8">
        <v>2</v>
      </c>
      <c r="C75" s="8">
        <v>76373.919999999998</v>
      </c>
      <c r="D75" s="8">
        <v>8.1247846322034754</v>
      </c>
      <c r="E75" s="8">
        <v>6.4094433522554244</v>
      </c>
      <c r="F75" s="8">
        <v>5074500.8899999997</v>
      </c>
      <c r="G75" s="8">
        <v>11.364028540235239</v>
      </c>
      <c r="H75" s="8">
        <v>6.3840823850830537</v>
      </c>
    </row>
    <row r="76" spans="1:8" x14ac:dyDescent="0.3">
      <c r="A76" s="2">
        <v>2024</v>
      </c>
      <c r="B76" s="8">
        <v>3</v>
      </c>
      <c r="C76" s="8">
        <v>111811.45</v>
      </c>
      <c r="D76" s="8">
        <v>4.3264351510119869</v>
      </c>
      <c r="E76" s="8">
        <v>6.4297459103231693</v>
      </c>
      <c r="F76" s="8">
        <v>7582890.3899999997</v>
      </c>
      <c r="G76" s="8">
        <v>6.1678434456452713</v>
      </c>
      <c r="H76" s="8">
        <v>6.4652260223583564</v>
      </c>
    </row>
    <row r="77" spans="1:8" x14ac:dyDescent="0.3">
      <c r="A77" s="2">
        <v>2024</v>
      </c>
      <c r="B77" s="8">
        <v>4</v>
      </c>
      <c r="C77" s="8">
        <v>154569.79999999999</v>
      </c>
      <c r="D77" s="8">
        <v>10.768381845771824</v>
      </c>
      <c r="E77" s="8">
        <v>6.4494656127099939</v>
      </c>
      <c r="F77" s="8">
        <v>10334434.23</v>
      </c>
      <c r="G77" s="8">
        <v>9.3998770024000819</v>
      </c>
      <c r="H77" s="8">
        <v>6.5427248232869815</v>
      </c>
    </row>
    <row r="78" spans="1:8" x14ac:dyDescent="0.3">
      <c r="A78" s="2">
        <v>2024</v>
      </c>
      <c r="B78" s="8">
        <v>5</v>
      </c>
      <c r="C78" s="8">
        <v>194242.6</v>
      </c>
      <c r="D78" s="8">
        <v>8.2866196512943358</v>
      </c>
      <c r="E78" s="8">
        <v>6.4678363744633378</v>
      </c>
      <c r="F78" s="8">
        <v>13134811.279999999</v>
      </c>
      <c r="G78" s="8">
        <v>8.8282022537409013</v>
      </c>
      <c r="H78" s="8">
        <v>6.6161075501344833</v>
      </c>
    </row>
    <row r="79" spans="1:8" x14ac:dyDescent="0.3">
      <c r="A79" s="2">
        <v>2024</v>
      </c>
      <c r="B79" s="8">
        <v>6</v>
      </c>
      <c r="C79" s="8">
        <v>233718.79</v>
      </c>
      <c r="D79" s="8">
        <v>7.7079760445750933</v>
      </c>
      <c r="E79" s="8">
        <v>6.4843920353690487</v>
      </c>
      <c r="F79" s="8">
        <v>15727385.49</v>
      </c>
      <c r="G79" s="8">
        <v>7.871874334298723</v>
      </c>
      <c r="H79" s="8">
        <v>6.6851013785121864</v>
      </c>
    </row>
    <row r="80" spans="1:8" x14ac:dyDescent="0.3">
      <c r="A80" s="2">
        <v>2024</v>
      </c>
      <c r="B80" s="8">
        <v>7</v>
      </c>
      <c r="C80" s="8">
        <v>276666.2</v>
      </c>
      <c r="D80" s="8">
        <v>8.9225601023233523</v>
      </c>
      <c r="E80" s="8">
        <v>6.4987927396071967</v>
      </c>
      <c r="F80" s="8">
        <v>18549266.370000001</v>
      </c>
      <c r="G80" s="8">
        <v>8.9921759495628084</v>
      </c>
      <c r="H80" s="8">
        <v>6.7495871017191647</v>
      </c>
    </row>
    <row r="81" spans="1:8" x14ac:dyDescent="0.3">
      <c r="A81" s="2">
        <v>2024</v>
      </c>
      <c r="B81" s="8">
        <v>8</v>
      </c>
      <c r="C81" s="8">
        <v>314378.46999999997</v>
      </c>
      <c r="D81" s="8">
        <v>8.6058141806898867</v>
      </c>
      <c r="E81" s="8">
        <v>6.5107836024696031</v>
      </c>
      <c r="F81" s="8">
        <v>20953345.390000001</v>
      </c>
      <c r="G81" s="8">
        <v>8.2693992219993397</v>
      </c>
      <c r="H81" s="8">
        <v>6.8095279278430905</v>
      </c>
    </row>
    <row r="82" spans="1:8" x14ac:dyDescent="0.3">
      <c r="A82" s="2">
        <v>2024</v>
      </c>
      <c r="B82" s="8">
        <v>9</v>
      </c>
      <c r="C82" s="8">
        <v>350826.33</v>
      </c>
      <c r="D82" s="8">
        <v>7.8695541724335794</v>
      </c>
      <c r="E82" s="8">
        <v>6.5202780564260561</v>
      </c>
      <c r="F82" s="8">
        <v>23424444.989999998</v>
      </c>
      <c r="G82" s="8">
        <v>7.7063921315501105</v>
      </c>
      <c r="H82" s="8">
        <v>6.8650428003082915</v>
      </c>
    </row>
    <row r="83" spans="1:8" x14ac:dyDescent="0.3">
      <c r="A83" s="2">
        <v>2024</v>
      </c>
      <c r="B83" s="8">
        <v>10</v>
      </c>
      <c r="C83" s="8">
        <v>391692.02</v>
      </c>
      <c r="D83" s="8">
        <v>7.6517995504092218</v>
      </c>
      <c r="E83" s="8">
        <v>6.5273350221809423</v>
      </c>
      <c r="F83" s="8">
        <v>26349672.390000001</v>
      </c>
      <c r="G83" s="8">
        <v>8.364876184347402</v>
      </c>
      <c r="H83" s="8">
        <v>6.916352042490078</v>
      </c>
    </row>
    <row r="84" spans="1:8" x14ac:dyDescent="0.3">
      <c r="A84" s="2">
        <v>2024</v>
      </c>
      <c r="B84" s="8">
        <v>11</v>
      </c>
      <c r="C84" s="8">
        <v>436120.43</v>
      </c>
      <c r="D84" s="8">
        <v>8.5520551045251914</v>
      </c>
      <c r="E84" s="8">
        <v>6.532107120168928</v>
      </c>
      <c r="F84" s="8">
        <v>29119380.32</v>
      </c>
      <c r="G84" s="8">
        <v>7.6806812479847331</v>
      </c>
      <c r="H84" s="8">
        <v>6.9637344048006531</v>
      </c>
    </row>
    <row r="85" spans="1:8" x14ac:dyDescent="0.3">
      <c r="A85" s="2">
        <v>2024</v>
      </c>
      <c r="B85" s="8">
        <v>12</v>
      </c>
      <c r="C85" s="8">
        <v>473719.67</v>
      </c>
      <c r="D85" s="8">
        <v>7.140961842076754</v>
      </c>
      <c r="E85" s="8">
        <v>6.5348250586391403</v>
      </c>
      <c r="F85" s="8">
        <v>32060840.890000001</v>
      </c>
      <c r="G85" s="8">
        <v>7.8567745125137423</v>
      </c>
      <c r="H85" s="8">
        <v>7.0075692296065162</v>
      </c>
    </row>
    <row r="86" spans="1:8" x14ac:dyDescent="0.3">
      <c r="A86" s="2">
        <v>2025</v>
      </c>
      <c r="B86" s="8">
        <v>1</v>
      </c>
      <c r="C86" s="8">
        <v>40002.94</v>
      </c>
      <c r="D86" s="8">
        <v>6.2632537063891158</v>
      </c>
      <c r="E86" s="8">
        <v>6.5358598200062872</v>
      </c>
      <c r="F86" s="8">
        <v>2685473.13</v>
      </c>
      <c r="G86" s="8">
        <v>10.625427099573393</v>
      </c>
      <c r="H86" s="8">
        <v>7.0482856472493882</v>
      </c>
    </row>
    <row r="87" spans="1:8" x14ac:dyDescent="0.3">
      <c r="A87" s="2">
        <v>2025</v>
      </c>
      <c r="B87" s="8">
        <v>2</v>
      </c>
      <c r="C87" s="8">
        <v>79048.34</v>
      </c>
      <c r="D87" s="8">
        <v>3.5017450983267473</v>
      </c>
      <c r="E87" s="8">
        <v>6.53562447951726</v>
      </c>
      <c r="F87" s="8">
        <v>5324633.53</v>
      </c>
      <c r="G87" s="8">
        <v>4.9292067421432773</v>
      </c>
      <c r="H87" s="8">
        <v>7.0863717606600822</v>
      </c>
    </row>
    <row r="88" spans="1:8" x14ac:dyDescent="0.3">
      <c r="A88" s="2">
        <v>2025</v>
      </c>
      <c r="B88" s="8">
        <v>3</v>
      </c>
      <c r="C88" s="8">
        <v>120693.83</v>
      </c>
      <c r="D88" s="8">
        <v>7.9440701287748272</v>
      </c>
      <c r="E88" s="8">
        <v>6.5345131814388377</v>
      </c>
      <c r="F88" s="8">
        <v>8068987.3300000001</v>
      </c>
      <c r="G88" s="8">
        <v>6.4104439731984542</v>
      </c>
      <c r="H88" s="8">
        <v>7.122564085370267</v>
      </c>
    </row>
    <row r="89" spans="1:8" x14ac:dyDescent="0.3">
      <c r="A89" s="2">
        <v>2025</v>
      </c>
      <c r="B89" s="8">
        <v>4</v>
      </c>
      <c r="C89" s="8">
        <v>162322.98000000001</v>
      </c>
      <c r="D89" s="8">
        <v>5.015973366077997</v>
      </c>
      <c r="E89" s="8">
        <v>6.5327093839696619</v>
      </c>
      <c r="F89" s="8">
        <v>10863543.93</v>
      </c>
      <c r="G89" s="8">
        <v>5.1198709888156113</v>
      </c>
      <c r="H89" s="8">
        <v>7.1574493337853253</v>
      </c>
    </row>
    <row r="90" spans="1:8" x14ac:dyDescent="0.3">
      <c r="A90" s="2">
        <v>2025</v>
      </c>
      <c r="B90" s="8">
        <v>5</v>
      </c>
      <c r="C90" s="8">
        <v>205876.69999999998</v>
      </c>
      <c r="D90" s="8">
        <v>5.9894688394821705</v>
      </c>
      <c r="E90" s="8">
        <v>6.5304944312074964</v>
      </c>
      <c r="F90" s="8">
        <v>13789419.84991</v>
      </c>
      <c r="G90" s="8">
        <v>4.983768369072461</v>
      </c>
      <c r="H90" s="8">
        <v>7.191564765525075</v>
      </c>
    </row>
    <row r="91" spans="1:8" x14ac:dyDescent="0.3">
      <c r="A91" s="2">
        <v>2025</v>
      </c>
      <c r="B91" s="8">
        <v>6</v>
      </c>
      <c r="C91" s="8">
        <v>247571.01</v>
      </c>
      <c r="D91" s="8">
        <v>5.9268747711726633</v>
      </c>
      <c r="E91" s="8">
        <v>6.5280443383599742</v>
      </c>
      <c r="F91" s="8">
        <v>16612739.550199999</v>
      </c>
      <c r="G91" s="8">
        <v>5.6293785178912037</v>
      </c>
      <c r="H91" s="8">
        <v>7.2253061417131548</v>
      </c>
    </row>
    <row r="92" spans="1:8" x14ac:dyDescent="0.3">
      <c r="A92" s="2">
        <v>2025</v>
      </c>
      <c r="B92" s="8">
        <v>7</v>
      </c>
      <c r="C92" s="8">
        <v>290867.68</v>
      </c>
      <c r="D92" s="8">
        <v>5.1330737184375863</v>
      </c>
      <c r="E92" s="8">
        <v>6.5254975494130791</v>
      </c>
      <c r="F92" s="8">
        <v>19544189.612980001</v>
      </c>
      <c r="G92" s="8">
        <v>5.363679744170935</v>
      </c>
      <c r="H92" s="8">
        <v>7.2589159042790046</v>
      </c>
    </row>
    <row r="93" spans="1:8" x14ac:dyDescent="0.3">
      <c r="B93" s="8"/>
      <c r="C93" s="8"/>
      <c r="D93" s="8"/>
      <c r="E93" s="8"/>
      <c r="F93" s="8"/>
      <c r="G93" s="8"/>
      <c r="H93" s="8"/>
    </row>
    <row r="94" spans="1:8" x14ac:dyDescent="0.3">
      <c r="B94" s="8"/>
      <c r="C94" s="8"/>
      <c r="D94" s="8"/>
      <c r="E94" s="8"/>
      <c r="F94" s="8"/>
      <c r="G94" s="8"/>
      <c r="H94" s="8"/>
    </row>
    <row r="95" spans="1:8" x14ac:dyDescent="0.3">
      <c r="B95" s="8"/>
      <c r="C95" s="8"/>
      <c r="D95" s="8"/>
      <c r="E95" s="8"/>
      <c r="F95" s="8"/>
      <c r="G95" s="8"/>
      <c r="H95" s="8"/>
    </row>
    <row r="96" spans="1:8" x14ac:dyDescent="0.3">
      <c r="B96" s="8"/>
      <c r="C96" s="8"/>
      <c r="D96" s="8"/>
      <c r="E96" s="8"/>
      <c r="F96" s="8"/>
      <c r="G96" s="8"/>
      <c r="H96" s="8"/>
    </row>
    <row r="97" spans="2:8" ht="11.45" customHeight="1" x14ac:dyDescent="0.3">
      <c r="B97" s="8"/>
      <c r="C97" s="8"/>
      <c r="D97" s="8"/>
      <c r="E97" s="8"/>
      <c r="F97" s="8"/>
      <c r="G97" s="8"/>
      <c r="H97" s="8"/>
    </row>
    <row r="98" spans="2:8" x14ac:dyDescent="0.3">
      <c r="B98" s="1"/>
      <c r="C98" s="4"/>
      <c r="D98" s="3"/>
      <c r="E98" s="3"/>
      <c r="F98" s="4"/>
      <c r="G98" s="3"/>
      <c r="H98" s="3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7"/>
  <sheetViews>
    <sheetView topLeftCell="A79" workbookViewId="0">
      <selection activeCell="D94" sqref="D94"/>
    </sheetView>
  </sheetViews>
  <sheetFormatPr baseColWidth="10" defaultColWidth="11.42578125" defaultRowHeight="13.5" x14ac:dyDescent="0.3"/>
  <cols>
    <col min="1" max="1" width="4.42578125" style="2" bestFit="1" customWidth="1"/>
    <col min="2" max="2" width="4.2851562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1.2851562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224</v>
      </c>
      <c r="D1" s="2" t="s">
        <v>225</v>
      </c>
      <c r="E1" s="2" t="s">
        <v>226</v>
      </c>
      <c r="F1" s="2" t="s">
        <v>227</v>
      </c>
      <c r="G1" s="2" t="s">
        <v>228</v>
      </c>
      <c r="H1" s="2" t="s">
        <v>229</v>
      </c>
    </row>
    <row r="2" spans="1:8" x14ac:dyDescent="0.3">
      <c r="A2" s="2">
        <v>2018</v>
      </c>
      <c r="B2" s="5">
        <v>1</v>
      </c>
      <c r="C2" s="5">
        <v>184336.17300000001</v>
      </c>
      <c r="D2" s="5">
        <v>33.175278386830541</v>
      </c>
      <c r="E2" s="5">
        <v>4.0506705011575237</v>
      </c>
      <c r="F2" s="5">
        <v>1008585.2839999998</v>
      </c>
      <c r="G2" s="5">
        <v>20.728893795255864</v>
      </c>
      <c r="H2" s="5">
        <v>8.4765280551116842</v>
      </c>
    </row>
    <row r="3" spans="1:8" x14ac:dyDescent="0.3">
      <c r="A3" s="2">
        <v>2018</v>
      </c>
      <c r="B3" s="5">
        <v>2</v>
      </c>
      <c r="C3" s="5">
        <v>177406.13500000001</v>
      </c>
      <c r="D3" s="5">
        <v>21.708619471333602</v>
      </c>
      <c r="E3" s="5">
        <v>4.0755021638289284</v>
      </c>
      <c r="F3" s="5">
        <v>992748.07000000041</v>
      </c>
      <c r="G3" s="5">
        <v>7.5284650956833454</v>
      </c>
      <c r="H3" s="5">
        <v>8.4908871638379502</v>
      </c>
    </row>
    <row r="4" spans="1:8" x14ac:dyDescent="0.3">
      <c r="A4" s="2">
        <v>2018</v>
      </c>
      <c r="B4" s="5">
        <v>3</v>
      </c>
      <c r="C4" s="5">
        <v>175608.56</v>
      </c>
      <c r="D4" s="5">
        <v>-3.1856968801512786</v>
      </c>
      <c r="E4" s="5">
        <v>4.0620063040735994</v>
      </c>
      <c r="F4" s="5">
        <v>981175.42400000035</v>
      </c>
      <c r="G4" s="5">
        <v>-12.375544034061969</v>
      </c>
      <c r="H4" s="5">
        <v>8.48295680227878</v>
      </c>
    </row>
    <row r="5" spans="1:8" x14ac:dyDescent="0.3">
      <c r="A5" s="2">
        <v>2018</v>
      </c>
      <c r="B5" s="5">
        <v>4</v>
      </c>
      <c r="C5" s="5">
        <v>201779.27500000002</v>
      </c>
      <c r="D5" s="5">
        <v>21.152007949540863</v>
      </c>
      <c r="E5" s="5">
        <v>4.0114346794646396</v>
      </c>
      <c r="F5" s="5">
        <v>1093631.0950000002</v>
      </c>
      <c r="G5" s="5">
        <v>19.154025439735435</v>
      </c>
      <c r="H5" s="5">
        <v>8.4535137675549343</v>
      </c>
    </row>
    <row r="6" spans="1:8" x14ac:dyDescent="0.3">
      <c r="A6" s="2">
        <v>2018</v>
      </c>
      <c r="B6" s="5">
        <v>5</v>
      </c>
      <c r="C6" s="5">
        <v>228957.96500000003</v>
      </c>
      <c r="D6" s="5">
        <v>9.1770892111730618</v>
      </c>
      <c r="E6" s="5">
        <v>3.9245357348540262</v>
      </c>
      <c r="F6" s="5">
        <v>1251350.5100000002</v>
      </c>
      <c r="G6" s="5">
        <v>9.8620530973661182</v>
      </c>
      <c r="H6" s="5">
        <v>8.4018863497846503</v>
      </c>
    </row>
    <row r="7" spans="1:8" x14ac:dyDescent="0.3">
      <c r="A7" s="2">
        <v>2018</v>
      </c>
      <c r="B7" s="5">
        <v>6</v>
      </c>
      <c r="C7" s="5">
        <v>228020.875</v>
      </c>
      <c r="D7" s="5">
        <v>10.771110828325181</v>
      </c>
      <c r="E7" s="5">
        <v>3.8032482326819368</v>
      </c>
      <c r="F7" s="5">
        <v>1249711.4749999996</v>
      </c>
      <c r="G7" s="5">
        <v>10.230957491378811</v>
      </c>
      <c r="H7" s="5">
        <v>8.3281459301745144</v>
      </c>
    </row>
    <row r="8" spans="1:8" x14ac:dyDescent="0.3">
      <c r="A8" s="2">
        <v>2018</v>
      </c>
      <c r="B8" s="5">
        <v>7</v>
      </c>
      <c r="C8" s="5">
        <v>228219.36</v>
      </c>
      <c r="D8" s="5">
        <v>17.591236063728722</v>
      </c>
      <c r="E8" s="5">
        <v>3.6498756960466272</v>
      </c>
      <c r="F8" s="5">
        <v>1236481.3360000004</v>
      </c>
      <c r="G8" s="5">
        <v>17.358349809822805</v>
      </c>
      <c r="H8" s="5">
        <v>8.2324652903996949</v>
      </c>
    </row>
    <row r="9" spans="1:8" x14ac:dyDescent="0.3">
      <c r="A9" s="2">
        <v>2018</v>
      </c>
      <c r="B9" s="5">
        <v>8</v>
      </c>
      <c r="C9" s="5">
        <v>213711.11499999999</v>
      </c>
      <c r="D9" s="5">
        <v>6.3405660895134108</v>
      </c>
      <c r="E9" s="5">
        <v>3.467205527393272</v>
      </c>
      <c r="F9" s="5">
        <v>1106768.507</v>
      </c>
      <c r="G9" s="5">
        <v>11.387245581695304</v>
      </c>
      <c r="H9" s="5">
        <v>8.1151493518271103</v>
      </c>
    </row>
    <row r="10" spans="1:8" x14ac:dyDescent="0.3">
      <c r="A10" s="2">
        <v>2018</v>
      </c>
      <c r="B10" s="5">
        <v>9</v>
      </c>
      <c r="C10" s="5">
        <v>223816.69</v>
      </c>
      <c r="D10" s="5">
        <v>2.9244931312221167</v>
      </c>
      <c r="E10" s="5">
        <v>3.2589932791925795</v>
      </c>
      <c r="F10" s="5">
        <v>1130261.5049999999</v>
      </c>
      <c r="G10" s="5">
        <v>7.795709196488354</v>
      </c>
      <c r="H10" s="5">
        <v>7.9771367778041942</v>
      </c>
    </row>
    <row r="11" spans="1:8" x14ac:dyDescent="0.3">
      <c r="A11" s="2">
        <v>2018</v>
      </c>
      <c r="B11" s="5">
        <v>10</v>
      </c>
      <c r="C11" s="5">
        <v>241004.79499999998</v>
      </c>
      <c r="D11" s="5">
        <v>6.0592979819495296</v>
      </c>
      <c r="E11" s="5">
        <v>3.0291940428431827</v>
      </c>
      <c r="F11" s="5">
        <v>1270501.8099999998</v>
      </c>
      <c r="G11" s="5">
        <v>12.953478955750008</v>
      </c>
      <c r="H11" s="5">
        <v>7.8195934605832313</v>
      </c>
    </row>
    <row r="12" spans="1:8" x14ac:dyDescent="0.3">
      <c r="A12" s="2">
        <v>2018</v>
      </c>
      <c r="B12" s="5">
        <v>11</v>
      </c>
      <c r="C12" s="5">
        <v>197156.22500000003</v>
      </c>
      <c r="D12" s="5">
        <v>-17.734431889274994</v>
      </c>
      <c r="E12" s="5">
        <v>2.7817396805667731</v>
      </c>
      <c r="F12" s="5">
        <v>1153493.5739999998</v>
      </c>
      <c r="G12" s="5">
        <v>-4.5471050806557329</v>
      </c>
      <c r="H12" s="5">
        <v>7.6436726932789165</v>
      </c>
    </row>
    <row r="13" spans="1:8" x14ac:dyDescent="0.3">
      <c r="A13" s="2">
        <v>2018</v>
      </c>
      <c r="B13" s="5">
        <v>12</v>
      </c>
      <c r="C13" s="5">
        <v>143208.31999999998</v>
      </c>
      <c r="D13" s="5">
        <v>-0.98506530837869644</v>
      </c>
      <c r="E13" s="5">
        <v>2.5207724784697012</v>
      </c>
      <c r="F13" s="5">
        <v>986374.00500000024</v>
      </c>
      <c r="G13" s="5">
        <v>10.205083109911438</v>
      </c>
      <c r="H13" s="5">
        <v>7.4508842888319968</v>
      </c>
    </row>
    <row r="14" spans="1:8" x14ac:dyDescent="0.3">
      <c r="A14" s="2">
        <v>2019</v>
      </c>
      <c r="B14" s="5">
        <v>1</v>
      </c>
      <c r="C14" s="5">
        <v>162675.85000000006</v>
      </c>
      <c r="D14" s="5">
        <v>-11.750446289236971</v>
      </c>
      <c r="E14" s="5">
        <v>2.2490099885215233</v>
      </c>
      <c r="F14" s="5">
        <v>1141910.26</v>
      </c>
      <c r="G14" s="5">
        <v>13.219008656485641</v>
      </c>
      <c r="H14" s="5">
        <v>7.2418914783933621</v>
      </c>
    </row>
    <row r="15" spans="1:8" x14ac:dyDescent="0.3">
      <c r="A15" s="2">
        <v>2019</v>
      </c>
      <c r="B15" s="5">
        <v>2</v>
      </c>
      <c r="C15" s="5">
        <v>202916.35500000001</v>
      </c>
      <c r="D15" s="5">
        <v>14.379559083455607</v>
      </c>
      <c r="E15" s="5">
        <v>1.968926301734375</v>
      </c>
      <c r="F15" s="5">
        <v>1170139.2199999993</v>
      </c>
      <c r="G15" s="5">
        <v>17.868697543778534</v>
      </c>
      <c r="H15" s="5">
        <v>7.0175487569209203</v>
      </c>
    </row>
    <row r="16" spans="1:8" x14ac:dyDescent="0.3">
      <c r="A16" s="2">
        <v>2019</v>
      </c>
      <c r="B16" s="5">
        <v>3</v>
      </c>
      <c r="C16" s="5">
        <v>233927.28599999996</v>
      </c>
      <c r="D16" s="5">
        <v>33.209500721377118</v>
      </c>
      <c r="E16" s="5">
        <v>1.6820233246566585</v>
      </c>
      <c r="F16" s="5">
        <v>1290084.0259999998</v>
      </c>
      <c r="G16" s="5">
        <v>31.483524193936539</v>
      </c>
      <c r="H16" s="5">
        <v>6.7791256969543907</v>
      </c>
    </row>
    <row r="17" spans="1:8" x14ac:dyDescent="0.3">
      <c r="A17" s="2">
        <v>2019</v>
      </c>
      <c r="B17" s="5">
        <v>4</v>
      </c>
      <c r="C17" s="5">
        <v>203690.785</v>
      </c>
      <c r="D17" s="5">
        <v>0.94732722178725304</v>
      </c>
      <c r="E17" s="5">
        <v>1.3906648133355066</v>
      </c>
      <c r="F17" s="5">
        <v>1205616.0799999998</v>
      </c>
      <c r="G17" s="5">
        <v>10.239740394360286</v>
      </c>
      <c r="H17" s="5">
        <v>6.5286454230325797</v>
      </c>
    </row>
    <row r="18" spans="1:8" x14ac:dyDescent="0.3">
      <c r="A18" s="2">
        <v>2019</v>
      </c>
      <c r="B18" s="5">
        <v>5</v>
      </c>
      <c r="C18" s="5">
        <v>250587.92500000008</v>
      </c>
      <c r="D18" s="5">
        <v>9.4471314854672315</v>
      </c>
      <c r="E18" s="5">
        <v>1.0994039319706019</v>
      </c>
      <c r="F18" s="5">
        <v>1384395.2049999994</v>
      </c>
      <c r="G18" s="5">
        <v>10.632088606412848</v>
      </c>
      <c r="H18" s="5">
        <v>6.26984664292325</v>
      </c>
    </row>
    <row r="19" spans="1:8" x14ac:dyDescent="0.3">
      <c r="A19" s="2">
        <v>2019</v>
      </c>
      <c r="B19" s="5">
        <v>6</v>
      </c>
      <c r="C19" s="5">
        <v>216998.68999999997</v>
      </c>
      <c r="D19" s="5">
        <v>-4.8338490938603869</v>
      </c>
      <c r="E19" s="5">
        <v>0.81276305742888055</v>
      </c>
      <c r="F19" s="5">
        <v>1278192.6499999997</v>
      </c>
      <c r="G19" s="5">
        <v>2.2790200434064323</v>
      </c>
      <c r="H19" s="5">
        <v>6.0067257793227276</v>
      </c>
    </row>
    <row r="20" spans="1:8" x14ac:dyDescent="0.3">
      <c r="A20" s="2">
        <v>2019</v>
      </c>
      <c r="B20" s="5">
        <v>7</v>
      </c>
      <c r="C20" s="5">
        <v>230604.37000000002</v>
      </c>
      <c r="D20" s="5">
        <v>1.0450515679300887</v>
      </c>
      <c r="E20" s="5">
        <v>0.53584426987960443</v>
      </c>
      <c r="F20" s="5">
        <v>1372362.6749999996</v>
      </c>
      <c r="G20" s="5">
        <v>10.989356251795401</v>
      </c>
      <c r="H20" s="5">
        <v>5.7435821883970242</v>
      </c>
    </row>
    <row r="21" spans="1:8" x14ac:dyDescent="0.3">
      <c r="A21" s="2">
        <v>2019</v>
      </c>
      <c r="B21" s="5">
        <v>8</v>
      </c>
      <c r="C21" s="5">
        <v>219437.20500000005</v>
      </c>
      <c r="D21" s="5">
        <v>2.6793599387659572</v>
      </c>
      <c r="E21" s="5">
        <v>0.27335752364819604</v>
      </c>
      <c r="F21" s="5">
        <v>1160941.3400000003</v>
      </c>
      <c r="G21" s="5">
        <v>4.8946850816022014</v>
      </c>
      <c r="H21" s="5">
        <v>5.4844563578582681</v>
      </c>
    </row>
    <row r="22" spans="1:8" x14ac:dyDescent="0.3">
      <c r="A22" s="2">
        <v>2019</v>
      </c>
      <c r="B22" s="5">
        <v>9</v>
      </c>
      <c r="C22" s="5">
        <v>227491.78999999998</v>
      </c>
      <c r="D22" s="5">
        <v>1.6420133815757687</v>
      </c>
      <c r="E22" s="5">
        <v>3.0048134677997905E-2</v>
      </c>
      <c r="F22" s="5">
        <v>1221179.2750000004</v>
      </c>
      <c r="G22" s="5">
        <v>8.0439588181852262</v>
      </c>
      <c r="H22" s="5">
        <v>5.2337530652841009</v>
      </c>
    </row>
    <row r="23" spans="1:8" x14ac:dyDescent="0.3">
      <c r="A23" s="2">
        <v>2019</v>
      </c>
      <c r="B23" s="5">
        <v>10</v>
      </c>
      <c r="C23" s="5">
        <v>234515.68000000005</v>
      </c>
      <c r="D23" s="5">
        <v>-2.6925252669765087</v>
      </c>
      <c r="E23" s="5">
        <v>-0.18917149758659763</v>
      </c>
      <c r="F23" s="5">
        <v>1389153.1200000006</v>
      </c>
      <c r="G23" s="5">
        <v>9.3389327796393076</v>
      </c>
      <c r="H23" s="5">
        <v>4.9958361319135349</v>
      </c>
    </row>
    <row r="24" spans="1:8" x14ac:dyDescent="0.3">
      <c r="A24" s="2">
        <v>2019</v>
      </c>
      <c r="B24" s="5">
        <v>11</v>
      </c>
      <c r="C24" s="5">
        <v>171891.43500000003</v>
      </c>
      <c r="D24" s="5">
        <v>-12.814604256091844</v>
      </c>
      <c r="E24" s="5">
        <v>-0.37927703167016358</v>
      </c>
      <c r="F24" s="5">
        <v>1159764.4249999998</v>
      </c>
      <c r="G24" s="5">
        <v>0.5436398729343983</v>
      </c>
      <c r="H24" s="5">
        <v>4.7752645321628684</v>
      </c>
    </row>
    <row r="25" spans="1:8" x14ac:dyDescent="0.3">
      <c r="A25" s="2">
        <v>2019</v>
      </c>
      <c r="B25" s="5">
        <v>12</v>
      </c>
      <c r="C25" s="5">
        <v>118866.11999999998</v>
      </c>
      <c r="D25" s="5">
        <v>-16.99775543767289</v>
      </c>
      <c r="E25" s="5">
        <v>-0.53541797010903613</v>
      </c>
      <c r="F25" s="5">
        <v>947133.59999999951</v>
      </c>
      <c r="G25" s="5">
        <v>-3.9782480885635962</v>
      </c>
      <c r="H25" s="5">
        <v>4.5768988443822698</v>
      </c>
    </row>
    <row r="26" spans="1:8" x14ac:dyDescent="0.3">
      <c r="A26" s="2">
        <v>2020</v>
      </c>
      <c r="B26" s="5">
        <v>1</v>
      </c>
      <c r="C26" s="5">
        <v>151634.92999999991</v>
      </c>
      <c r="D26" s="5">
        <v>-6.7870676563240089</v>
      </c>
      <c r="E26" s="5">
        <v>-0.65360737983013628</v>
      </c>
      <c r="F26" s="5">
        <v>1037547.7950000003</v>
      </c>
      <c r="G26" s="5">
        <v>-9.1392877930705154</v>
      </c>
      <c r="H26" s="5">
        <v>4.4053057840983501</v>
      </c>
    </row>
    <row r="27" spans="1:8" x14ac:dyDescent="0.3">
      <c r="A27" s="2">
        <v>2020</v>
      </c>
      <c r="B27" s="5">
        <v>2</v>
      </c>
      <c r="C27" s="5">
        <v>182565.98500000004</v>
      </c>
      <c r="D27" s="5">
        <v>-10.028945177928094</v>
      </c>
      <c r="E27" s="5">
        <v>-0.7310015456400768</v>
      </c>
      <c r="F27" s="5">
        <v>1155972.9999999995</v>
      </c>
      <c r="G27" s="5">
        <v>-1.2106439779020262</v>
      </c>
      <c r="H27" s="5">
        <v>4.2644579594118195</v>
      </c>
    </row>
    <row r="28" spans="1:8" x14ac:dyDescent="0.3">
      <c r="A28" s="2">
        <v>2020</v>
      </c>
      <c r="B28" s="5">
        <v>3</v>
      </c>
      <c r="C28" s="5">
        <v>154656.24999999994</v>
      </c>
      <c r="D28" s="5">
        <v>-33.887041291967975</v>
      </c>
      <c r="E28" s="5">
        <v>-0.76518268708689374</v>
      </c>
      <c r="F28" s="5">
        <v>942304.11000000045</v>
      </c>
      <c r="G28" s="5">
        <v>-26.957927467586472</v>
      </c>
      <c r="H28" s="5">
        <v>4.1573873816471965</v>
      </c>
    </row>
    <row r="29" spans="1:8" x14ac:dyDescent="0.3">
      <c r="A29" s="2">
        <v>2020</v>
      </c>
      <c r="B29" s="5">
        <v>4</v>
      </c>
      <c r="C29" s="5">
        <v>111036.23</v>
      </c>
      <c r="D29" s="5">
        <v>-45.487848161614188</v>
      </c>
      <c r="E29" s="5">
        <v>-0.75437871424864311</v>
      </c>
      <c r="F29" s="5">
        <v>606234.03499999992</v>
      </c>
      <c r="G29" s="5">
        <v>-49.715830349575299</v>
      </c>
      <c r="H29" s="5">
        <v>4.0867458467166857</v>
      </c>
    </row>
    <row r="30" spans="1:8" x14ac:dyDescent="0.3">
      <c r="A30" s="2">
        <v>2020</v>
      </c>
      <c r="B30" s="5">
        <v>5</v>
      </c>
      <c r="C30" s="5">
        <v>202831.15999999997</v>
      </c>
      <c r="D30" s="5">
        <v>-19.057887565811516</v>
      </c>
      <c r="E30" s="5">
        <v>-0.6991176662731643</v>
      </c>
      <c r="F30" s="5">
        <v>1162987.0449999999</v>
      </c>
      <c r="G30" s="5">
        <v>-15.993132539056976</v>
      </c>
      <c r="H30" s="5">
        <v>4.0530243647790742</v>
      </c>
    </row>
    <row r="31" spans="1:8" x14ac:dyDescent="0.3">
      <c r="A31" s="2">
        <v>2020</v>
      </c>
      <c r="B31" s="5">
        <v>6</v>
      </c>
      <c r="C31" s="5">
        <v>208594.09999999998</v>
      </c>
      <c r="D31" s="5">
        <v>-3.8731063307340663</v>
      </c>
      <c r="E31" s="5">
        <v>-0.60303407324214164</v>
      </c>
      <c r="F31" s="5">
        <v>1319876.9999999995</v>
      </c>
      <c r="G31" s="5">
        <v>3.2611946250825197</v>
      </c>
      <c r="H31" s="5">
        <v>4.0529776559795172</v>
      </c>
    </row>
    <row r="32" spans="1:8" x14ac:dyDescent="0.3">
      <c r="A32" s="2">
        <v>2020</v>
      </c>
      <c r="B32" s="5">
        <v>7</v>
      </c>
      <c r="C32" s="5">
        <v>208904.13500000001</v>
      </c>
      <c r="D32" s="5">
        <v>-9.4101577519975059</v>
      </c>
      <c r="E32" s="5">
        <v>-0.47103737981361632</v>
      </c>
      <c r="F32" s="5">
        <v>1348053.7999999998</v>
      </c>
      <c r="G32" s="5">
        <v>-1.7713156618748616</v>
      </c>
      <c r="H32" s="5">
        <v>4.0819683462337366</v>
      </c>
    </row>
    <row r="33" spans="1:8" x14ac:dyDescent="0.3">
      <c r="A33" s="2">
        <v>2020</v>
      </c>
      <c r="B33" s="5">
        <v>8</v>
      </c>
      <c r="C33" s="5">
        <v>194085.68500000003</v>
      </c>
      <c r="D33" s="5">
        <v>-11.552972523506222</v>
      </c>
      <c r="E33" s="5">
        <v>-0.30826411899684431</v>
      </c>
      <c r="F33" s="5">
        <v>1115594.727</v>
      </c>
      <c r="G33" s="5">
        <v>-3.9060210397883099</v>
      </c>
      <c r="H33" s="5">
        <v>4.1353040765247542</v>
      </c>
    </row>
    <row r="34" spans="1:8" x14ac:dyDescent="0.3">
      <c r="A34" s="2">
        <v>2020</v>
      </c>
      <c r="B34" s="5">
        <v>9</v>
      </c>
      <c r="C34" s="5">
        <v>221968.19500000004</v>
      </c>
      <c r="D34" s="5">
        <v>-2.4280414691009056</v>
      </c>
      <c r="E34" s="5">
        <v>-0.12047159604915002</v>
      </c>
      <c r="F34" s="5">
        <v>1274662.6000000003</v>
      </c>
      <c r="G34" s="5">
        <v>4.3796456503079728</v>
      </c>
      <c r="H34" s="5">
        <v>4.2078860097794735</v>
      </c>
    </row>
    <row r="35" spans="1:8" x14ac:dyDescent="0.3">
      <c r="A35" s="2">
        <v>2020</v>
      </c>
      <c r="B35" s="5">
        <v>10</v>
      </c>
      <c r="C35" s="5">
        <v>190136.44999999992</v>
      </c>
      <c r="D35" s="5">
        <v>-18.9237794248982</v>
      </c>
      <c r="E35" s="5">
        <v>8.5802001244051199E-2</v>
      </c>
      <c r="F35" s="5">
        <v>1246344.6150000005</v>
      </c>
      <c r="G35" s="5">
        <v>-10.280256578194924</v>
      </c>
      <c r="H35" s="5">
        <v>4.2940568835694988</v>
      </c>
    </row>
    <row r="36" spans="1:8" x14ac:dyDescent="0.3">
      <c r="A36" s="2">
        <v>2020</v>
      </c>
      <c r="B36" s="5">
        <v>11</v>
      </c>
      <c r="C36" s="5">
        <v>197503.94500000004</v>
      </c>
      <c r="D36" s="5">
        <v>14.90039919673718</v>
      </c>
      <c r="E36" s="5">
        <v>0.30385823718949317</v>
      </c>
      <c r="F36" s="5">
        <v>1181446.8950000005</v>
      </c>
      <c r="G36" s="5">
        <v>1.8695581216849888</v>
      </c>
      <c r="H36" s="5">
        <v>4.3881713632192492</v>
      </c>
    </row>
    <row r="37" spans="1:8" x14ac:dyDescent="0.3">
      <c r="A37" s="2">
        <v>2020</v>
      </c>
      <c r="B37" s="5">
        <v>12</v>
      </c>
      <c r="C37" s="5">
        <v>150342.39000000001</v>
      </c>
      <c r="D37" s="5">
        <v>26.480438664945094</v>
      </c>
      <c r="E37" s="5">
        <v>0.52567856627264986</v>
      </c>
      <c r="F37" s="5">
        <v>1030955.4290000004</v>
      </c>
      <c r="G37" s="5">
        <v>8.8500533610042851</v>
      </c>
      <c r="H37" s="5">
        <v>4.4835720089516311</v>
      </c>
    </row>
    <row r="38" spans="1:8" x14ac:dyDescent="0.3">
      <c r="A38" s="2">
        <v>2021</v>
      </c>
      <c r="B38" s="5">
        <v>1</v>
      </c>
      <c r="C38" s="5">
        <v>117487.57500000001</v>
      </c>
      <c r="D38" s="5">
        <v>-22.519451817598966</v>
      </c>
      <c r="E38" s="5">
        <v>0.74425809165674151</v>
      </c>
      <c r="F38" s="5">
        <v>836360.53500000038</v>
      </c>
      <c r="G38" s="5">
        <v>-19.390649854351992</v>
      </c>
      <c r="H38" s="5">
        <v>4.5734264772922231</v>
      </c>
    </row>
    <row r="39" spans="1:8" x14ac:dyDescent="0.3">
      <c r="A39" s="2">
        <v>2021</v>
      </c>
      <c r="B39" s="5">
        <v>2</v>
      </c>
      <c r="C39" s="5">
        <v>166087.13199999998</v>
      </c>
      <c r="D39" s="5">
        <v>-9.0262449491892216</v>
      </c>
      <c r="E39" s="5">
        <v>0.95439433040072952</v>
      </c>
      <c r="F39" s="5">
        <v>1114054.6220000002</v>
      </c>
      <c r="G39" s="5">
        <v>-3.6262419623987241</v>
      </c>
      <c r="H39" s="5">
        <v>4.6512056526382732</v>
      </c>
    </row>
    <row r="40" spans="1:8" x14ac:dyDescent="0.3">
      <c r="A40" s="2">
        <v>2021</v>
      </c>
      <c r="B40" s="5">
        <v>3</v>
      </c>
      <c r="C40" s="5">
        <v>226244.38500000004</v>
      </c>
      <c r="D40" s="5">
        <v>46.288549605981075</v>
      </c>
      <c r="E40" s="5">
        <v>1.1492692641532101</v>
      </c>
      <c r="F40" s="5">
        <v>1378985.2049999998</v>
      </c>
      <c r="G40" s="5">
        <v>46.341843399154769</v>
      </c>
      <c r="H40" s="5">
        <v>4.7087162474195532</v>
      </c>
    </row>
    <row r="41" spans="1:8" x14ac:dyDescent="0.3">
      <c r="A41" s="2">
        <v>2021</v>
      </c>
      <c r="B41" s="5">
        <v>4</v>
      </c>
      <c r="C41" s="5">
        <v>201511.82500000004</v>
      </c>
      <c r="D41" s="5">
        <v>81.482949304024515</v>
      </c>
      <c r="E41" s="5">
        <v>1.321371774612808</v>
      </c>
      <c r="F41" s="5">
        <v>1238706.79</v>
      </c>
      <c r="G41" s="5">
        <v>104.32815026625816</v>
      </c>
      <c r="H41" s="5">
        <v>4.7371901513147909</v>
      </c>
    </row>
    <row r="42" spans="1:8" x14ac:dyDescent="0.3">
      <c r="A42" s="2">
        <v>2021</v>
      </c>
      <c r="B42" s="5">
        <v>5</v>
      </c>
      <c r="C42" s="5">
        <v>219567.66499999998</v>
      </c>
      <c r="D42" s="5">
        <v>8.2514466712116707</v>
      </c>
      <c r="E42" s="5">
        <v>1.4663254157241086</v>
      </c>
      <c r="F42" s="5">
        <v>1366016.2850000001</v>
      </c>
      <c r="G42" s="5">
        <v>17.457566777968726</v>
      </c>
      <c r="H42" s="5">
        <v>4.7307504433882519</v>
      </c>
    </row>
    <row r="43" spans="1:8" x14ac:dyDescent="0.3">
      <c r="A43" s="2">
        <v>2021</v>
      </c>
      <c r="B43" s="5">
        <v>6</v>
      </c>
      <c r="C43" s="5">
        <v>222730.38299999991</v>
      </c>
      <c r="D43" s="5">
        <v>6.776933288141862</v>
      </c>
      <c r="E43" s="5">
        <v>1.5853205176490175</v>
      </c>
      <c r="F43" s="5">
        <v>1374405.2629999996</v>
      </c>
      <c r="G43" s="5">
        <v>4.1313139784995068</v>
      </c>
      <c r="H43" s="5">
        <v>4.6904362416010734</v>
      </c>
    </row>
    <row r="44" spans="1:8" x14ac:dyDescent="0.3">
      <c r="A44" s="2">
        <v>2021</v>
      </c>
      <c r="B44" s="5">
        <v>7</v>
      </c>
      <c r="C44" s="5">
        <v>224982.17</v>
      </c>
      <c r="D44" s="5">
        <v>7.6963699162776233</v>
      </c>
      <c r="E44" s="5">
        <v>1.6800185995255159</v>
      </c>
      <c r="F44" s="5">
        <v>1344847.3760000004</v>
      </c>
      <c r="G44" s="5">
        <v>-0.23785578884162328</v>
      </c>
      <c r="H44" s="5">
        <v>4.6181704706042943</v>
      </c>
    </row>
    <row r="45" spans="1:8" x14ac:dyDescent="0.3">
      <c r="A45" s="2">
        <v>2021</v>
      </c>
      <c r="B45" s="5">
        <v>8</v>
      </c>
      <c r="C45" s="5">
        <v>197593.505</v>
      </c>
      <c r="D45" s="5">
        <v>1.8073563745826915</v>
      </c>
      <c r="E45" s="5">
        <v>1.7524417091562028</v>
      </c>
      <c r="F45" s="5">
        <v>1200624.5249999999</v>
      </c>
      <c r="G45" s="5">
        <v>7.6219254127041003</v>
      </c>
      <c r="H45" s="5">
        <v>4.5158372271140168</v>
      </c>
    </row>
    <row r="46" spans="1:8" x14ac:dyDescent="0.3">
      <c r="A46" s="2">
        <v>2021</v>
      </c>
      <c r="B46" s="5">
        <v>9</v>
      </c>
      <c r="C46" s="5">
        <v>208090.655</v>
      </c>
      <c r="D46" s="5">
        <v>-6.2520398474204981</v>
      </c>
      <c r="E46" s="5">
        <v>1.8050296965184516</v>
      </c>
      <c r="F46" s="5">
        <v>1300727.7649999997</v>
      </c>
      <c r="G46" s="5">
        <v>2.0448677948187388</v>
      </c>
      <c r="H46" s="5">
        <v>4.384983383800547</v>
      </c>
    </row>
    <row r="47" spans="1:8" x14ac:dyDescent="0.3">
      <c r="A47" s="2">
        <v>2021</v>
      </c>
      <c r="B47" s="5">
        <v>10</v>
      </c>
      <c r="C47" s="5">
        <v>207028.495</v>
      </c>
      <c r="D47" s="5">
        <v>8.8841697633463177</v>
      </c>
      <c r="E47" s="5">
        <v>1.8402262251080677</v>
      </c>
      <c r="F47" s="5">
        <v>1271281.9649999999</v>
      </c>
      <c r="G47" s="5">
        <v>2.0008390696981904</v>
      </c>
      <c r="H47" s="5">
        <v>4.2273715139026349</v>
      </c>
    </row>
    <row r="48" spans="1:8" x14ac:dyDescent="0.3">
      <c r="A48" s="2">
        <v>2021</v>
      </c>
      <c r="B48" s="5">
        <v>11</v>
      </c>
      <c r="C48" s="5">
        <v>206052.55</v>
      </c>
      <c r="D48" s="5">
        <v>4.3283211380916731</v>
      </c>
      <c r="E48" s="5">
        <v>1.8599154397025273</v>
      </c>
      <c r="F48" s="5">
        <v>1319117.6150000005</v>
      </c>
      <c r="G48" s="5">
        <v>11.652721809387788</v>
      </c>
      <c r="H48" s="5">
        <v>4.0446016826320177</v>
      </c>
    </row>
    <row r="49" spans="1:8" x14ac:dyDescent="0.3">
      <c r="A49" s="2">
        <v>2021</v>
      </c>
      <c r="B49" s="5">
        <v>12</v>
      </c>
      <c r="C49" s="5">
        <v>182704.86500000002</v>
      </c>
      <c r="D49" s="5">
        <v>21.525848431703132</v>
      </c>
      <c r="E49" s="5">
        <v>1.8664706478250179</v>
      </c>
      <c r="F49" s="5">
        <v>1257184.3749999998</v>
      </c>
      <c r="G49" s="5">
        <v>21.943620416203213</v>
      </c>
      <c r="H49" s="5">
        <v>3.8381193348918075</v>
      </c>
    </row>
    <row r="50" spans="1:8" x14ac:dyDescent="0.3">
      <c r="A50" s="2">
        <v>2022</v>
      </c>
      <c r="B50" s="5">
        <v>1</v>
      </c>
      <c r="C50" s="5">
        <v>140433.745</v>
      </c>
      <c r="D50" s="5">
        <v>19.530720588964389</v>
      </c>
      <c r="E50" s="5">
        <v>1.8624365740611151</v>
      </c>
      <c r="F50" s="5">
        <v>1028971.83</v>
      </c>
      <c r="G50" s="5">
        <v>23.029696756315676</v>
      </c>
      <c r="H50" s="5">
        <v>3.6098982572605847</v>
      </c>
    </row>
    <row r="51" spans="1:8" x14ac:dyDescent="0.3">
      <c r="A51" s="2">
        <v>2022</v>
      </c>
      <c r="B51" s="5">
        <v>2</v>
      </c>
      <c r="C51" s="5">
        <v>183042.60500000004</v>
      </c>
      <c r="D51" s="5">
        <v>10.208781857946736</v>
      </c>
      <c r="E51" s="5">
        <v>1.8517231775647187</v>
      </c>
      <c r="F51" s="5">
        <v>1257002.875</v>
      </c>
      <c r="G51" s="5">
        <v>12.831350472149449</v>
      </c>
      <c r="H51" s="5">
        <v>3.3631695627809099</v>
      </c>
    </row>
    <row r="52" spans="1:8" x14ac:dyDescent="0.3">
      <c r="A52" s="2">
        <v>2022</v>
      </c>
      <c r="B52" s="5">
        <v>3</v>
      </c>
      <c r="C52" s="5">
        <v>163946.63500000001</v>
      </c>
      <c r="D52" s="5">
        <v>-27.535600496781399</v>
      </c>
      <c r="E52" s="5">
        <v>1.839467381657431</v>
      </c>
      <c r="F52" s="5">
        <v>1176148.9499999997</v>
      </c>
      <c r="G52" s="5">
        <v>-14.709095809334672</v>
      </c>
      <c r="H52" s="5">
        <v>3.1025129616133342</v>
      </c>
    </row>
    <row r="53" spans="1:8" x14ac:dyDescent="0.3">
      <c r="A53" s="2">
        <v>2022</v>
      </c>
      <c r="B53" s="5">
        <v>4</v>
      </c>
      <c r="C53" s="5">
        <v>206854.1</v>
      </c>
      <c r="D53" s="5">
        <v>2.6510975224406597</v>
      </c>
      <c r="E53" s="5">
        <v>1.8313864609581025</v>
      </c>
      <c r="F53" s="5">
        <v>1334699.9099999999</v>
      </c>
      <c r="G53" s="5">
        <v>7.7494626472500272</v>
      </c>
      <c r="H53" s="5">
        <v>2.8331656764815594</v>
      </c>
    </row>
    <row r="54" spans="1:8" x14ac:dyDescent="0.3">
      <c r="A54" s="2">
        <v>2022</v>
      </c>
      <c r="B54" s="5">
        <v>5</v>
      </c>
      <c r="C54" s="5">
        <v>198436.17500000005</v>
      </c>
      <c r="D54" s="5">
        <v>-9.6241356850062303</v>
      </c>
      <c r="E54" s="5">
        <v>1.8311577548162483</v>
      </c>
      <c r="F54" s="5">
        <v>1333042.4850000001</v>
      </c>
      <c r="G54" s="5">
        <v>-2.413865805413884</v>
      </c>
      <c r="H54" s="5">
        <v>2.559128012833527</v>
      </c>
    </row>
    <row r="55" spans="1:8" x14ac:dyDescent="0.3">
      <c r="A55" s="2">
        <v>2022</v>
      </c>
      <c r="B55" s="5">
        <v>6</v>
      </c>
      <c r="C55" s="5">
        <v>211586.14499999996</v>
      </c>
      <c r="D55" s="5">
        <v>-5.0034655577276821</v>
      </c>
      <c r="E55" s="5">
        <v>1.842515526960653</v>
      </c>
      <c r="F55" s="5">
        <v>1375986.0799999996</v>
      </c>
      <c r="G55" s="5">
        <v>0.11501825862842985</v>
      </c>
      <c r="H55" s="5">
        <v>2.2847416856290379</v>
      </c>
    </row>
    <row r="56" spans="1:8" x14ac:dyDescent="0.3">
      <c r="A56" s="2">
        <v>2022</v>
      </c>
      <c r="B56" s="5">
        <v>7</v>
      </c>
      <c r="C56" s="5">
        <v>190866.745</v>
      </c>
      <c r="D56" s="5">
        <v>-15.163612743178723</v>
      </c>
      <c r="E56" s="5">
        <v>1.8683985346312244</v>
      </c>
      <c r="F56" s="5">
        <v>1223238.7149999999</v>
      </c>
      <c r="G56" s="5">
        <v>-9.0425622394195386</v>
      </c>
      <c r="H56" s="5">
        <v>2.0140030630349588</v>
      </c>
    </row>
    <row r="57" spans="1:8" x14ac:dyDescent="0.3">
      <c r="A57" s="2">
        <v>2022</v>
      </c>
      <c r="B57" s="5">
        <v>8</v>
      </c>
      <c r="C57" s="5">
        <v>187447.42500000002</v>
      </c>
      <c r="D57" s="5">
        <v>-5.1348246492211258</v>
      </c>
      <c r="E57" s="5">
        <v>1.9112701197147668</v>
      </c>
      <c r="F57" s="5">
        <v>1146417.7150000003</v>
      </c>
      <c r="G57" s="5">
        <v>-4.5148844514899089</v>
      </c>
      <c r="H57" s="5">
        <v>1.7507578379801694</v>
      </c>
    </row>
    <row r="58" spans="1:8" x14ac:dyDescent="0.3">
      <c r="A58" s="2">
        <v>2022</v>
      </c>
      <c r="B58" s="5">
        <v>9</v>
      </c>
      <c r="C58" s="5">
        <v>199079.66999999995</v>
      </c>
      <c r="D58" s="5">
        <v>-4.3303169957344068</v>
      </c>
      <c r="E58" s="5">
        <v>1.9724108455371254</v>
      </c>
      <c r="F58" s="5">
        <v>1248145.6700000004</v>
      </c>
      <c r="G58" s="5">
        <v>-4.0425134616849938</v>
      </c>
      <c r="H58" s="5">
        <v>1.498083886358657</v>
      </c>
    </row>
    <row r="59" spans="1:8" x14ac:dyDescent="0.3">
      <c r="A59" s="2">
        <v>2022</v>
      </c>
      <c r="B59" s="5">
        <v>10</v>
      </c>
      <c r="C59" s="5">
        <v>176664.815</v>
      </c>
      <c r="D59" s="5">
        <v>-14.666425508237403</v>
      </c>
      <c r="E59" s="5">
        <v>2.052611963287414</v>
      </c>
      <c r="F59" s="5">
        <v>1254290.7710000002</v>
      </c>
      <c r="G59" s="5">
        <v>-1.3365401592871362</v>
      </c>
      <c r="H59" s="5">
        <v>1.2586239700165294</v>
      </c>
    </row>
    <row r="60" spans="1:8" x14ac:dyDescent="0.3">
      <c r="A60" s="2">
        <v>2022</v>
      </c>
      <c r="B60" s="5">
        <v>11</v>
      </c>
      <c r="C60" s="5">
        <v>188474.93999999997</v>
      </c>
      <c r="D60" s="5">
        <v>-8.53064424584894</v>
      </c>
      <c r="E60" s="5">
        <v>2.1522270347213244</v>
      </c>
      <c r="F60" s="5">
        <v>1336883.8599999994</v>
      </c>
      <c r="G60" s="5">
        <v>1.3468279703018782</v>
      </c>
      <c r="H60" s="5">
        <v>1.0346360870951687</v>
      </c>
    </row>
    <row r="61" spans="1:8" x14ac:dyDescent="0.3">
      <c r="A61" s="2">
        <v>2022</v>
      </c>
      <c r="B61" s="5">
        <v>12</v>
      </c>
      <c r="C61" s="5">
        <v>156816</v>
      </c>
      <c r="D61" s="5">
        <v>-14.169773202262581</v>
      </c>
      <c r="E61" s="5">
        <v>2.2704485773256926</v>
      </c>
      <c r="F61" s="5">
        <v>1166957.8799999999</v>
      </c>
      <c r="G61" s="5">
        <v>-7.1768705365909398</v>
      </c>
      <c r="H61" s="5">
        <v>0.82819801600475573</v>
      </c>
    </row>
    <row r="62" spans="1:8" x14ac:dyDescent="0.3">
      <c r="A62" s="2">
        <v>2023</v>
      </c>
      <c r="B62" s="5">
        <v>1</v>
      </c>
      <c r="C62" s="5">
        <v>138450.87499999994</v>
      </c>
      <c r="D62" s="5">
        <v>-1.4119612063326015</v>
      </c>
      <c r="E62" s="5">
        <v>2.4057272425262037</v>
      </c>
      <c r="F62" s="5">
        <v>1065055.9400000002</v>
      </c>
      <c r="G62" s="5">
        <v>3.5068122321677331</v>
      </c>
      <c r="H62" s="5">
        <v>0.64140921514736016</v>
      </c>
    </row>
    <row r="63" spans="1:8" x14ac:dyDescent="0.3">
      <c r="A63" s="2">
        <v>2023</v>
      </c>
      <c r="B63" s="5">
        <v>2</v>
      </c>
      <c r="C63" s="5">
        <v>170521.785</v>
      </c>
      <c r="D63" s="5">
        <v>-6.8403856031223125</v>
      </c>
      <c r="E63" s="5">
        <v>2.5553719996805158</v>
      </c>
      <c r="F63" s="5">
        <v>1175462.8549999997</v>
      </c>
      <c r="G63" s="5">
        <v>-6.4868602627500156</v>
      </c>
      <c r="H63" s="5">
        <v>0.47581323538667725</v>
      </c>
    </row>
    <row r="64" spans="1:8" x14ac:dyDescent="0.3">
      <c r="A64" s="2">
        <v>2023</v>
      </c>
      <c r="B64" s="5">
        <v>3</v>
      </c>
      <c r="C64" s="5">
        <v>224837.46499999997</v>
      </c>
      <c r="D64" s="5">
        <v>37.140640306524105</v>
      </c>
      <c r="E64" s="5">
        <v>2.7164267008928933</v>
      </c>
      <c r="F64" s="5">
        <v>1440462.1899999997</v>
      </c>
      <c r="G64" s="5">
        <v>22.472769286577176</v>
      </c>
      <c r="H64" s="5">
        <v>0.33315261390702861</v>
      </c>
    </row>
    <row r="65" spans="1:8" x14ac:dyDescent="0.3">
      <c r="A65" s="2">
        <v>2023</v>
      </c>
      <c r="B65" s="5">
        <v>4</v>
      </c>
      <c r="C65" s="5">
        <v>187093.60499999998</v>
      </c>
      <c r="D65" s="5">
        <v>-9.5528660055565808</v>
      </c>
      <c r="E65" s="5">
        <v>2.8852827151007401</v>
      </c>
      <c r="F65" s="5">
        <v>1184726</v>
      </c>
      <c r="G65" s="5">
        <v>-11.236526568732586</v>
      </c>
      <c r="H65" s="5">
        <v>0.21468636889980958</v>
      </c>
    </row>
    <row r="66" spans="1:8" x14ac:dyDescent="0.3">
      <c r="A66" s="2">
        <v>2023</v>
      </c>
      <c r="B66" s="5">
        <v>5</v>
      </c>
      <c r="C66" s="5">
        <v>225414.93002014162</v>
      </c>
      <c r="D66" s="5">
        <v>13.595683861645469</v>
      </c>
      <c r="E66" s="5">
        <v>3.0607219816307394</v>
      </c>
      <c r="F66" s="5">
        <v>1338121.6650201415</v>
      </c>
      <c r="G66" s="5">
        <v>0.38102161613711161</v>
      </c>
      <c r="H66" s="5">
        <v>0.12321099193646209</v>
      </c>
    </row>
    <row r="67" spans="1:8" x14ac:dyDescent="0.3">
      <c r="A67" s="2">
        <v>2023</v>
      </c>
      <c r="B67" s="5">
        <v>6</v>
      </c>
      <c r="C67" s="5">
        <v>214794</v>
      </c>
      <c r="D67" s="5">
        <v>1.5160987974898177</v>
      </c>
      <c r="E67" s="5">
        <v>3.2406626794817508</v>
      </c>
      <c r="F67" s="5">
        <v>1304814.0100000002</v>
      </c>
      <c r="G67" s="5">
        <v>-5.1724411339974736</v>
      </c>
      <c r="H67" s="5">
        <v>6.0727751467759127E-2</v>
      </c>
    </row>
    <row r="68" spans="1:8" x14ac:dyDescent="0.3">
      <c r="A68" s="2">
        <v>2023</v>
      </c>
      <c r="B68" s="5">
        <v>7</v>
      </c>
      <c r="C68" s="5">
        <v>200671.27000000005</v>
      </c>
      <c r="D68" s="5">
        <v>5.1368429843554164</v>
      </c>
      <c r="E68" s="5">
        <v>3.4237545822276347</v>
      </c>
      <c r="F68" s="5">
        <v>1202629.3600024413</v>
      </c>
      <c r="G68" s="5">
        <v>-1.6848187311957807</v>
      </c>
      <c r="H68" s="5">
        <v>2.9255819460043138E-2</v>
      </c>
    </row>
    <row r="69" spans="1:8" x14ac:dyDescent="0.3">
      <c r="A69" s="2">
        <v>2023</v>
      </c>
      <c r="B69" s="5">
        <v>8</v>
      </c>
      <c r="C69" s="5">
        <v>195094.61499931337</v>
      </c>
      <c r="D69" s="5">
        <v>4.0796452654995763</v>
      </c>
      <c r="E69" s="5">
        <v>3.6085277020615578</v>
      </c>
      <c r="F69" s="5">
        <v>1066077.0149980928</v>
      </c>
      <c r="G69" s="5">
        <v>-7.007977890668549</v>
      </c>
      <c r="H69" s="5">
        <v>3.0450953373721522E-2</v>
      </c>
    </row>
    <row r="70" spans="1:8" x14ac:dyDescent="0.3">
      <c r="A70" s="2">
        <v>2023</v>
      </c>
      <c r="B70" s="5">
        <v>9</v>
      </c>
      <c r="C70" s="5">
        <v>208304.76500671386</v>
      </c>
      <c r="D70" s="5">
        <v>4.6338709556399849</v>
      </c>
      <c r="E70" s="5">
        <v>3.7936310156490571</v>
      </c>
      <c r="F70" s="5">
        <v>1138303.0650447081</v>
      </c>
      <c r="G70" s="5">
        <v>-8.8004635673087925</v>
      </c>
      <c r="H70" s="5">
        <v>6.5849877714295013E-2</v>
      </c>
    </row>
    <row r="71" spans="1:8" x14ac:dyDescent="0.3">
      <c r="A71" s="2">
        <v>2023</v>
      </c>
      <c r="B71" s="5">
        <v>10</v>
      </c>
      <c r="C71" s="5">
        <v>199399.91001708983</v>
      </c>
      <c r="D71" s="5">
        <v>12.869056590068496</v>
      </c>
      <c r="E71" s="5">
        <v>3.9777462161531307</v>
      </c>
      <c r="F71" s="5">
        <v>1197496.7250244142</v>
      </c>
      <c r="G71" s="5">
        <v>-4.5279808548942864</v>
      </c>
      <c r="H71" s="5">
        <v>0.13650053720642807</v>
      </c>
    </row>
    <row r="72" spans="1:8" x14ac:dyDescent="0.3">
      <c r="A72" s="2">
        <v>2023</v>
      </c>
      <c r="B72" s="5">
        <v>11</v>
      </c>
      <c r="C72" s="5">
        <v>199856.8749856567</v>
      </c>
      <c r="D72" s="5">
        <v>6.038964642013811</v>
      </c>
      <c r="E72" s="5">
        <v>4.1596133467326082</v>
      </c>
      <c r="F72" s="5">
        <v>1291558.0899612426</v>
      </c>
      <c r="G72" s="5">
        <v>-3.390404461817409</v>
      </c>
      <c r="H72" s="5">
        <v>0.24283516036332523</v>
      </c>
    </row>
    <row r="73" spans="1:8" x14ac:dyDescent="0.3">
      <c r="A73" s="2">
        <v>2023</v>
      </c>
      <c r="B73" s="5">
        <v>12</v>
      </c>
      <c r="C73" s="5">
        <v>157998.54497253418</v>
      </c>
      <c r="D73" s="5">
        <v>0.75409714093852553</v>
      </c>
      <c r="E73" s="5">
        <v>4.3385899026556203</v>
      </c>
      <c r="F73" s="5">
        <v>1056958.4901941679</v>
      </c>
      <c r="G73" s="5">
        <v>-9.42616624739121</v>
      </c>
      <c r="H73" s="5">
        <v>0.38496205337929512</v>
      </c>
    </row>
    <row r="74" spans="1:8" x14ac:dyDescent="0.3">
      <c r="A74" s="2">
        <v>2024</v>
      </c>
      <c r="B74" s="5">
        <v>1</v>
      </c>
      <c r="C74" s="5">
        <v>165620.54497802735</v>
      </c>
      <c r="D74" s="5">
        <v>19.624050753039612</v>
      </c>
      <c r="E74" s="5">
        <v>4.5141638896969143</v>
      </c>
      <c r="F74" s="5">
        <v>1054721.2749707033</v>
      </c>
      <c r="G74" s="5">
        <v>-0.97034011465133574</v>
      </c>
      <c r="H74" s="5">
        <v>0.56273721414155053</v>
      </c>
    </row>
    <row r="75" spans="1:8" x14ac:dyDescent="0.3">
      <c r="A75" s="2">
        <v>2024</v>
      </c>
      <c r="B75" s="5">
        <v>2</v>
      </c>
      <c r="C75" s="5">
        <v>184353.70498077388</v>
      </c>
      <c r="D75" s="5">
        <v>8.1115266185923787</v>
      </c>
      <c r="E75" s="5">
        <v>4.6855743905227838</v>
      </c>
      <c r="F75" s="5">
        <v>1168488.1049758908</v>
      </c>
      <c r="G75" s="5">
        <v>-0.5933620100746495</v>
      </c>
      <c r="H75" s="5">
        <v>0.77533531218308394</v>
      </c>
    </row>
    <row r="76" spans="1:8" x14ac:dyDescent="0.3">
      <c r="A76" s="2">
        <v>2024</v>
      </c>
      <c r="B76" s="5">
        <v>3</v>
      </c>
      <c r="C76" s="5">
        <v>183884.815</v>
      </c>
      <c r="D76" s="5">
        <v>-18.214335408914152</v>
      </c>
      <c r="E76" s="5">
        <v>4.8531097854983658</v>
      </c>
      <c r="F76" s="5">
        <v>1101812.3100299076</v>
      </c>
      <c r="G76" s="5">
        <v>-23.509806943984568</v>
      </c>
      <c r="H76" s="5">
        <v>1.0218245533334995</v>
      </c>
    </row>
    <row r="77" spans="1:8" x14ac:dyDescent="0.3">
      <c r="A77" s="2">
        <v>2024</v>
      </c>
      <c r="B77" s="5">
        <v>4</v>
      </c>
      <c r="C77" s="5">
        <v>225382.28500778199</v>
      </c>
      <c r="D77" s="5">
        <v>20.464985966667328</v>
      </c>
      <c r="E77" s="5">
        <v>5.0172963683379699</v>
      </c>
      <c r="F77" s="5">
        <v>1259407.8400077815</v>
      </c>
      <c r="G77" s="5">
        <v>6.3037225491617166</v>
      </c>
      <c r="H77" s="5">
        <v>1.3011780949972447</v>
      </c>
    </row>
    <row r="78" spans="1:8" x14ac:dyDescent="0.3">
      <c r="A78" s="2">
        <v>2024</v>
      </c>
      <c r="B78" s="5">
        <v>5</v>
      </c>
      <c r="C78" s="5">
        <v>224941.37496337891</v>
      </c>
      <c r="D78" s="5">
        <v>-0.21008149580881152</v>
      </c>
      <c r="E78" s="5">
        <v>5.1770585268396276</v>
      </c>
      <c r="F78" s="5">
        <v>1304836.9399633792</v>
      </c>
      <c r="G78" s="5">
        <v>-2.4874214301179642</v>
      </c>
      <c r="H78" s="5">
        <v>1.6106655090581199</v>
      </c>
    </row>
    <row r="79" spans="1:8" x14ac:dyDescent="0.3">
      <c r="A79" s="2">
        <v>2024</v>
      </c>
      <c r="B79" s="5">
        <v>6</v>
      </c>
      <c r="C79" s="5">
        <v>227757.94500000001</v>
      </c>
      <c r="D79" s="5">
        <v>6.0355247353278019</v>
      </c>
      <c r="E79" s="5">
        <v>5.3323934050234785</v>
      </c>
      <c r="F79" s="5">
        <v>1215234.3959966432</v>
      </c>
      <c r="G79" s="5">
        <v>-6.8653166901048941</v>
      </c>
      <c r="H79" s="5">
        <v>1.947903766320354</v>
      </c>
    </row>
    <row r="80" spans="1:8" x14ac:dyDescent="0.3">
      <c r="A80" s="2">
        <v>2024</v>
      </c>
      <c r="B80" s="5">
        <v>7</v>
      </c>
      <c r="C80" s="5">
        <v>227185.61498291019</v>
      </c>
      <c r="D80" s="5">
        <v>13.212825624171387</v>
      </c>
      <c r="E80" s="5">
        <v>5.4829240399636445</v>
      </c>
      <c r="F80" s="5">
        <v>1317148.0749786373</v>
      </c>
      <c r="G80" s="5">
        <v>9.5223614843365834</v>
      </c>
      <c r="H80" s="5">
        <v>2.3102252482173999</v>
      </c>
    </row>
    <row r="81" spans="1:8" x14ac:dyDescent="0.3">
      <c r="A81" s="2">
        <v>2024</v>
      </c>
      <c r="B81" s="5">
        <v>8</v>
      </c>
      <c r="C81" s="5">
        <v>196643.96742618084</v>
      </c>
      <c r="D81" s="5">
        <v>0.79415437831173996</v>
      </c>
      <c r="E81" s="5">
        <v>5.628322297298852</v>
      </c>
      <c r="F81" s="5">
        <v>1026400.1700357199</v>
      </c>
      <c r="G81" s="5">
        <v>-3.7217615992259145</v>
      </c>
      <c r="H81" s="5">
        <v>2.6943503069843477</v>
      </c>
    </row>
    <row r="82" spans="1:8" x14ac:dyDescent="0.3">
      <c r="A82" s="2">
        <v>2024</v>
      </c>
      <c r="B82" s="5">
        <v>9</v>
      </c>
      <c r="C82" s="5">
        <v>224019.89200186729</v>
      </c>
      <c r="D82" s="5">
        <v>7.5442954915826865</v>
      </c>
      <c r="E82" s="5">
        <v>5.768796841388955</v>
      </c>
      <c r="F82" s="5">
        <v>1219319.6490603685</v>
      </c>
      <c r="G82" s="5">
        <v>7.1173122961307733</v>
      </c>
      <c r="H82" s="5">
        <v>3.0975001376504632</v>
      </c>
    </row>
    <row r="83" spans="1:8" x14ac:dyDescent="0.3">
      <c r="A83" s="2">
        <v>2024</v>
      </c>
      <c r="B83" s="5">
        <v>10</v>
      </c>
      <c r="C83" s="5">
        <v>231803.70165550709</v>
      </c>
      <c r="D83" s="5">
        <v>16.250655095902534</v>
      </c>
      <c r="E83" s="5">
        <v>5.9042206304883225</v>
      </c>
      <c r="F83" s="5">
        <v>1415252.0408681631</v>
      </c>
      <c r="G83" s="5">
        <v>18.184209717927157</v>
      </c>
      <c r="H83" s="5">
        <v>3.5164503719181917</v>
      </c>
    </row>
    <row r="84" spans="1:8" x14ac:dyDescent="0.3">
      <c r="A84" s="2">
        <v>2024</v>
      </c>
      <c r="B84" s="5">
        <v>11</v>
      </c>
      <c r="C84" s="5">
        <v>235415.35937547684</v>
      </c>
      <c r="D84" s="5">
        <v>17.791974577993418</v>
      </c>
      <c r="E84" s="5">
        <v>6.0345899213686982</v>
      </c>
      <c r="F84" s="5">
        <v>1348143.6091566086</v>
      </c>
      <c r="G84" s="5">
        <v>4.3811826688386901</v>
      </c>
      <c r="H84" s="5">
        <v>3.9482557951120958</v>
      </c>
    </row>
    <row r="85" spans="1:8" x14ac:dyDescent="0.3">
      <c r="A85" s="2">
        <v>2024</v>
      </c>
      <c r="B85" s="5">
        <v>12</v>
      </c>
      <c r="C85" s="5">
        <v>174272.03934192657</v>
      </c>
      <c r="D85" s="5">
        <v>10.299774831610842</v>
      </c>
      <c r="E85" s="5">
        <v>6.1606194731952559</v>
      </c>
      <c r="F85" s="5">
        <v>1191059.6167469025</v>
      </c>
      <c r="G85" s="5">
        <v>12.687454407797949</v>
      </c>
      <c r="H85" s="5">
        <v>4.3909897869557657</v>
      </c>
    </row>
    <row r="86" spans="1:8" x14ac:dyDescent="0.3">
      <c r="A86" s="2">
        <v>2025</v>
      </c>
      <c r="B86" s="5">
        <v>1</v>
      </c>
      <c r="C86" s="5">
        <v>162298.30070018768</v>
      </c>
      <c r="D86" s="5">
        <v>-2.0059372937581088</v>
      </c>
      <c r="E86" s="5">
        <v>6.283840530178769</v>
      </c>
      <c r="F86" s="5">
        <v>1103298.1999415159</v>
      </c>
      <c r="G86" s="5">
        <v>4.6056646550684199</v>
      </c>
      <c r="H86" s="5">
        <v>4.8427557915390231</v>
      </c>
    </row>
    <row r="87" spans="1:8" x14ac:dyDescent="0.3">
      <c r="A87" s="2">
        <v>2025</v>
      </c>
      <c r="B87" s="5">
        <v>2</v>
      </c>
      <c r="C87" s="5">
        <v>183712.23911297321</v>
      </c>
      <c r="D87" s="5">
        <v>-0.34795387913010289</v>
      </c>
      <c r="E87" s="5">
        <v>6.4060717778743452</v>
      </c>
      <c r="F87" s="5">
        <v>1259158.4424769878</v>
      </c>
      <c r="G87" s="5">
        <v>7.7596286273678317</v>
      </c>
      <c r="H87" s="5">
        <v>5.3022333963281367</v>
      </c>
    </row>
    <row r="88" spans="1:8" x14ac:dyDescent="0.3">
      <c r="A88" s="2">
        <v>2025</v>
      </c>
      <c r="B88" s="5">
        <v>3</v>
      </c>
      <c r="C88" s="5">
        <v>202297.93017554283</v>
      </c>
      <c r="D88" s="5">
        <v>10.013396253270201</v>
      </c>
      <c r="E88" s="5">
        <v>6.5285562228215399</v>
      </c>
      <c r="F88" s="5">
        <v>1199892.9111107588</v>
      </c>
      <c r="G88" s="5">
        <v>8.9017521576055803</v>
      </c>
      <c r="H88" s="5">
        <v>5.7680857241271193</v>
      </c>
    </row>
    <row r="89" spans="1:8" x14ac:dyDescent="0.3">
      <c r="A89" s="2">
        <v>2025</v>
      </c>
      <c r="B89" s="5">
        <v>4</v>
      </c>
      <c r="C89" s="5">
        <v>190291.95853698254</v>
      </c>
      <c r="D89" s="5">
        <v>-15.569247809155829</v>
      </c>
      <c r="E89" s="5">
        <v>6.6520678420003945</v>
      </c>
      <c r="F89" s="5">
        <v>1240890.7910341024</v>
      </c>
      <c r="G89" s="5">
        <v>-1.4702980548036537</v>
      </c>
      <c r="H89" s="5">
        <v>6.2391465501865842</v>
      </c>
    </row>
    <row r="90" spans="1:8" x14ac:dyDescent="0.3">
      <c r="A90" s="2">
        <v>2025</v>
      </c>
      <c r="B90" s="5">
        <v>5</v>
      </c>
      <c r="C90" s="5">
        <v>232767.27158975601</v>
      </c>
      <c r="D90" s="5">
        <v>3.47908277330089</v>
      </c>
      <c r="E90" s="5">
        <v>6.7776226151708423</v>
      </c>
      <c r="F90" s="5">
        <v>1411348.7417201996</v>
      </c>
      <c r="G90" s="5">
        <v>8.1628438385419777</v>
      </c>
      <c r="H90" s="5">
        <v>6.7144672654816917</v>
      </c>
    </row>
    <row r="91" spans="1:8" x14ac:dyDescent="0.3">
      <c r="A91" s="2">
        <v>2025</v>
      </c>
      <c r="B91" s="5">
        <v>6</v>
      </c>
      <c r="C91" s="5">
        <v>246285.22161388397</v>
      </c>
      <c r="D91" s="5">
        <v>8.1346346068779098</v>
      </c>
      <c r="E91" s="5">
        <v>6.904693375172597</v>
      </c>
      <c r="F91" s="5">
        <v>1384770.1280792952</v>
      </c>
      <c r="G91" s="5">
        <v>13.950866815583463</v>
      </c>
      <c r="H91" s="5">
        <v>7.192563882890032</v>
      </c>
    </row>
    <row r="92" spans="1:8" x14ac:dyDescent="0.3">
      <c r="A92" s="2">
        <v>2025</v>
      </c>
      <c r="B92" s="5">
        <v>7</v>
      </c>
      <c r="C92" s="5">
        <v>262198.71658015251</v>
      </c>
      <c r="D92" s="5">
        <v>15.411671905316782</v>
      </c>
      <c r="E92" s="5">
        <v>7.0325238895785747</v>
      </c>
      <c r="F92" s="5">
        <v>1500831.8906024694</v>
      </c>
      <c r="G92" s="5">
        <v>13.945570669934849</v>
      </c>
      <c r="H92" s="5">
        <v>7.6720529969956583</v>
      </c>
    </row>
    <row r="93" spans="1:8" x14ac:dyDescent="0.3">
      <c r="A93" s="2">
        <v>2025</v>
      </c>
      <c r="B93" s="5">
        <v>8</v>
      </c>
      <c r="C93" s="5">
        <v>213242.88340783119</v>
      </c>
      <c r="D93" s="5">
        <v>8.4411010410891496</v>
      </c>
      <c r="E93" s="5">
        <v>7.1604433385472293</v>
      </c>
      <c r="F93" s="5">
        <v>1180783.4615498781</v>
      </c>
      <c r="G93" s="5">
        <v>15.04123791296581</v>
      </c>
      <c r="H93" s="5">
        <v>8.1520205289751733</v>
      </c>
    </row>
    <row r="94" spans="1:8" x14ac:dyDescent="0.3">
      <c r="B94" s="5"/>
      <c r="C94" s="5"/>
      <c r="D94" s="5"/>
      <c r="E94" s="5"/>
      <c r="F94" s="5"/>
      <c r="G94" s="5"/>
      <c r="H94" s="5"/>
    </row>
    <row r="95" spans="1:8" x14ac:dyDescent="0.3">
      <c r="B95" s="5"/>
      <c r="C95" s="5"/>
      <c r="D95" s="5"/>
      <c r="E95" s="5"/>
      <c r="F95" s="5"/>
      <c r="G95" s="5"/>
      <c r="H95" s="5"/>
    </row>
    <row r="96" spans="1:8" x14ac:dyDescent="0.3">
      <c r="B96" s="5"/>
      <c r="C96" s="5"/>
      <c r="D96" s="5"/>
      <c r="E96" s="5"/>
      <c r="F96" s="5"/>
      <c r="G96" s="5"/>
      <c r="H96" s="5"/>
    </row>
    <row r="97" spans="2:8" x14ac:dyDescent="0.3">
      <c r="B97" s="5"/>
      <c r="C97" s="5"/>
      <c r="D97" s="5"/>
      <c r="E97" s="5"/>
      <c r="F97" s="5"/>
      <c r="G97" s="5"/>
      <c r="H97" s="5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98"/>
  <sheetViews>
    <sheetView topLeftCell="A82" workbookViewId="0">
      <selection activeCell="D92" sqref="D92"/>
    </sheetView>
  </sheetViews>
  <sheetFormatPr baseColWidth="10" defaultColWidth="11.42578125" defaultRowHeight="13.5" x14ac:dyDescent="0.3"/>
  <cols>
    <col min="1" max="1" width="4.42578125" style="2" bestFit="1" customWidth="1"/>
    <col min="2" max="2" width="9.7109375" style="2" bestFit="1" customWidth="1"/>
    <col min="3" max="3" width="13.5703125" style="2" bestFit="1" customWidth="1"/>
    <col min="4" max="4" width="20.7109375" style="2" bestFit="1" customWidth="1"/>
    <col min="5" max="5" width="18.140625" style="2" bestFit="1" customWidth="1"/>
    <col min="6" max="6" width="13.7109375" style="2" bestFit="1" customWidth="1"/>
    <col min="7" max="7" width="18.42578125" style="2" bestFit="1" customWidth="1"/>
    <col min="8" max="8" width="15.7109375" style="2" bestFit="1" customWidth="1"/>
    <col min="9" max="16384" width="11.42578125" style="2"/>
  </cols>
  <sheetData>
    <row r="1" spans="1:8" x14ac:dyDescent="0.3">
      <c r="A1" s="1" t="s">
        <v>0</v>
      </c>
      <c r="B1" s="1" t="s">
        <v>1</v>
      </c>
      <c r="C1" s="2" t="s">
        <v>230</v>
      </c>
      <c r="D1" s="2" t="s">
        <v>231</v>
      </c>
      <c r="E1" s="2" t="s">
        <v>232</v>
      </c>
      <c r="F1" s="2" t="s">
        <v>233</v>
      </c>
      <c r="G1" s="2" t="s">
        <v>234</v>
      </c>
      <c r="H1" s="2" t="s">
        <v>235</v>
      </c>
    </row>
    <row r="2" spans="1:8" x14ac:dyDescent="0.3">
      <c r="A2" s="1">
        <v>2018</v>
      </c>
      <c r="B2" s="3">
        <v>1</v>
      </c>
      <c r="C2" s="3">
        <v>32027.48</v>
      </c>
      <c r="D2" s="3">
        <v>20.399624374741077</v>
      </c>
      <c r="E2" s="3">
        <v>35.068631996556554</v>
      </c>
      <c r="F2" s="3">
        <v>987186</v>
      </c>
      <c r="G2" s="3">
        <v>54.53103891977014</v>
      </c>
      <c r="H2" s="3">
        <v>14.49357774987055</v>
      </c>
    </row>
    <row r="3" spans="1:8" x14ac:dyDescent="0.3">
      <c r="A3" s="2">
        <v>2018</v>
      </c>
      <c r="B3" s="3">
        <v>2</v>
      </c>
      <c r="C3" s="3">
        <v>59319.96</v>
      </c>
      <c r="D3" s="3">
        <v>101.54221347316721</v>
      </c>
      <c r="E3" s="3">
        <v>33.480336708997271</v>
      </c>
      <c r="F3" s="3">
        <v>1748581</v>
      </c>
      <c r="G3" s="3">
        <v>47.905439639866728</v>
      </c>
      <c r="H3" s="3">
        <v>14.863968946816252</v>
      </c>
    </row>
    <row r="4" spans="1:8" x14ac:dyDescent="0.3">
      <c r="A4" s="2">
        <v>2018</v>
      </c>
      <c r="B4" s="3">
        <v>3</v>
      </c>
      <c r="C4" s="3">
        <v>85652.72</v>
      </c>
      <c r="D4" s="3">
        <v>141.69806901650492</v>
      </c>
      <c r="E4" s="3">
        <v>31.655220170971067</v>
      </c>
      <c r="F4" s="3">
        <v>3139497</v>
      </c>
      <c r="G4" s="3">
        <v>77.499067132535032</v>
      </c>
      <c r="H4" s="3">
        <v>15.177909313906152</v>
      </c>
    </row>
    <row r="5" spans="1:8" x14ac:dyDescent="0.3">
      <c r="A5" s="2">
        <v>2018</v>
      </c>
      <c r="B5" s="3">
        <v>4</v>
      </c>
      <c r="C5" s="3">
        <v>91498.55</v>
      </c>
      <c r="D5" s="3">
        <v>96.861716330034952</v>
      </c>
      <c r="E5" s="3">
        <v>29.622206238228539</v>
      </c>
      <c r="F5" s="3">
        <v>3302955</v>
      </c>
      <c r="G5" s="3">
        <v>45.666013226107353</v>
      </c>
      <c r="H5" s="3">
        <v>15.435739413829062</v>
      </c>
    </row>
    <row r="6" spans="1:8" x14ac:dyDescent="0.3">
      <c r="A6" s="2">
        <v>2018</v>
      </c>
      <c r="B6" s="3">
        <v>5</v>
      </c>
      <c r="C6" s="3">
        <v>94413.02</v>
      </c>
      <c r="D6" s="3">
        <v>75.842891143862289</v>
      </c>
      <c r="E6" s="3">
        <v>27.417860631023458</v>
      </c>
      <c r="F6" s="3">
        <v>3522976</v>
      </c>
      <c r="G6" s="3">
        <v>17.588573370195594</v>
      </c>
      <c r="H6" s="3">
        <v>15.642127667455643</v>
      </c>
    </row>
    <row r="7" spans="1:8" x14ac:dyDescent="0.3">
      <c r="A7" s="2">
        <v>2018</v>
      </c>
      <c r="B7" s="3">
        <v>6</v>
      </c>
      <c r="C7" s="3">
        <v>96681.98000000001</v>
      </c>
      <c r="D7" s="3">
        <v>49.653079132630509</v>
      </c>
      <c r="E7" s="3">
        <v>25.083418480032641</v>
      </c>
      <c r="F7" s="3">
        <v>4016779</v>
      </c>
      <c r="G7" s="3">
        <v>8.5658492021984713</v>
      </c>
      <c r="H7" s="3">
        <v>15.803841820226859</v>
      </c>
    </row>
    <row r="8" spans="1:8" x14ac:dyDescent="0.3">
      <c r="A8" s="2">
        <v>2018</v>
      </c>
      <c r="B8" s="3">
        <v>7</v>
      </c>
      <c r="C8" s="3">
        <v>100549.23000000001</v>
      </c>
      <c r="D8" s="3">
        <v>29.780210915431837</v>
      </c>
      <c r="E8" s="3">
        <v>22.663477765274077</v>
      </c>
      <c r="F8" s="3">
        <v>4739466</v>
      </c>
      <c r="G8" s="3">
        <v>5.617194812140669</v>
      </c>
      <c r="H8" s="3">
        <v>15.927784787424143</v>
      </c>
    </row>
    <row r="9" spans="1:8" x14ac:dyDescent="0.3">
      <c r="A9" s="2">
        <v>2018</v>
      </c>
      <c r="B9" s="3">
        <v>8</v>
      </c>
      <c r="C9" s="3">
        <v>123404.59000000001</v>
      </c>
      <c r="D9" s="3">
        <v>48.129259458073562</v>
      </c>
      <c r="E9" s="3">
        <v>20.204342693199962</v>
      </c>
      <c r="F9" s="3">
        <v>6263555</v>
      </c>
      <c r="G9" s="3">
        <v>9.3590135758677917</v>
      </c>
      <c r="H9" s="3">
        <v>16.020356845952673</v>
      </c>
    </row>
    <row r="10" spans="1:8" x14ac:dyDescent="0.3">
      <c r="A10" s="2">
        <v>2018</v>
      </c>
      <c r="B10" s="3">
        <v>9</v>
      </c>
      <c r="C10" s="3">
        <v>151121.21000000002</v>
      </c>
      <c r="D10" s="3">
        <v>65.218494571131245</v>
      </c>
      <c r="E10" s="3">
        <v>17.752811687842357</v>
      </c>
      <c r="F10" s="3">
        <v>6570392</v>
      </c>
      <c r="G10" s="3">
        <v>1.4014166954493756</v>
      </c>
      <c r="H10" s="3">
        <v>16.087242259524899</v>
      </c>
    </row>
    <row r="11" spans="1:8" x14ac:dyDescent="0.3">
      <c r="A11" s="2">
        <v>2018</v>
      </c>
      <c r="B11" s="3">
        <v>10</v>
      </c>
      <c r="C11" s="3">
        <v>174557.98</v>
      </c>
      <c r="D11" s="3">
        <v>-43.30698508832387</v>
      </c>
      <c r="E11" s="3">
        <v>15.357622403564223</v>
      </c>
      <c r="F11" s="3">
        <v>7393054</v>
      </c>
      <c r="G11" s="3">
        <v>-4.594146100615859</v>
      </c>
      <c r="H11" s="3">
        <v>16.133662698570625</v>
      </c>
    </row>
    <row r="12" spans="1:8" x14ac:dyDescent="0.3">
      <c r="A12" s="2">
        <v>2018</v>
      </c>
      <c r="B12" s="3">
        <v>11</v>
      </c>
      <c r="C12" s="3">
        <v>180148.48000000001</v>
      </c>
      <c r="D12" s="3">
        <v>-44.094159945677006</v>
      </c>
      <c r="E12" s="3">
        <v>13.070808722706525</v>
      </c>
      <c r="F12" s="3">
        <v>8054899</v>
      </c>
      <c r="G12" s="3">
        <v>-7.4291801363399639</v>
      </c>
      <c r="H12" s="3">
        <v>16.163819984522153</v>
      </c>
    </row>
    <row r="13" spans="1:8" x14ac:dyDescent="0.3">
      <c r="A13" s="2">
        <v>2018</v>
      </c>
      <c r="B13" s="3">
        <v>12</v>
      </c>
      <c r="C13" s="3">
        <v>183212.96000000002</v>
      </c>
      <c r="D13" s="3">
        <v>-49.920308674629474</v>
      </c>
      <c r="E13" s="3">
        <v>10.940330596534404</v>
      </c>
      <c r="F13" s="3">
        <v>8702225</v>
      </c>
      <c r="G13" s="3">
        <v>-14.592255301900526</v>
      </c>
      <c r="H13" s="3">
        <v>16.180476507645174</v>
      </c>
    </row>
    <row r="14" spans="1:8" x14ac:dyDescent="0.3">
      <c r="A14" s="2">
        <v>2019</v>
      </c>
      <c r="B14" s="3">
        <v>1</v>
      </c>
      <c r="C14" s="3">
        <v>12487.3</v>
      </c>
      <c r="D14" s="3">
        <v>-61.010669587491748</v>
      </c>
      <c r="E14" s="3">
        <v>9.0101781868221344</v>
      </c>
      <c r="F14" s="3">
        <v>1985388</v>
      </c>
      <c r="G14" s="3">
        <v>101.11589913147068</v>
      </c>
      <c r="H14" s="3">
        <v>16.184756255419206</v>
      </c>
    </row>
    <row r="15" spans="1:8" x14ac:dyDescent="0.3">
      <c r="A15" s="2">
        <v>2019</v>
      </c>
      <c r="B15" s="3">
        <v>2</v>
      </c>
      <c r="C15" s="3">
        <v>17058.53</v>
      </c>
      <c r="D15" s="3">
        <v>-71.243186947529978</v>
      </c>
      <c r="E15" s="3">
        <v>7.3201152220612746</v>
      </c>
      <c r="F15" s="3">
        <v>2428843</v>
      </c>
      <c r="G15" s="3">
        <v>38.903659595980969</v>
      </c>
      <c r="H15" s="3">
        <v>16.17564622005921</v>
      </c>
    </row>
    <row r="16" spans="1:8" x14ac:dyDescent="0.3">
      <c r="A16" s="2">
        <v>2019</v>
      </c>
      <c r="B16" s="3">
        <v>3</v>
      </c>
      <c r="C16" s="3">
        <v>18208.55</v>
      </c>
      <c r="D16" s="3">
        <v>-78.741422338951992</v>
      </c>
      <c r="E16" s="3">
        <v>5.9050428718701644</v>
      </c>
      <c r="F16" s="3">
        <v>3174262</v>
      </c>
      <c r="G16" s="3">
        <v>1.1073429915684052</v>
      </c>
      <c r="H16" s="3">
        <v>16.158031389813207</v>
      </c>
    </row>
    <row r="17" spans="1:8" x14ac:dyDescent="0.3">
      <c r="A17" s="2">
        <v>2019</v>
      </c>
      <c r="B17" s="3">
        <v>4</v>
      </c>
      <c r="C17" s="3">
        <v>32835.64</v>
      </c>
      <c r="D17" s="3">
        <v>-64.11348595141672</v>
      </c>
      <c r="E17" s="3">
        <v>4.7944065209942552</v>
      </c>
      <c r="F17" s="3">
        <v>3935507</v>
      </c>
      <c r="G17" s="3">
        <v>19.151093490525906</v>
      </c>
      <c r="H17" s="3">
        <v>16.138375087191434</v>
      </c>
    </row>
    <row r="18" spans="1:8" x14ac:dyDescent="0.3">
      <c r="A18" s="2">
        <v>2019</v>
      </c>
      <c r="B18" s="3">
        <v>5</v>
      </c>
      <c r="C18" s="3">
        <v>45643.08</v>
      </c>
      <c r="D18" s="3">
        <v>-51.655947453010185</v>
      </c>
      <c r="E18" s="3">
        <v>4.0117733274282461</v>
      </c>
      <c r="F18" s="3">
        <v>4639073</v>
      </c>
      <c r="G18" s="3">
        <v>31.680516699517682</v>
      </c>
      <c r="H18" s="3">
        <v>16.122095448009802</v>
      </c>
    </row>
    <row r="19" spans="1:8" x14ac:dyDescent="0.3">
      <c r="A19" s="2">
        <v>2019</v>
      </c>
      <c r="B19" s="3">
        <v>6</v>
      </c>
      <c r="C19" s="3">
        <v>57267.97</v>
      </c>
      <c r="D19" s="3">
        <v>-40.766655792527217</v>
      </c>
      <c r="E19" s="3">
        <v>3.5759251788562505</v>
      </c>
      <c r="F19" s="3">
        <v>5422596</v>
      </c>
      <c r="G19" s="3">
        <v>34.998614561567855</v>
      </c>
      <c r="H19" s="3">
        <v>16.114819824640009</v>
      </c>
    </row>
    <row r="20" spans="1:8" x14ac:dyDescent="0.3">
      <c r="A20" s="2">
        <v>2019</v>
      </c>
      <c r="B20" s="3">
        <v>7</v>
      </c>
      <c r="C20" s="3">
        <v>61337.79</v>
      </c>
      <c r="D20" s="3">
        <v>-38.997255374307692</v>
      </c>
      <c r="E20" s="3">
        <v>3.5017781490192963</v>
      </c>
      <c r="F20" s="3">
        <v>6820797</v>
      </c>
      <c r="G20" s="3">
        <v>43.914884081877581</v>
      </c>
      <c r="H20" s="3">
        <v>16.123256015373993</v>
      </c>
    </row>
    <row r="21" spans="1:8" x14ac:dyDescent="0.3">
      <c r="A21" s="2">
        <v>2019</v>
      </c>
      <c r="B21" s="3">
        <v>8</v>
      </c>
      <c r="C21" s="3">
        <v>103237.20999999999</v>
      </c>
      <c r="D21" s="3">
        <v>-16.342487747011692</v>
      </c>
      <c r="E21" s="3">
        <v>3.8011689657576198</v>
      </c>
      <c r="F21" s="3">
        <v>7404283</v>
      </c>
      <c r="G21" s="3">
        <v>18.212149490185681</v>
      </c>
      <c r="H21" s="3">
        <v>16.155423193138201</v>
      </c>
    </row>
    <row r="22" spans="1:8" x14ac:dyDescent="0.3">
      <c r="A22" s="2">
        <v>2019</v>
      </c>
      <c r="B22" s="3">
        <v>9</v>
      </c>
      <c r="C22" s="3">
        <v>104822.35999999999</v>
      </c>
      <c r="D22" s="3">
        <v>-30.636897362057937</v>
      </c>
      <c r="E22" s="3">
        <v>4.4829830351390036</v>
      </c>
      <c r="F22" s="3">
        <v>7763609</v>
      </c>
      <c r="G22" s="3">
        <v>18.160514623785005</v>
      </c>
      <c r="H22" s="3">
        <v>16.221270505030358</v>
      </c>
    </row>
    <row r="23" spans="1:8" x14ac:dyDescent="0.3">
      <c r="A23" s="2">
        <v>2019</v>
      </c>
      <c r="B23" s="3">
        <v>10</v>
      </c>
      <c r="C23" s="3">
        <v>106079.11999999998</v>
      </c>
      <c r="D23" s="3">
        <v>-39.229865056871091</v>
      </c>
      <c r="E23" s="3">
        <v>5.5547068981817329</v>
      </c>
      <c r="F23" s="3">
        <v>8430023</v>
      </c>
      <c r="G23" s="3">
        <v>14.026260324894157</v>
      </c>
      <c r="H23" s="3">
        <v>16.330889926363266</v>
      </c>
    </row>
    <row r="24" spans="1:8" x14ac:dyDescent="0.3">
      <c r="A24" s="2">
        <v>2019</v>
      </c>
      <c r="B24" s="3">
        <v>11</v>
      </c>
      <c r="C24" s="3">
        <v>108245.53999999998</v>
      </c>
      <c r="D24" s="3">
        <v>-39.913153860637642</v>
      </c>
      <c r="E24" s="3">
        <v>7.0213882153209548</v>
      </c>
      <c r="F24" s="3">
        <v>8764853</v>
      </c>
      <c r="G24" s="3">
        <v>8.8139404355039197</v>
      </c>
      <c r="H24" s="3">
        <v>16.494508102180198</v>
      </c>
    </row>
    <row r="25" spans="1:8" x14ac:dyDescent="0.3">
      <c r="A25" s="2">
        <v>2019</v>
      </c>
      <c r="B25" s="3">
        <v>12</v>
      </c>
      <c r="C25" s="3">
        <v>136001.68</v>
      </c>
      <c r="D25" s="3">
        <v>-25.768526418655114</v>
      </c>
      <c r="E25" s="3">
        <v>8.8849646072727158</v>
      </c>
      <c r="F25" s="3">
        <v>9788766</v>
      </c>
      <c r="G25" s="3">
        <v>12.485783808164008</v>
      </c>
      <c r="H25" s="3">
        <v>16.722191633802105</v>
      </c>
    </row>
    <row r="26" spans="1:8" x14ac:dyDescent="0.3">
      <c r="A26" s="2">
        <v>2020</v>
      </c>
      <c r="B26" s="3">
        <v>1</v>
      </c>
      <c r="C26" s="3">
        <v>3111.25</v>
      </c>
      <c r="D26" s="3">
        <v>-75.084686041017676</v>
      </c>
      <c r="E26" s="3">
        <v>11.144114351553341</v>
      </c>
      <c r="F26" s="3">
        <v>1220237</v>
      </c>
      <c r="G26" s="3">
        <v>-38.539116787247629</v>
      </c>
      <c r="H26" s="3">
        <v>17.023473749795304</v>
      </c>
    </row>
    <row r="27" spans="1:8" x14ac:dyDescent="0.3">
      <c r="A27" s="2">
        <v>2020</v>
      </c>
      <c r="B27" s="3">
        <v>2</v>
      </c>
      <c r="C27" s="3">
        <v>7669.9</v>
      </c>
      <c r="D27" s="3">
        <v>-55.037743580484367</v>
      </c>
      <c r="E27" s="3">
        <v>13.7951092332468</v>
      </c>
      <c r="F27" s="3">
        <v>2381512</v>
      </c>
      <c r="G27" s="3">
        <v>-1.9487056182717399</v>
      </c>
      <c r="H27" s="3">
        <v>17.407593483738218</v>
      </c>
    </row>
    <row r="28" spans="1:8" x14ac:dyDescent="0.3">
      <c r="A28" s="2">
        <v>2020</v>
      </c>
      <c r="B28" s="3">
        <v>3</v>
      </c>
      <c r="C28" s="3">
        <v>13517.939999999999</v>
      </c>
      <c r="D28" s="3">
        <v>-25.760480653319462</v>
      </c>
      <c r="E28" s="3">
        <v>16.828232926298686</v>
      </c>
      <c r="F28" s="3">
        <v>2783575</v>
      </c>
      <c r="G28" s="3">
        <v>-12.30796323680906</v>
      </c>
      <c r="H28" s="3">
        <v>17.879931355977533</v>
      </c>
    </row>
    <row r="29" spans="1:8" x14ac:dyDescent="0.3">
      <c r="A29" s="2">
        <v>2020</v>
      </c>
      <c r="B29" s="3">
        <v>4</v>
      </c>
      <c r="C29" s="3">
        <v>13795.72</v>
      </c>
      <c r="D29" s="3">
        <v>-57.985530356649065</v>
      </c>
      <c r="E29" s="3">
        <v>20.228989045431419</v>
      </c>
      <c r="F29" s="3">
        <v>2984865</v>
      </c>
      <c r="G29" s="3">
        <v>-24.15551541389712</v>
      </c>
      <c r="H29" s="3">
        <v>18.444523699422291</v>
      </c>
    </row>
    <row r="30" spans="1:8" x14ac:dyDescent="0.3">
      <c r="A30" s="2">
        <v>2020</v>
      </c>
      <c r="B30" s="3">
        <v>5</v>
      </c>
      <c r="C30" s="3">
        <v>21950.65</v>
      </c>
      <c r="D30" s="3">
        <v>-51.908043891867074</v>
      </c>
      <c r="E30" s="3">
        <v>23.97992365581328</v>
      </c>
      <c r="F30" s="3">
        <v>3784084</v>
      </c>
      <c r="G30" s="3">
        <v>-18.430169130772466</v>
      </c>
      <c r="H30" s="3">
        <v>19.103310465412598</v>
      </c>
    </row>
    <row r="31" spans="1:8" x14ac:dyDescent="0.3">
      <c r="A31" s="2">
        <v>2020</v>
      </c>
      <c r="B31" s="3">
        <v>6</v>
      </c>
      <c r="C31" s="3">
        <v>32508.940000000002</v>
      </c>
      <c r="D31" s="3">
        <v>-43.233643518357646</v>
      </c>
      <c r="E31" s="3">
        <v>28.058151258765182</v>
      </c>
      <c r="F31" s="3">
        <v>4523023</v>
      </c>
      <c r="G31" s="3">
        <v>-16.589342078959966</v>
      </c>
      <c r="H31" s="3">
        <v>19.855273269239017</v>
      </c>
    </row>
    <row r="32" spans="1:8" x14ac:dyDescent="0.3">
      <c r="A32" s="2">
        <v>2020</v>
      </c>
      <c r="B32" s="3">
        <v>7</v>
      </c>
      <c r="C32" s="3">
        <v>37308.75</v>
      </c>
      <c r="D32" s="3">
        <v>-39.174936038615016</v>
      </c>
      <c r="E32" s="3">
        <v>32.435516357861673</v>
      </c>
      <c r="F32" s="3">
        <v>5582637</v>
      </c>
      <c r="G32" s="3">
        <v>-18.152717343735635</v>
      </c>
      <c r="H32" s="3">
        <v>20.696787234553497</v>
      </c>
    </row>
    <row r="33" spans="1:8" x14ac:dyDescent="0.3">
      <c r="A33" s="2">
        <v>2020</v>
      </c>
      <c r="B33" s="3">
        <v>8</v>
      </c>
      <c r="C33" s="3">
        <v>43825.05</v>
      </c>
      <c r="D33" s="3">
        <v>-57.549172435016402</v>
      </c>
      <c r="E33" s="3">
        <v>37.078912637595565</v>
      </c>
      <c r="F33" s="3">
        <v>6300459</v>
      </c>
      <c r="G33" s="3">
        <v>-14.907912082776953</v>
      </c>
      <c r="H33" s="3">
        <v>21.621696608942138</v>
      </c>
    </row>
    <row r="34" spans="1:8" x14ac:dyDescent="0.3">
      <c r="A34" s="2">
        <v>2020</v>
      </c>
      <c r="B34" s="3">
        <v>9</v>
      </c>
      <c r="C34" s="3">
        <v>47962.720000000001</v>
      </c>
      <c r="D34" s="3">
        <v>-54.243808286705232</v>
      </c>
      <c r="E34" s="3">
        <v>41.950260834376586</v>
      </c>
      <c r="F34" s="3">
        <v>7147321</v>
      </c>
      <c r="G34" s="3">
        <v>-7.9381638101558183</v>
      </c>
      <c r="H34" s="3">
        <v>22.621147757728661</v>
      </c>
    </row>
    <row r="35" spans="1:8" x14ac:dyDescent="0.3">
      <c r="A35" s="2">
        <v>2020</v>
      </c>
      <c r="B35" s="3">
        <v>10</v>
      </c>
      <c r="C35" s="3">
        <v>56914.32</v>
      </c>
      <c r="D35" s="3">
        <v>-46.347292473768633</v>
      </c>
      <c r="E35" s="3">
        <v>47.004910289817751</v>
      </c>
      <c r="F35" s="3">
        <v>8020608</v>
      </c>
      <c r="G35" s="3">
        <v>-4.8566296912831657</v>
      </c>
      <c r="H35" s="3">
        <v>23.683750267855419</v>
      </c>
    </row>
    <row r="36" spans="1:8" x14ac:dyDescent="0.3">
      <c r="A36" s="2">
        <v>2020</v>
      </c>
      <c r="B36" s="3">
        <v>11</v>
      </c>
      <c r="C36" s="3">
        <v>87157.64</v>
      </c>
      <c r="D36" s="3">
        <v>-19.481541687537408</v>
      </c>
      <c r="E36" s="3">
        <v>52.191530201843108</v>
      </c>
      <c r="F36" s="3">
        <v>8842176</v>
      </c>
      <c r="G36" s="3">
        <v>0.88219391700008476</v>
      </c>
      <c r="H36" s="3">
        <v>24.795991551850332</v>
      </c>
    </row>
    <row r="37" spans="1:8" x14ac:dyDescent="0.3">
      <c r="A37" s="2">
        <v>2020</v>
      </c>
      <c r="B37" s="3">
        <v>12</v>
      </c>
      <c r="C37" s="3">
        <v>96551.07</v>
      </c>
      <c r="D37" s="3">
        <v>-29.007443143349398</v>
      </c>
      <c r="E37" s="3">
        <v>57.452306976518123</v>
      </c>
      <c r="F37" s="3">
        <v>10442717</v>
      </c>
      <c r="G37" s="3">
        <v>6.6806275683778837</v>
      </c>
      <c r="H37" s="3">
        <v>25.942377051410816</v>
      </c>
    </row>
    <row r="38" spans="1:8" x14ac:dyDescent="0.3">
      <c r="A38" s="2">
        <v>2021</v>
      </c>
      <c r="B38" s="3">
        <v>1</v>
      </c>
      <c r="C38" s="3">
        <v>10813.37</v>
      </c>
      <c r="D38" s="3">
        <v>247.55709120128566</v>
      </c>
      <c r="E38" s="3">
        <v>62.724449723249279</v>
      </c>
      <c r="F38" s="3">
        <v>1066205</v>
      </c>
      <c r="G38" s="3">
        <v>-12.623121573923758</v>
      </c>
      <c r="H38" s="3">
        <v>27.10575152784298</v>
      </c>
    </row>
    <row r="39" spans="1:8" x14ac:dyDescent="0.3">
      <c r="A39" s="2">
        <v>2021</v>
      </c>
      <c r="B39" s="3">
        <v>2</v>
      </c>
      <c r="C39" s="3">
        <v>18822.120000000003</v>
      </c>
      <c r="D39" s="3">
        <v>145.40241724142433</v>
      </c>
      <c r="E39" s="3">
        <v>67.939163402129168</v>
      </c>
      <c r="F39" s="3">
        <v>2041594</v>
      </c>
      <c r="G39" s="3">
        <v>-14.273201226783661</v>
      </c>
      <c r="H39" s="3">
        <v>28.267622120961057</v>
      </c>
    </row>
    <row r="40" spans="1:8" x14ac:dyDescent="0.3">
      <c r="A40" s="2">
        <v>2021</v>
      </c>
      <c r="B40" s="3">
        <v>3</v>
      </c>
      <c r="C40" s="3">
        <v>21939.31</v>
      </c>
      <c r="D40" s="3">
        <v>62.297731754986366</v>
      </c>
      <c r="E40" s="3">
        <v>73.040488573353016</v>
      </c>
      <c r="F40" s="3">
        <v>3118046</v>
      </c>
      <c r="G40" s="3">
        <v>12.015878860817475</v>
      </c>
      <c r="H40" s="3">
        <v>29.406737021058316</v>
      </c>
    </row>
    <row r="41" spans="1:8" x14ac:dyDescent="0.3">
      <c r="A41" s="2">
        <v>2021</v>
      </c>
      <c r="B41" s="3">
        <v>4</v>
      </c>
      <c r="C41" s="3">
        <v>32373.61</v>
      </c>
      <c r="D41" s="3">
        <v>134.66415670947222</v>
      </c>
      <c r="E41" s="3">
        <v>77.977845189743775</v>
      </c>
      <c r="F41" s="3">
        <v>4931442</v>
      </c>
      <c r="G41" s="3">
        <v>65.214909216999772</v>
      </c>
      <c r="H41" s="3">
        <v>30.49889019458443</v>
      </c>
    </row>
    <row r="42" spans="1:8" x14ac:dyDescent="0.3">
      <c r="A42" s="2">
        <v>2021</v>
      </c>
      <c r="B42" s="3">
        <v>5</v>
      </c>
      <c r="C42" s="3">
        <v>50832.09</v>
      </c>
      <c r="D42" s="3">
        <v>131.57441806962433</v>
      </c>
      <c r="E42" s="3">
        <v>82.69990717934536</v>
      </c>
      <c r="F42" s="3">
        <v>6387330</v>
      </c>
      <c r="G42" s="3">
        <v>68.794614495872722</v>
      </c>
      <c r="H42" s="3">
        <v>31.518667909505734</v>
      </c>
    </row>
    <row r="43" spans="1:8" x14ac:dyDescent="0.3">
      <c r="A43" s="2">
        <v>2021</v>
      </c>
      <c r="B43" s="3">
        <v>6</v>
      </c>
      <c r="C43" s="3">
        <v>68148.11</v>
      </c>
      <c r="D43" s="3">
        <v>109.62882825462779</v>
      </c>
      <c r="E43" s="3">
        <v>87.159285019612796</v>
      </c>
      <c r="F43" s="3">
        <v>8027614</v>
      </c>
      <c r="G43" s="3">
        <v>77.483377820541705</v>
      </c>
      <c r="H43" s="3">
        <v>32.443067268442896</v>
      </c>
    </row>
    <row r="44" spans="1:8" x14ac:dyDescent="0.3">
      <c r="A44" s="2">
        <v>2021</v>
      </c>
      <c r="B44" s="3">
        <v>7</v>
      </c>
      <c r="C44" s="3">
        <v>88765.27</v>
      </c>
      <c r="D44" s="3">
        <v>137.9207826582236</v>
      </c>
      <c r="E44" s="3">
        <v>91.311983251257359</v>
      </c>
      <c r="F44" s="3">
        <v>10128369</v>
      </c>
      <c r="G44" s="3">
        <v>81.426250712700821</v>
      </c>
      <c r="H44" s="3">
        <v>33.251673981418413</v>
      </c>
    </row>
    <row r="45" spans="1:8" x14ac:dyDescent="0.3">
      <c r="A45" s="2">
        <v>2021</v>
      </c>
      <c r="B45" s="3">
        <v>8</v>
      </c>
      <c r="C45" s="3">
        <v>141739.07</v>
      </c>
      <c r="D45" s="3">
        <v>223.42021286912393</v>
      </c>
      <c r="E45" s="3">
        <v>95.115566799937227</v>
      </c>
      <c r="F45" s="3">
        <v>12179766</v>
      </c>
      <c r="G45" s="3">
        <v>93.31553463009601</v>
      </c>
      <c r="H45" s="3">
        <v>33.927201557798689</v>
      </c>
    </row>
    <row r="46" spans="1:8" x14ac:dyDescent="0.3">
      <c r="A46" s="2">
        <v>2021</v>
      </c>
      <c r="B46" s="3">
        <v>9</v>
      </c>
      <c r="C46" s="3">
        <v>160658.78</v>
      </c>
      <c r="D46" s="3">
        <v>234.96594855337642</v>
      </c>
      <c r="E46" s="3">
        <v>98.530837313491602</v>
      </c>
      <c r="F46" s="3">
        <v>13733548</v>
      </c>
      <c r="G46" s="3">
        <v>92.149590035203403</v>
      </c>
      <c r="H46" s="3">
        <v>34.455708963667576</v>
      </c>
    </row>
    <row r="47" spans="1:8" x14ac:dyDescent="0.3">
      <c r="A47" s="2">
        <v>2021</v>
      </c>
      <c r="B47" s="3">
        <v>10</v>
      </c>
      <c r="C47" s="3">
        <v>174419.39</v>
      </c>
      <c r="D47" s="3">
        <v>206.45958697213641</v>
      </c>
      <c r="E47" s="3">
        <v>101.5275064846256</v>
      </c>
      <c r="F47" s="3">
        <v>15760881</v>
      </c>
      <c r="G47" s="3">
        <v>96.504816093742534</v>
      </c>
      <c r="H47" s="3">
        <v>34.827379354905602</v>
      </c>
    </row>
    <row r="48" spans="1:8" x14ac:dyDescent="0.3">
      <c r="A48" s="2">
        <v>2021</v>
      </c>
      <c r="B48" s="3">
        <v>11</v>
      </c>
      <c r="C48" s="3">
        <v>247070.75</v>
      </c>
      <c r="D48" s="3">
        <v>183.47572283967301</v>
      </c>
      <c r="E48" s="3">
        <v>104.08476066654711</v>
      </c>
      <c r="F48" s="3">
        <v>17428209</v>
      </c>
      <c r="G48" s="3">
        <v>97.103167817514603</v>
      </c>
      <c r="H48" s="3">
        <v>35.03640240691216</v>
      </c>
    </row>
    <row r="49" spans="1:8" x14ac:dyDescent="0.3">
      <c r="A49" s="2">
        <v>2021</v>
      </c>
      <c r="B49" s="3">
        <v>12</v>
      </c>
      <c r="C49" s="3">
        <v>354772.18</v>
      </c>
      <c r="D49" s="3">
        <v>267.44510444058255</v>
      </c>
      <c r="E49" s="3">
        <v>106.18907316249785</v>
      </c>
      <c r="F49" s="3">
        <v>19527709</v>
      </c>
      <c r="G49" s="3">
        <v>86.998354930043604</v>
      </c>
      <c r="H49" s="3">
        <v>35.081250950415722</v>
      </c>
    </row>
    <row r="50" spans="1:8" x14ac:dyDescent="0.3">
      <c r="A50" s="2">
        <v>2022</v>
      </c>
      <c r="B50" s="3">
        <v>1</v>
      </c>
      <c r="C50" s="3">
        <v>28892.68</v>
      </c>
      <c r="D50" s="3">
        <v>167.19403849123813</v>
      </c>
      <c r="E50" s="3">
        <v>107.83243053698158</v>
      </c>
      <c r="F50" s="3">
        <v>2080394</v>
      </c>
      <c r="G50" s="3">
        <v>95.121388475949757</v>
      </c>
      <c r="H50" s="3">
        <v>34.964708008187159</v>
      </c>
    </row>
    <row r="51" spans="1:8" x14ac:dyDescent="0.3">
      <c r="A51" s="2">
        <v>2022</v>
      </c>
      <c r="B51" s="3">
        <v>2</v>
      </c>
      <c r="C51" s="3">
        <v>48386.82</v>
      </c>
      <c r="D51" s="3">
        <v>157.07422968294748</v>
      </c>
      <c r="E51" s="3">
        <v>109.01801769000745</v>
      </c>
      <c r="F51" s="3">
        <v>3184666</v>
      </c>
      <c r="G51" s="3">
        <v>55.989192758207551</v>
      </c>
      <c r="H51" s="3">
        <v>34.693161957440374</v>
      </c>
    </row>
    <row r="52" spans="1:8" x14ac:dyDescent="0.3">
      <c r="A52" s="2">
        <v>2022</v>
      </c>
      <c r="B52" s="3">
        <v>3</v>
      </c>
      <c r="C52" s="3">
        <v>65905.09</v>
      </c>
      <c r="D52" s="3">
        <v>200.39727776306546</v>
      </c>
      <c r="E52" s="3">
        <v>109.75314185547037</v>
      </c>
      <c r="F52" s="3">
        <v>4753328</v>
      </c>
      <c r="G52" s="3">
        <v>52.445730435022455</v>
      </c>
      <c r="H52" s="3">
        <v>34.277178722643981</v>
      </c>
    </row>
    <row r="53" spans="1:8" x14ac:dyDescent="0.3">
      <c r="A53" s="2">
        <v>2022</v>
      </c>
      <c r="B53" s="3">
        <v>4</v>
      </c>
      <c r="C53" s="3">
        <v>85163.44</v>
      </c>
      <c r="D53" s="3">
        <v>163.06439102713603</v>
      </c>
      <c r="E53" s="3">
        <v>110.04844750420918</v>
      </c>
      <c r="F53" s="3">
        <v>6233542</v>
      </c>
      <c r="G53" s="3">
        <v>26.404041657592249</v>
      </c>
      <c r="H53" s="3">
        <v>33.728803119294426</v>
      </c>
    </row>
    <row r="54" spans="1:8" x14ac:dyDescent="0.3">
      <c r="A54" s="2">
        <v>2022</v>
      </c>
      <c r="B54" s="3">
        <v>5</v>
      </c>
      <c r="C54" s="3">
        <v>106602.2</v>
      </c>
      <c r="D54" s="3">
        <v>109.71437530898297</v>
      </c>
      <c r="E54" s="3">
        <v>109.92087383872298</v>
      </c>
      <c r="F54" s="3">
        <v>8229443</v>
      </c>
      <c r="G54" s="3">
        <v>28.840110030325651</v>
      </c>
      <c r="H54" s="3">
        <v>33.061341667868177</v>
      </c>
    </row>
    <row r="55" spans="1:8" x14ac:dyDescent="0.3">
      <c r="A55" s="2">
        <v>2022</v>
      </c>
      <c r="B55" s="3">
        <v>6</v>
      </c>
      <c r="C55" s="3">
        <v>134676.07999999999</v>
      </c>
      <c r="D55" s="3">
        <v>97.622619321357547</v>
      </c>
      <c r="E55" s="3">
        <v>109.39104172425556</v>
      </c>
      <c r="F55" s="3">
        <v>10343146</v>
      </c>
      <c r="G55" s="3">
        <v>28.844585701305526</v>
      </c>
      <c r="H55" s="3">
        <v>32.287592224851316</v>
      </c>
    </row>
    <row r="56" spans="1:8" x14ac:dyDescent="0.3">
      <c r="A56" s="2">
        <v>2022</v>
      </c>
      <c r="B56" s="3">
        <v>7</v>
      </c>
      <c r="C56" s="3">
        <v>153794.9</v>
      </c>
      <c r="D56" s="3">
        <v>73.260217650439174</v>
      </c>
      <c r="E56" s="3">
        <v>108.47955768587497</v>
      </c>
      <c r="F56" s="3">
        <v>12465994</v>
      </c>
      <c r="G56" s="3">
        <v>23.079974673118642</v>
      </c>
      <c r="H56" s="3">
        <v>31.42005950564398</v>
      </c>
    </row>
    <row r="57" spans="1:8" x14ac:dyDescent="0.3">
      <c r="A57" s="2">
        <v>2022</v>
      </c>
      <c r="B57" s="3">
        <v>8</v>
      </c>
      <c r="C57" s="3">
        <v>272874.38</v>
      </c>
      <c r="D57" s="3">
        <v>92.518816442072023</v>
      </c>
      <c r="E57" s="3">
        <v>107.20621099709351</v>
      </c>
      <c r="F57" s="3">
        <v>15199393</v>
      </c>
      <c r="G57" s="3">
        <v>24.792159389597469</v>
      </c>
      <c r="H57" s="3">
        <v>30.471009127971055</v>
      </c>
    </row>
    <row r="58" spans="1:8" x14ac:dyDescent="0.3">
      <c r="A58" s="2">
        <v>2022</v>
      </c>
      <c r="B58" s="3">
        <v>9</v>
      </c>
      <c r="C58" s="3">
        <v>317627.12</v>
      </c>
      <c r="D58" s="3">
        <v>97.702932886705597</v>
      </c>
      <c r="E58" s="3">
        <v>105.58834514392102</v>
      </c>
      <c r="F58" s="3">
        <v>16707277</v>
      </c>
      <c r="G58" s="3">
        <v>21.653028044901433</v>
      </c>
      <c r="H58" s="3">
        <v>29.452127536999608</v>
      </c>
    </row>
    <row r="59" spans="1:8" x14ac:dyDescent="0.3">
      <c r="A59" s="2">
        <v>2022</v>
      </c>
      <c r="B59" s="3">
        <v>10</v>
      </c>
      <c r="C59" s="3">
        <v>336283.33999999997</v>
      </c>
      <c r="D59" s="3">
        <v>92.801580145418441</v>
      </c>
      <c r="E59" s="3">
        <v>103.64228365441213</v>
      </c>
      <c r="F59" s="3">
        <v>19200118</v>
      </c>
      <c r="G59" s="3">
        <v>21.821349961337823</v>
      </c>
      <c r="H59" s="3">
        <v>28.374706813331546</v>
      </c>
    </row>
    <row r="60" spans="1:8" x14ac:dyDescent="0.3">
      <c r="A60" s="2">
        <v>2022</v>
      </c>
      <c r="B60" s="3">
        <v>11</v>
      </c>
      <c r="C60" s="3">
        <v>377375.54</v>
      </c>
      <c r="D60" s="3">
        <v>52.739869045607371</v>
      </c>
      <c r="E60" s="3">
        <v>101.38380245854805</v>
      </c>
      <c r="F60" s="3">
        <v>21791755</v>
      </c>
      <c r="G60" s="3">
        <v>25.03725999613615</v>
      </c>
      <c r="H60" s="3">
        <v>27.249497433437377</v>
      </c>
    </row>
    <row r="61" spans="1:8" x14ac:dyDescent="0.3">
      <c r="A61" s="2">
        <v>2022</v>
      </c>
      <c r="B61" s="3">
        <v>12</v>
      </c>
      <c r="C61" s="3">
        <v>402096.25</v>
      </c>
      <c r="D61" s="3">
        <v>13.339284382445094</v>
      </c>
      <c r="E61" s="3">
        <v>98.827924659677421</v>
      </c>
      <c r="F61" s="3">
        <v>24909638</v>
      </c>
      <c r="G61" s="3">
        <v>27.560473171737666</v>
      </c>
      <c r="H61" s="3">
        <v>26.086794779561775</v>
      </c>
    </row>
    <row r="62" spans="1:8" x14ac:dyDescent="0.3">
      <c r="A62" s="2">
        <v>2023</v>
      </c>
      <c r="B62" s="3">
        <v>1</v>
      </c>
      <c r="C62" s="3">
        <v>50523.91</v>
      </c>
      <c r="D62" s="3">
        <v>74.867509694497031</v>
      </c>
      <c r="E62" s="3">
        <v>95.986295310217429</v>
      </c>
      <c r="F62" s="3">
        <v>1708703</v>
      </c>
      <c r="G62" s="3">
        <v>-17.866375311599626</v>
      </c>
      <c r="H62" s="3">
        <v>24.896740606349599</v>
      </c>
    </row>
    <row r="63" spans="1:8" x14ac:dyDescent="0.3">
      <c r="A63" s="2">
        <v>2023</v>
      </c>
      <c r="B63" s="3">
        <v>2</v>
      </c>
      <c r="C63" s="3">
        <v>147423.52000000002</v>
      </c>
      <c r="D63" s="3">
        <v>204.67701741920635</v>
      </c>
      <c r="E63" s="3">
        <v>92.864622751454874</v>
      </c>
      <c r="F63" s="3">
        <v>3093148</v>
      </c>
      <c r="G63" s="3">
        <v>-2.8737079492794582</v>
      </c>
      <c r="H63" s="3">
        <v>23.689579007222946</v>
      </c>
    </row>
    <row r="64" spans="1:8" x14ac:dyDescent="0.3">
      <c r="A64" s="2">
        <v>2023</v>
      </c>
      <c r="B64" s="3">
        <v>3</v>
      </c>
      <c r="C64" s="3">
        <v>155938.03000000003</v>
      </c>
      <c r="D64" s="3">
        <v>136.60999476671685</v>
      </c>
      <c r="E64" s="3">
        <v>89.467148742342133</v>
      </c>
      <c r="F64" s="3">
        <v>5284117</v>
      </c>
      <c r="G64" s="3">
        <v>11.166681533443512</v>
      </c>
      <c r="H64" s="3">
        <v>22.472584414776275</v>
      </c>
    </row>
    <row r="65" spans="1:8" x14ac:dyDescent="0.3">
      <c r="A65" s="2">
        <v>2023</v>
      </c>
      <c r="B65" s="3">
        <v>4</v>
      </c>
      <c r="C65" s="3">
        <v>170123.19000000003</v>
      </c>
      <c r="D65" s="3">
        <v>99.76082459797307</v>
      </c>
      <c r="E65" s="3">
        <v>85.805879791461294</v>
      </c>
      <c r="F65" s="3">
        <v>7099707</v>
      </c>
      <c r="G65" s="3">
        <v>13.895230031336926</v>
      </c>
      <c r="H65" s="3">
        <v>21.251186588898729</v>
      </c>
    </row>
    <row r="66" spans="1:8" x14ac:dyDescent="0.3">
      <c r="A66" s="2">
        <v>2023</v>
      </c>
      <c r="B66" s="3">
        <v>5</v>
      </c>
      <c r="C66" s="3">
        <v>395264.96</v>
      </c>
      <c r="D66" s="3">
        <v>270.78499318025331</v>
      </c>
      <c r="E66" s="3">
        <v>81.89609621614612</v>
      </c>
      <c r="F66" s="3">
        <v>9761063</v>
      </c>
      <c r="G66" s="3">
        <v>18.611466170918245</v>
      </c>
      <c r="H66" s="3">
        <v>20.030030157334913</v>
      </c>
    </row>
    <row r="67" spans="1:8" x14ac:dyDescent="0.3">
      <c r="A67" s="2">
        <v>2023</v>
      </c>
      <c r="B67" s="3">
        <v>6</v>
      </c>
      <c r="C67" s="3">
        <v>402752.36000000004</v>
      </c>
      <c r="D67" s="3">
        <v>199.05263057849626</v>
      </c>
      <c r="E67" s="3">
        <v>77.754047427119716</v>
      </c>
      <c r="F67" s="3">
        <v>12121658</v>
      </c>
      <c r="G67" s="3">
        <v>17.195077783877366</v>
      </c>
      <c r="H67" s="3">
        <v>18.813248917512933</v>
      </c>
    </row>
    <row r="68" spans="1:8" x14ac:dyDescent="0.3">
      <c r="A68" s="2">
        <v>2023</v>
      </c>
      <c r="B68" s="3">
        <v>7</v>
      </c>
      <c r="C68" s="3">
        <v>424468.4</v>
      </c>
      <c r="D68" s="3">
        <v>175.996408203393</v>
      </c>
      <c r="E68" s="3">
        <v>73.409100119616582</v>
      </c>
      <c r="F68" s="3">
        <v>14382345</v>
      </c>
      <c r="G68" s="3">
        <v>15.37262892955027</v>
      </c>
      <c r="H68" s="3">
        <v>17.604878155472949</v>
      </c>
    </row>
    <row r="69" spans="1:8" x14ac:dyDescent="0.3">
      <c r="A69" s="2">
        <v>2023</v>
      </c>
      <c r="B69" s="3">
        <v>8</v>
      </c>
      <c r="C69" s="3">
        <v>431299.96</v>
      </c>
      <c r="D69" s="3">
        <v>58.058063201096431</v>
      </c>
      <c r="E69" s="3">
        <v>68.899044501590055</v>
      </c>
      <c r="F69" s="3">
        <v>15863730</v>
      </c>
      <c r="G69" s="3">
        <v>4.3708127028493804</v>
      </c>
      <c r="H69" s="3">
        <v>16.408840784259734</v>
      </c>
    </row>
    <row r="70" spans="1:8" x14ac:dyDescent="0.3">
      <c r="A70" s="2">
        <v>2023</v>
      </c>
      <c r="B70" s="3">
        <v>9</v>
      </c>
      <c r="C70" s="3">
        <v>448778.37</v>
      </c>
      <c r="D70" s="3">
        <v>41.290948329601072</v>
      </c>
      <c r="E70" s="3">
        <v>64.268794899610413</v>
      </c>
      <c r="F70" s="3">
        <v>17106552</v>
      </c>
      <c r="G70" s="3">
        <v>2.3898268999789751</v>
      </c>
      <c r="H70" s="3">
        <v>15.228904699610704</v>
      </c>
    </row>
    <row r="71" spans="1:8" x14ac:dyDescent="0.3">
      <c r="A71" s="2">
        <v>2023</v>
      </c>
      <c r="B71" s="3">
        <v>10</v>
      </c>
      <c r="C71" s="3">
        <v>453958.61</v>
      </c>
      <c r="D71" s="3">
        <v>34.99289319536318</v>
      </c>
      <c r="E71" s="3">
        <v>59.562512794324292</v>
      </c>
      <c r="F71" s="3">
        <v>18641250</v>
      </c>
      <c r="G71" s="3">
        <v>-2.9107529443308633</v>
      </c>
      <c r="H71" s="3">
        <v>14.068001823090952</v>
      </c>
    </row>
    <row r="72" spans="1:8" x14ac:dyDescent="0.3">
      <c r="A72" s="2">
        <v>2023</v>
      </c>
      <c r="B72" s="3">
        <v>11</v>
      </c>
      <c r="C72" s="3">
        <v>465046.51</v>
      </c>
      <c r="D72" s="3">
        <v>23.23175741596819</v>
      </c>
      <c r="E72" s="3">
        <v>54.822763982588718</v>
      </c>
      <c r="F72" s="3">
        <v>20078740</v>
      </c>
      <c r="G72" s="3">
        <v>-7.8608400287172859</v>
      </c>
      <c r="H72" s="3">
        <v>12.928172473640597</v>
      </c>
    </row>
    <row r="73" spans="1:8" x14ac:dyDescent="0.3">
      <c r="A73" s="2">
        <v>2023</v>
      </c>
      <c r="B73" s="3">
        <v>12</v>
      </c>
      <c r="C73" s="3">
        <v>499588.28</v>
      </c>
      <c r="D73" s="3">
        <v>24.24594360181176</v>
      </c>
      <c r="E73" s="3">
        <v>50.090408037677484</v>
      </c>
      <c r="F73" s="3">
        <v>22230784</v>
      </c>
      <c r="G73" s="3">
        <v>-10.754287155839037</v>
      </c>
      <c r="H73" s="3">
        <v>11.810277890007574</v>
      </c>
    </row>
    <row r="74" spans="1:8" x14ac:dyDescent="0.3">
      <c r="A74" s="2">
        <v>2024</v>
      </c>
      <c r="B74" s="3">
        <v>1</v>
      </c>
      <c r="C74" s="3">
        <v>13259.76</v>
      </c>
      <c r="D74" s="3">
        <v>-73.755475377895337</v>
      </c>
      <c r="E74" s="3">
        <v>45.404110712963913</v>
      </c>
      <c r="F74" s="3">
        <v>1966196</v>
      </c>
      <c r="G74" s="3">
        <v>15.069500082811338</v>
      </c>
      <c r="H74" s="3">
        <v>10.713735629516048</v>
      </c>
    </row>
    <row r="75" spans="1:8" x14ac:dyDescent="0.3">
      <c r="A75" s="2">
        <v>2024</v>
      </c>
      <c r="B75" s="3">
        <v>2</v>
      </c>
      <c r="C75" s="3">
        <v>53797.8</v>
      </c>
      <c r="D75" s="3">
        <v>-63.507993839788938</v>
      </c>
      <c r="E75" s="3">
        <v>40.800743007346611</v>
      </c>
      <c r="F75" s="3">
        <v>3666976</v>
      </c>
      <c r="G75" s="3">
        <v>18.551585633794442</v>
      </c>
      <c r="H75" s="3">
        <v>9.6363962658064395</v>
      </c>
    </row>
    <row r="76" spans="1:8" x14ac:dyDescent="0.3">
      <c r="A76" s="2">
        <v>2024</v>
      </c>
      <c r="B76" s="3">
        <v>3</v>
      </c>
      <c r="C76" s="3">
        <v>72081.14</v>
      </c>
      <c r="D76" s="3">
        <v>-53.775778750058613</v>
      </c>
      <c r="E76" s="3">
        <v>36.30890094846788</v>
      </c>
      <c r="F76" s="3">
        <v>6160684</v>
      </c>
      <c r="G76" s="3">
        <v>16.588712929709914</v>
      </c>
      <c r="H76" s="3">
        <v>8.5764128561617632</v>
      </c>
    </row>
    <row r="77" spans="1:8" x14ac:dyDescent="0.3">
      <c r="A77" s="2">
        <v>2024</v>
      </c>
      <c r="B77" s="3">
        <v>4</v>
      </c>
      <c r="C77" s="3">
        <v>93036.94</v>
      </c>
      <c r="D77" s="3">
        <v>-45.312017720805741</v>
      </c>
      <c r="E77" s="3">
        <v>31.949936901688975</v>
      </c>
      <c r="F77" s="3">
        <v>7972745</v>
      </c>
      <c r="G77" s="3">
        <v>12.296817319362606</v>
      </c>
      <c r="H77" s="3">
        <v>7.5325575682378112</v>
      </c>
    </row>
    <row r="78" spans="1:8" x14ac:dyDescent="0.3">
      <c r="A78" s="2">
        <v>2024</v>
      </c>
      <c r="B78" s="3">
        <v>5</v>
      </c>
      <c r="C78" s="3">
        <v>135091.38</v>
      </c>
      <c r="D78" s="3">
        <v>-65.822576329558785</v>
      </c>
      <c r="E78" s="3">
        <v>27.73894735183654</v>
      </c>
      <c r="F78" s="3">
        <v>9862174</v>
      </c>
      <c r="G78" s="3">
        <v>1.0358605410087041</v>
      </c>
      <c r="H78" s="3">
        <v>6.5041589794177073</v>
      </c>
    </row>
    <row r="79" spans="1:8" x14ac:dyDescent="0.3">
      <c r="A79" s="2">
        <v>2024</v>
      </c>
      <c r="B79" s="3">
        <v>6</v>
      </c>
      <c r="C79" s="3">
        <v>150650.22</v>
      </c>
      <c r="D79" s="3">
        <v>-62.594826259987656</v>
      </c>
      <c r="E79" s="3">
        <v>23.685663370221775</v>
      </c>
      <c r="F79" s="3">
        <v>11799608</v>
      </c>
      <c r="G79" s="3">
        <v>-2.6568147690687161</v>
      </c>
      <c r="H79" s="3">
        <v>5.4908765184561812</v>
      </c>
    </row>
    <row r="80" spans="1:8" x14ac:dyDescent="0.3">
      <c r="A80" s="2">
        <v>2024</v>
      </c>
      <c r="B80" s="3">
        <v>7</v>
      </c>
      <c r="C80" s="3">
        <v>159680.71</v>
      </c>
      <c r="D80" s="3">
        <v>-62.381013521854634</v>
      </c>
      <c r="E80" s="3">
        <v>19.793318700122448</v>
      </c>
      <c r="F80" s="3">
        <v>14588079</v>
      </c>
      <c r="G80" s="3">
        <v>1.4304621395189621</v>
      </c>
      <c r="H80" s="3">
        <v>4.4919898711608512</v>
      </c>
    </row>
    <row r="81" spans="1:8" x14ac:dyDescent="0.3">
      <c r="A81" s="2">
        <v>2024</v>
      </c>
      <c r="B81" s="3">
        <v>8</v>
      </c>
      <c r="C81" s="3">
        <v>192444.00999999998</v>
      </c>
      <c r="D81" s="3">
        <v>-55.38047116906759</v>
      </c>
      <c r="E81" s="3">
        <v>16.059155384147566</v>
      </c>
      <c r="F81" s="3">
        <v>16290217</v>
      </c>
      <c r="G81" s="3">
        <v>2.6884408647903202</v>
      </c>
      <c r="H81" s="3">
        <v>3.5062129114443699</v>
      </c>
    </row>
    <row r="82" spans="1:8" x14ac:dyDescent="0.3">
      <c r="A82" s="2">
        <v>2024</v>
      </c>
      <c r="B82" s="3">
        <v>9</v>
      </c>
      <c r="C82" s="3">
        <v>204546.96999999997</v>
      </c>
      <c r="D82" s="3">
        <v>-54.421383989607165</v>
      </c>
      <c r="E82" s="3">
        <v>12.474708914057389</v>
      </c>
      <c r="F82" s="3">
        <v>17739434</v>
      </c>
      <c r="G82" s="3">
        <v>3.6996467786144072</v>
      </c>
      <c r="H82" s="3">
        <v>2.5320469071269152</v>
      </c>
    </row>
    <row r="83" spans="1:8" x14ac:dyDescent="0.3">
      <c r="A83" s="2">
        <v>2024</v>
      </c>
      <c r="B83" s="3">
        <v>10</v>
      </c>
      <c r="C83" s="3">
        <v>218253.94999999998</v>
      </c>
      <c r="D83" s="3">
        <v>-51.922059590410676</v>
      </c>
      <c r="E83" s="3">
        <v>9.0265536964348776</v>
      </c>
      <c r="F83" s="3">
        <v>19436737</v>
      </c>
      <c r="G83" s="3">
        <v>4.2673479514517609</v>
      </c>
      <c r="H83" s="3">
        <v>1.5679363363032039</v>
      </c>
    </row>
    <row r="84" spans="1:8" x14ac:dyDescent="0.3">
      <c r="A84" s="2">
        <v>2024</v>
      </c>
      <c r="B84" s="3">
        <v>11</v>
      </c>
      <c r="C84" s="3">
        <v>262707.56</v>
      </c>
      <c r="D84" s="3">
        <v>-43.509400812404763</v>
      </c>
      <c r="E84" s="3">
        <v>5.6966185758557906</v>
      </c>
      <c r="F84" s="3">
        <v>21580985</v>
      </c>
      <c r="G84" s="3">
        <v>7.4817692743668118</v>
      </c>
      <c r="H84" s="3">
        <v>0.61240676039236164</v>
      </c>
    </row>
    <row r="85" spans="1:8" x14ac:dyDescent="0.3">
      <c r="A85" s="2">
        <v>2024</v>
      </c>
      <c r="B85" s="3">
        <v>12</v>
      </c>
      <c r="C85" s="3">
        <v>317168.46999999997</v>
      </c>
      <c r="D85" s="3">
        <v>-36.514029112132107</v>
      </c>
      <c r="E85" s="3">
        <v>2.462599854306522</v>
      </c>
      <c r="F85" s="3">
        <v>23947022</v>
      </c>
      <c r="G85" s="3">
        <v>7.720096601181492</v>
      </c>
      <c r="H85" s="3">
        <v>-0.33582880004654525</v>
      </c>
    </row>
    <row r="86" spans="1:8" x14ac:dyDescent="0.3">
      <c r="A86" s="2">
        <v>2025</v>
      </c>
      <c r="B86" s="3">
        <v>1</v>
      </c>
      <c r="C86" s="3">
        <v>39808.89</v>
      </c>
      <c r="D86" s="3">
        <v>200.22330720918026</v>
      </c>
      <c r="E86" s="3">
        <v>-0.70122325090627446</v>
      </c>
      <c r="F86" s="3">
        <v>1671884</v>
      </c>
      <c r="G86" s="3">
        <v>-14.968599264773196</v>
      </c>
      <c r="H86" s="3">
        <v>-1.2775802853909803</v>
      </c>
    </row>
    <row r="87" spans="1:8" x14ac:dyDescent="0.3">
      <c r="A87" s="2">
        <v>2025</v>
      </c>
      <c r="B87" s="3">
        <v>2</v>
      </c>
      <c r="C87" s="3">
        <v>64503.86</v>
      </c>
      <c r="D87" s="3">
        <v>19.900553554234545</v>
      </c>
      <c r="E87" s="3">
        <v>-3.823278232820837</v>
      </c>
      <c r="F87" s="3">
        <v>3627079</v>
      </c>
      <c r="G87" s="3">
        <v>-1.0880082116708656</v>
      </c>
      <c r="H87" s="3">
        <v>-2.2130981967544328</v>
      </c>
    </row>
    <row r="88" spans="1:8" x14ac:dyDescent="0.3">
      <c r="A88" s="2">
        <v>2025</v>
      </c>
      <c r="B88" s="3">
        <v>3</v>
      </c>
      <c r="C88" s="3">
        <v>114494.18</v>
      </c>
      <c r="D88" s="3">
        <v>58.840689811509627</v>
      </c>
      <c r="E88" s="3">
        <v>-6.9180394920823423</v>
      </c>
      <c r="F88" s="3">
        <v>5610969</v>
      </c>
      <c r="G88" s="3">
        <v>-8.9229540096521731</v>
      </c>
      <c r="H88" s="3">
        <v>-3.1435838004572929</v>
      </c>
    </row>
    <row r="89" spans="1:8" x14ac:dyDescent="0.3">
      <c r="A89" s="2">
        <v>2025</v>
      </c>
      <c r="B89" s="3">
        <v>4</v>
      </c>
      <c r="C89" s="3">
        <v>140988.54999999999</v>
      </c>
      <c r="D89" s="3">
        <v>51.540398899619852</v>
      </c>
      <c r="E89" s="3">
        <v>-9.9983339410174228</v>
      </c>
      <c r="F89" s="3">
        <v>7642097</v>
      </c>
      <c r="G89" s="3">
        <v>-4.1472290911097716</v>
      </c>
      <c r="H89" s="3">
        <v>-4.0701602315709877</v>
      </c>
    </row>
    <row r="90" spans="1:8" x14ac:dyDescent="0.3">
      <c r="A90" s="2">
        <v>2025</v>
      </c>
      <c r="B90" s="3">
        <v>5</v>
      </c>
      <c r="C90" s="3">
        <v>151808.22</v>
      </c>
      <c r="D90" s="3">
        <v>12.374468304343322</v>
      </c>
      <c r="E90" s="3">
        <v>-13.072421913528849</v>
      </c>
      <c r="F90" s="3">
        <v>10328186</v>
      </c>
      <c r="G90" s="3">
        <v>4.7252461779725197</v>
      </c>
      <c r="H90" s="3">
        <v>-4.99435197032036</v>
      </c>
    </row>
    <row r="91" spans="1:8" x14ac:dyDescent="0.3">
      <c r="A91" s="2">
        <v>2025</v>
      </c>
      <c r="B91" s="3">
        <v>6</v>
      </c>
      <c r="C91" s="3">
        <v>174481.42</v>
      </c>
      <c r="D91" s="3">
        <v>15.818894920963288</v>
      </c>
      <c r="E91" s="3">
        <v>-16.144290220405459</v>
      </c>
      <c r="F91" s="3">
        <v>12553874</v>
      </c>
      <c r="G91" s="3">
        <v>6.392297100039257</v>
      </c>
      <c r="H91" s="3">
        <v>-5.9176888489343868</v>
      </c>
    </row>
    <row r="92" spans="1:8" x14ac:dyDescent="0.3">
      <c r="B92" s="3"/>
      <c r="C92" s="3"/>
      <c r="D92" s="3"/>
      <c r="E92" s="3"/>
      <c r="F92" s="3"/>
      <c r="G92" s="3"/>
      <c r="H92" s="3"/>
    </row>
    <row r="93" spans="1:8" x14ac:dyDescent="0.3">
      <c r="B93" s="3"/>
      <c r="C93" s="3"/>
      <c r="D93" s="3"/>
      <c r="E93" s="3"/>
      <c r="F93" s="3"/>
      <c r="G93" s="3"/>
      <c r="H93" s="3"/>
    </row>
    <row r="94" spans="1:8" x14ac:dyDescent="0.3">
      <c r="B94" s="3"/>
      <c r="C94" s="3"/>
      <c r="D94" s="3"/>
      <c r="E94" s="3"/>
      <c r="F94" s="3"/>
      <c r="G94" s="3"/>
      <c r="H94" s="3"/>
    </row>
    <row r="95" spans="1:8" x14ac:dyDescent="0.3">
      <c r="B95" s="3"/>
      <c r="C95" s="3"/>
      <c r="D95" s="3"/>
      <c r="E95" s="3"/>
      <c r="F95" s="3"/>
      <c r="G95" s="3"/>
      <c r="H95" s="3"/>
    </row>
    <row r="96" spans="1:8" x14ac:dyDescent="0.3">
      <c r="B96" s="3"/>
      <c r="C96" s="3"/>
      <c r="D96" s="3"/>
      <c r="E96" s="3"/>
      <c r="F96" s="3"/>
      <c r="G96" s="3"/>
      <c r="H96" s="3"/>
    </row>
    <row r="97" spans="2:8" x14ac:dyDescent="0.3">
      <c r="B97" s="3"/>
      <c r="C97" s="3"/>
      <c r="D97" s="3"/>
      <c r="E97" s="3"/>
      <c r="F97" s="3"/>
      <c r="G97" s="3"/>
      <c r="H97" s="3"/>
    </row>
    <row r="98" spans="2:8" x14ac:dyDescent="0.3">
      <c r="B98" s="3"/>
      <c r="C98" s="3"/>
      <c r="D98" s="3"/>
      <c r="E98" s="3"/>
      <c r="F98" s="3"/>
      <c r="G98" s="3"/>
      <c r="H9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39</vt:i4>
      </vt:variant>
    </vt:vector>
  </HeadingPairs>
  <TitlesOfParts>
    <vt:vector size="39" baseType="lpstr">
      <vt:lpstr>PCN</vt:lpstr>
      <vt:lpstr>Afiliados</vt:lpstr>
      <vt:lpstr>Afiliados_Asalariados</vt:lpstr>
      <vt:lpstr>Afiliados_No_asalariados</vt:lpstr>
      <vt:lpstr>Contratos</vt:lpstr>
      <vt:lpstr>Paro</vt:lpstr>
      <vt:lpstr>Emp</vt:lpstr>
      <vt:lpstr>Emp_fi</vt:lpstr>
      <vt:lpstr>Emp_ju</vt:lpstr>
      <vt:lpstr>SM_C</vt:lpstr>
      <vt:lpstr>SM_D</vt:lpstr>
      <vt:lpstr>IPI</vt:lpstr>
      <vt:lpstr>Matriculacion_turismos</vt:lpstr>
      <vt:lpstr>CP</vt:lpstr>
      <vt:lpstr>ECI</vt:lpstr>
      <vt:lpstr>ICN</vt:lpstr>
      <vt:lpstr>CGN</vt:lpstr>
      <vt:lpstr>ENERGIA</vt:lpstr>
      <vt:lpstr>Taereo</vt:lpstr>
      <vt:lpstr>EOAT</vt:lpstr>
      <vt:lpstr>CTH</vt:lpstr>
      <vt:lpstr>TPS_P</vt:lpstr>
      <vt:lpstr>TPS_M</vt:lpstr>
      <vt:lpstr>IASS</vt:lpstr>
      <vt:lpstr>IASS_2</vt:lpstr>
      <vt:lpstr>ICM</vt:lpstr>
      <vt:lpstr>ICM (2)</vt:lpstr>
      <vt:lpstr>X</vt:lpstr>
      <vt:lpstr>M</vt:lpstr>
      <vt:lpstr>SALDO</vt:lpstr>
      <vt:lpstr>TCOBER</vt:lpstr>
      <vt:lpstr>Ipc</vt:lpstr>
      <vt:lpstr>PRD_B</vt:lpstr>
      <vt:lpstr>PRD_G</vt:lpstr>
      <vt:lpstr>P_CONTR</vt:lpstr>
      <vt:lpstr>P_NO_CONTR</vt:lpstr>
      <vt:lpstr>GS</vt:lpstr>
      <vt:lpstr>CEMENTO</vt:lpstr>
      <vt:lpstr>LOC</vt:lpstr>
    </vt:vector>
  </TitlesOfParts>
  <Company>Gobierno de Cantabria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Cobo Fernández María Isabel</dc:creator>
  <cp:lastModifiedBy>Pellón Sañudo Iván (Externo)</cp:lastModifiedBy>
  <dcterms:created xsi:type="dcterms:W3CDTF">2020-04-08T10:41:16Z</dcterms:created>
  <dcterms:modified xsi:type="dcterms:W3CDTF">2025-10-07T07:57:32Z</dcterms:modified>
</cp:coreProperties>
</file>