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F:\economia\1. Publicaciones\Panel indicadores economicos\envio_informatica\"/>
    </mc:Choice>
  </mc:AlternateContent>
  <bookViews>
    <workbookView xWindow="0" yWindow="0" windowWidth="19200" windowHeight="8100" tabRatio="820" firstSheet="6" activeTab="10"/>
  </bookViews>
  <sheets>
    <sheet name="PIB" sheetId="33" r:id="rId1"/>
    <sheet name="DEUDA" sheetId="26" r:id="rId2"/>
    <sheet name="DEUDA_PIB" sheetId="27" r:id="rId3"/>
    <sheet name="EPA" sheetId="10" r:id="rId4"/>
    <sheet name="EPA_2" sheetId="15" r:id="rId5"/>
    <sheet name="EPA_3" sheetId="16" r:id="rId6"/>
    <sheet name="EPA_4" sheetId="17" r:id="rId7"/>
    <sheet name="EPA_5" sheetId="18" r:id="rId8"/>
    <sheet name="Indice confianza empresarial" sheetId="9" r:id="rId9"/>
    <sheet name="EGATUR" sheetId="19" r:id="rId10"/>
    <sheet name="FRONTUR" sheetId="20" r:id="rId11"/>
    <sheet name="ETR_1" sheetId="30" r:id="rId12"/>
    <sheet name="ETR_2" sheetId="32" r:id="rId13"/>
    <sheet name="TMC" sheetId="22" r:id="rId14"/>
    <sheet name="IPV" sheetId="24" r:id="rId15"/>
    <sheet name="TI" sheetId="25" r:id="rId16"/>
  </sheets>
  <externalReferences>
    <externalReference r:id="rId17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1" i="9" l="1"/>
  <c r="A29" i="9"/>
  <c r="A28" i="9"/>
  <c r="A27" i="9"/>
  <c r="A23" i="9"/>
  <c r="A24" i="9" s="1"/>
  <c r="A25" i="9" s="1"/>
  <c r="A20" i="9"/>
  <c r="A21" i="9" s="1"/>
  <c r="A19" i="9"/>
  <c r="A15" i="9"/>
  <c r="A16" i="9" s="1"/>
  <c r="A17" i="9" s="1"/>
  <c r="A12" i="9"/>
  <c r="A13" i="9" s="1"/>
  <c r="A11" i="9"/>
  <c r="A7" i="9"/>
  <c r="A8" i="9" s="1"/>
  <c r="A9" i="9" s="1"/>
  <c r="A4" i="9"/>
  <c r="A5" i="9" s="1"/>
  <c r="A3" i="9"/>
  <c r="B2" i="9"/>
  <c r="A32" i="9" l="1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29" i="27" l="1"/>
  <c r="A29" i="26"/>
  <c r="A27" i="27"/>
  <c r="A28" i="27"/>
  <c r="A27" i="26"/>
  <c r="A28" i="26"/>
  <c r="A23" i="27"/>
  <c r="A24" i="27"/>
  <c r="A25" i="27"/>
  <c r="A19" i="27"/>
  <c r="A20" i="27"/>
  <c r="A21" i="27"/>
  <c r="A23" i="26"/>
  <c r="A24" i="26"/>
  <c r="A25" i="26"/>
  <c r="A19" i="26"/>
  <c r="A20" i="26"/>
  <c r="A21" i="26"/>
  <c r="A15" i="27"/>
  <c r="A16" i="27"/>
  <c r="A17" i="27"/>
  <c r="A15" i="26"/>
  <c r="A16" i="26"/>
  <c r="A17" i="26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11" i="26"/>
  <c r="A12" i="26"/>
  <c r="A13" i="26"/>
  <c r="A7" i="26"/>
  <c r="A8" i="26"/>
  <c r="A9" i="26"/>
  <c r="A3" i="26"/>
  <c r="A4" i="26"/>
  <c r="A5" i="26"/>
  <c r="A11" i="27"/>
  <c r="A12" i="27"/>
  <c r="A13" i="27"/>
  <c r="A7" i="27"/>
  <c r="A8" i="27"/>
  <c r="A9" i="27"/>
  <c r="A3" i="27"/>
  <c r="A4" i="27"/>
  <c r="A5" i="27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</calcChain>
</file>

<file path=xl/sharedStrings.xml><?xml version="1.0" encoding="utf-8"?>
<sst xmlns="http://schemas.openxmlformats.org/spreadsheetml/2006/main" count="1179" uniqueCount="99">
  <si>
    <t>Trimestre</t>
  </si>
  <si>
    <t/>
  </si>
  <si>
    <t>Año</t>
  </si>
  <si>
    <t>Deuda pública CC.AA Cantabria</t>
  </si>
  <si>
    <t>Deuda pública CC.AA Cantabria. Var interanual</t>
  </si>
  <si>
    <t>Deuda pública CC.AA Cantabria. Tendencia</t>
  </si>
  <si>
    <t>Deuda pública CC.AA España</t>
  </si>
  <si>
    <t>Deuda pública CC.AA España. Var interanual</t>
  </si>
  <si>
    <t>Deuda pública CC.AA. Tendencia</t>
  </si>
  <si>
    <t>PIB. Índice de volumen Cantabria</t>
  </si>
  <si>
    <t>PIB. Índice de volumen Cantabria. Var interanual</t>
  </si>
  <si>
    <t>PIB. Índice de volumen Cantabria. Tendencia</t>
  </si>
  <si>
    <t>PIB. Índice de volumen España</t>
  </si>
  <si>
    <t>PIB. Índice de volumen España. Var interanual</t>
  </si>
  <si>
    <t>PIB. Índice de volumen España. Tendencia</t>
  </si>
  <si>
    <t>Deuda pública CC.AA sobre el PIB Cantabria</t>
  </si>
  <si>
    <t>Deuda pública CC.AA sobre el PIB Cantabria. Var interanual</t>
  </si>
  <si>
    <t>Deuda pública CC.AA sobre el PIB Cantabria. Tendencia</t>
  </si>
  <si>
    <t>Deuda pública CC.AA sobre el PIB España</t>
  </si>
  <si>
    <t>Deuda pública CC.AA sobre el PIB España. Var interanual</t>
  </si>
  <si>
    <t>Deuda pública CC.AA sobre el PIB. Tendencia</t>
  </si>
  <si>
    <t>Ocupados EPA Cantabria</t>
  </si>
  <si>
    <t>Ocupados EPA Cantabria. Var interanual</t>
  </si>
  <si>
    <t>Ocupados EPA Cantabria. Tendencia</t>
  </si>
  <si>
    <t>Ocupados EPA España</t>
  </si>
  <si>
    <t>Ocupados EPA España. Var interanual</t>
  </si>
  <si>
    <t>Ocupados EPA España. Tendencia</t>
  </si>
  <si>
    <t>Parados EPA Cantabria</t>
  </si>
  <si>
    <t>Parados EPA Cantabria. Var interanual</t>
  </si>
  <si>
    <t>Parados EPA Cantabria. Tendencia</t>
  </si>
  <si>
    <t>Parados EPA España</t>
  </si>
  <si>
    <t>Parados EPA España. Var interanual</t>
  </si>
  <si>
    <t>Parados EPA España. Tendencia</t>
  </si>
  <si>
    <t>Tasa de paro EPA Cantabria</t>
  </si>
  <si>
    <t>Tasa de paro EPA Cantabria. Var interanual</t>
  </si>
  <si>
    <t>Tasa de paro EPA Cantabria. Tendencia</t>
  </si>
  <si>
    <t>Tasa de paro EPA España</t>
  </si>
  <si>
    <t>Tasa de paro EPA España. Var interanual</t>
  </si>
  <si>
    <t>Tasa de paro EPA España. Tendencia</t>
  </si>
  <si>
    <t>Tasa de actividad EPA Cantabria</t>
  </si>
  <si>
    <t>Tasa de actividad EPA Cantabria. Var interanual</t>
  </si>
  <si>
    <t>Tasa de actividad EPA Cantabria. Tendencia</t>
  </si>
  <si>
    <t>Tasa de actividad EPA España</t>
  </si>
  <si>
    <t>Tasa de actividad EPA España. Var interanual</t>
  </si>
  <si>
    <t>Tasa de actividad EPA España. Tendencia</t>
  </si>
  <si>
    <t>Tasa de empleo EPA Cantabria</t>
  </si>
  <si>
    <t>Tasa de empleo EPA Cantabria. Var interanual</t>
  </si>
  <si>
    <t>Tasa de empleo EPA Cantabria. Tendencia</t>
  </si>
  <si>
    <t>Tasa de empleo EPA España</t>
  </si>
  <si>
    <t>Tasa de empleo EPA España. Var interanual</t>
  </si>
  <si>
    <t>Tasa de empleo EPA España. Tendencia</t>
  </si>
  <si>
    <t>ICE Cantabria</t>
  </si>
  <si>
    <t>ICE Cantabria. Var interanual</t>
  </si>
  <si>
    <t>ICE Cantabria. Tendencia</t>
  </si>
  <si>
    <t>ICE España</t>
  </si>
  <si>
    <t>ICE España. Var interanual</t>
  </si>
  <si>
    <t>ICE España. Tendencia</t>
  </si>
  <si>
    <t>Gasto de turistas internacionalesCantabria</t>
  </si>
  <si>
    <t>Gasto de turistas internacionalesCantabria. Var interanual</t>
  </si>
  <si>
    <t>Gasto de turistas internacionalesCantabria. Tendencia</t>
  </si>
  <si>
    <t>Gasto de turistas internacionalesEspaña</t>
  </si>
  <si>
    <t>Gasto de turistas internacionalesEspaña. Var interanual</t>
  </si>
  <si>
    <t>Gasto de turistas internacionalesEspaña. Tendencia</t>
  </si>
  <si>
    <t>Turistas internacionalesCantabria</t>
  </si>
  <si>
    <t>Turistas internacionalesCantabria. Var interanual</t>
  </si>
  <si>
    <t>Turistas internacionalesCantabria. Tendencia</t>
  </si>
  <si>
    <t>Turistas internacionales España</t>
  </si>
  <si>
    <t>Turistas internacionales España. Var interanual</t>
  </si>
  <si>
    <t>Turistas internacionales España. Tendencia</t>
  </si>
  <si>
    <t>Pernoctaciones de los residentes en España. Cantabria</t>
  </si>
  <si>
    <t>Pernoctaciones de los residentes en España. Cantabria. Var. Interanual</t>
  </si>
  <si>
    <t>Pernoctaciones de los residentes en España. Cantabria. Tendencia</t>
  </si>
  <si>
    <t>Pernoctaciones de los residentes en España. España</t>
  </si>
  <si>
    <t>Pernoctaciones de los residentes en España. España. Var. Interanual</t>
  </si>
  <si>
    <t>Pernoctaciones de los residentes en España. España. Tendencia</t>
  </si>
  <si>
    <t>Gasto turístico de los residentes en España. Cantabria</t>
  </si>
  <si>
    <t>Gasto turístico de los residentes en España. Cantabria. Var. Interanual</t>
  </si>
  <si>
    <t>Gasto turístico de los residentes en España. Cantabria. Tendencia</t>
  </si>
  <si>
    <t>Gasto turístico de los residentes en España. España</t>
  </si>
  <si>
    <t>Gasto turístico de los residentes en España. España. Var. Interanual</t>
  </si>
  <si>
    <t>Gasto turístico de los residentes en España. España. Tendencia</t>
  </si>
  <si>
    <t>Transporte de mercancias por carreteraCantabria</t>
  </si>
  <si>
    <t>Transporte de mercancias por carreteraCantabria. Var interanual</t>
  </si>
  <si>
    <t>Transporte de mercancias por carreteraCantabria. Tendencia</t>
  </si>
  <si>
    <t>Transporte de mercancias por carreteraEspaña</t>
  </si>
  <si>
    <t>Transporte de mercancias por carreteraEspaña. Var interanual</t>
  </si>
  <si>
    <t>Transporte de mercancias por carreteraEspaña. Tendencia</t>
  </si>
  <si>
    <t>Índice de Pecios de Vivienda Cantabria</t>
  </si>
  <si>
    <t>Índice de Pecios de Vivienda Cantabria. Var interanual</t>
  </si>
  <si>
    <t>Índice de Pecios de Vivienda Cantabria. Tendencia</t>
  </si>
  <si>
    <t>Índice de Pecios de Vivienda España</t>
  </si>
  <si>
    <t>Índice de Pecios de Vivienda España. Var interanual</t>
  </si>
  <si>
    <t>Índice de Pecios de Vivienda España. Tendencia</t>
  </si>
  <si>
    <t>Transacciones inmobiliarias Cantabria</t>
  </si>
  <si>
    <t>Transacciones inmobiliarias Cantabria. Var interanual</t>
  </si>
  <si>
    <t>Transacciones inmobiliarias Cantabria. Tendencia</t>
  </si>
  <si>
    <t>Transacciones inmobiliarias España</t>
  </si>
  <si>
    <t>Transacciones inmobiliarias España. Var interanual</t>
  </si>
  <si>
    <t>Transacciones inmobiliarias. Tendencia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</si>
</sst>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color theme="1"/>
      <name val="Century Gothic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conomia/1.%20Publicaciones/Panel%20indicadores%20economicos/Indicadores_coyuntur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B"/>
      <sheetName val="DEUDA"/>
      <sheetName val="DEUDA_PIB"/>
      <sheetName val="PCN"/>
      <sheetName val="PCN_PIB"/>
      <sheetName val="Afi"/>
      <sheetName val="Afi_asa"/>
      <sheetName val="Afi_noasa"/>
      <sheetName val="Paro"/>
      <sheetName val="Contra"/>
      <sheetName val="EPA"/>
      <sheetName val="EPA_2"/>
      <sheetName val="EPA_3"/>
      <sheetName val="EPA_4"/>
      <sheetName val="EPA_5"/>
      <sheetName val="Emp"/>
      <sheetName val="Emp_fi"/>
      <sheetName val="Emp_ju"/>
      <sheetName val="ICE"/>
      <sheetName val="SM_C"/>
      <sheetName val="SM_D"/>
      <sheetName val="IPI"/>
      <sheetName val="ICN"/>
      <sheetName val="ECI"/>
      <sheetName val="Matr"/>
      <sheetName val="CP"/>
      <sheetName val="CGN"/>
      <sheetName val="ENERGÍA"/>
      <sheetName val="IPV"/>
      <sheetName val="TI"/>
      <sheetName val="CEMENTO"/>
      <sheetName val="LOC"/>
      <sheetName val="IASS"/>
      <sheetName val="IASS_2"/>
      <sheetName val="ICM"/>
      <sheetName val="ICM_2"/>
      <sheetName val="Taereo"/>
      <sheetName val="TPS_P"/>
      <sheetName val="TPS_M"/>
      <sheetName val="TMC"/>
      <sheetName val="CTH"/>
      <sheetName val="EOAT"/>
      <sheetName val="ETR_5"/>
      <sheetName val="ETR_6"/>
      <sheetName val="EGATUR"/>
      <sheetName val="FRONTUR"/>
      <sheetName val="Ipc"/>
      <sheetName val="PRD_G"/>
      <sheetName val="PRD_B"/>
      <sheetName val="P_CONTR"/>
      <sheetName val="P_NO_CONTR"/>
      <sheetName val="GS"/>
      <sheetName val="X"/>
      <sheetName val="M"/>
      <sheetName val="SALDO"/>
      <sheetName val="TCOB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2">
          <cell r="B2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workbookViewId="0">
      <selection activeCell="E21" sqref="E2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855468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9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14</v>
      </c>
    </row>
    <row r="2" spans="1:8" x14ac:dyDescent="0.3">
      <c r="A2" s="1">
        <v>2018</v>
      </c>
      <c r="B2" s="6">
        <v>1</v>
      </c>
      <c r="C2" s="2">
        <v>108.8</v>
      </c>
      <c r="D2" s="2">
        <v>2.5</v>
      </c>
      <c r="E2" s="2">
        <v>1.3371867036704206</v>
      </c>
      <c r="F2" s="2">
        <v>109.1224</v>
      </c>
      <c r="G2" s="2">
        <v>2.7404702118504876</v>
      </c>
      <c r="H2" s="2">
        <v>1.5772221117235714</v>
      </c>
    </row>
    <row r="3" spans="1:8" x14ac:dyDescent="0.3">
      <c r="A3" s="1">
        <v>2018</v>
      </c>
      <c r="B3" s="6">
        <v>2</v>
      </c>
      <c r="C3" s="2">
        <v>109.3</v>
      </c>
      <c r="D3" s="2">
        <v>2.2999999999999998</v>
      </c>
      <c r="E3" s="2">
        <v>1.234125518276743</v>
      </c>
      <c r="F3" s="2">
        <v>109.8339</v>
      </c>
      <c r="G3" s="2">
        <v>2.340240565101559</v>
      </c>
      <c r="H3" s="2">
        <v>1.4413282913834957</v>
      </c>
    </row>
    <row r="4" spans="1:8" x14ac:dyDescent="0.3">
      <c r="A4" s="1">
        <v>2018</v>
      </c>
      <c r="B4" s="6">
        <v>3</v>
      </c>
      <c r="C4" s="2">
        <v>110</v>
      </c>
      <c r="D4" s="2">
        <v>2.2000000000000002</v>
      </c>
      <c r="E4" s="2">
        <v>1.1243464977021009</v>
      </c>
      <c r="F4" s="2">
        <v>110.44710000000001</v>
      </c>
      <c r="G4" s="2">
        <v>2.2655492623631757</v>
      </c>
      <c r="H4" s="2">
        <v>1.3019791034742718</v>
      </c>
    </row>
    <row r="5" spans="1:8" x14ac:dyDescent="0.3">
      <c r="A5" s="1">
        <v>2018</v>
      </c>
      <c r="B5" s="6">
        <v>4</v>
      </c>
      <c r="C5" s="2">
        <v>110.3</v>
      </c>
      <c r="D5" s="2">
        <v>1.8</v>
      </c>
      <c r="E5" s="2">
        <v>1.0143639106124316</v>
      </c>
      <c r="F5" s="2">
        <v>111.09350000000001</v>
      </c>
      <c r="G5" s="2">
        <v>2.2417187185077569</v>
      </c>
      <c r="H5" s="2">
        <v>1.165707825616223</v>
      </c>
    </row>
    <row r="6" spans="1:8" x14ac:dyDescent="0.3">
      <c r="A6" s="1">
        <v>2019</v>
      </c>
      <c r="B6" s="6">
        <v>1</v>
      </c>
      <c r="C6" s="2">
        <v>111.3</v>
      </c>
      <c r="D6" s="2">
        <v>2.2999999999999998</v>
      </c>
      <c r="E6" s="2">
        <v>0.9113643091126078</v>
      </c>
      <c r="F6" s="2">
        <v>111.77460000000001</v>
      </c>
      <c r="G6" s="2">
        <v>2.4304817342727159</v>
      </c>
      <c r="H6" s="2">
        <v>1.0396499667789783</v>
      </c>
    </row>
    <row r="7" spans="1:8" x14ac:dyDescent="0.3">
      <c r="A7" s="1">
        <v>2019</v>
      </c>
      <c r="B7" s="6">
        <v>2</v>
      </c>
      <c r="C7" s="2">
        <v>111.8</v>
      </c>
      <c r="D7" s="2">
        <v>2.2999999999999998</v>
      </c>
      <c r="E7" s="2">
        <v>0.82302526786336994</v>
      </c>
      <c r="F7" s="2">
        <v>112.09690000000001</v>
      </c>
      <c r="G7" s="2">
        <v>2.0603839069722518</v>
      </c>
      <c r="H7" s="2">
        <v>0.93161354274022379</v>
      </c>
    </row>
    <row r="8" spans="1:8" x14ac:dyDescent="0.3">
      <c r="A8" s="1">
        <v>2019</v>
      </c>
      <c r="B8" s="6">
        <v>3</v>
      </c>
      <c r="C8" s="2">
        <v>111</v>
      </c>
      <c r="D8" s="2">
        <v>1</v>
      </c>
      <c r="E8" s="2">
        <v>0.75789225883226286</v>
      </c>
      <c r="F8" s="2">
        <v>112.3117</v>
      </c>
      <c r="G8" s="2">
        <v>1.6882290254791599</v>
      </c>
      <c r="H8" s="2">
        <v>0.85027583913232951</v>
      </c>
    </row>
    <row r="9" spans="1:8" x14ac:dyDescent="0.3">
      <c r="A9" s="1">
        <v>2019</v>
      </c>
      <c r="B9" s="6">
        <v>4</v>
      </c>
      <c r="C9" s="2">
        <v>110</v>
      </c>
      <c r="D9" s="2">
        <v>-0.3</v>
      </c>
      <c r="E9" s="2">
        <v>0.72543386319441672</v>
      </c>
      <c r="F9" s="2">
        <v>112.9526</v>
      </c>
      <c r="G9" s="2">
        <v>1.6734552426559635</v>
      </c>
      <c r="H9" s="2">
        <v>0.8050196230653105</v>
      </c>
    </row>
    <row r="10" spans="1:8" x14ac:dyDescent="0.3">
      <c r="A10" s="1">
        <v>2020</v>
      </c>
      <c r="B10" s="6">
        <v>1</v>
      </c>
      <c r="C10" s="2">
        <v>105.7</v>
      </c>
      <c r="D10" s="2">
        <v>-5</v>
      </c>
      <c r="E10" s="2">
        <v>0.73526997946319161</v>
      </c>
      <c r="F10" s="2">
        <v>107.1046</v>
      </c>
      <c r="G10" s="2">
        <v>-4.1780511851529756</v>
      </c>
      <c r="H10" s="2">
        <v>0.80575138239064836</v>
      </c>
    </row>
    <row r="11" spans="1:8" x14ac:dyDescent="0.3">
      <c r="A11" s="1">
        <v>2020</v>
      </c>
      <c r="B11" s="6">
        <v>2</v>
      </c>
      <c r="C11" s="2">
        <v>90</v>
      </c>
      <c r="D11" s="2">
        <v>-19.5</v>
      </c>
      <c r="E11" s="2">
        <v>0.79637960998745116</v>
      </c>
      <c r="F11" s="2">
        <v>88.050299999999993</v>
      </c>
      <c r="G11" s="2">
        <v>-21.451619090269237</v>
      </c>
      <c r="H11" s="2">
        <v>0.86292037722206894</v>
      </c>
    </row>
    <row r="12" spans="1:8" x14ac:dyDescent="0.3">
      <c r="A12" s="1">
        <v>2020</v>
      </c>
      <c r="B12" s="6">
        <v>3</v>
      </c>
      <c r="C12" s="2">
        <v>101.2</v>
      </c>
      <c r="D12" s="2">
        <v>-8.9</v>
      </c>
      <c r="E12" s="2">
        <v>0.91415721337889466</v>
      </c>
      <c r="F12" s="2">
        <v>102.0523</v>
      </c>
      <c r="G12" s="2">
        <v>-9.1347562186308231</v>
      </c>
      <c r="H12" s="2">
        <v>0.98386099106858305</v>
      </c>
    </row>
    <row r="13" spans="1:8" x14ac:dyDescent="0.3">
      <c r="A13" s="1">
        <v>2020</v>
      </c>
      <c r="B13" s="6">
        <v>4</v>
      </c>
      <c r="C13" s="2">
        <v>103.1</v>
      </c>
      <c r="D13" s="2">
        <v>-6.3</v>
      </c>
      <c r="E13" s="2">
        <v>1.0813120109929792</v>
      </c>
      <c r="F13" s="2">
        <v>102.7928</v>
      </c>
      <c r="G13" s="2">
        <v>-8.9947464688727834</v>
      </c>
      <c r="H13" s="2">
        <v>1.1619610202720196</v>
      </c>
    </row>
    <row r="14" spans="1:8" x14ac:dyDescent="0.3">
      <c r="A14" s="1">
        <v>2021</v>
      </c>
      <c r="B14" s="6">
        <v>1</v>
      </c>
      <c r="C14" s="2">
        <v>104.4</v>
      </c>
      <c r="D14" s="2">
        <v>-1.3</v>
      </c>
      <c r="E14" s="2">
        <v>1.2844193759268001</v>
      </c>
      <c r="F14" s="2">
        <v>104.02809999999999</v>
      </c>
      <c r="G14" s="2">
        <v>-2.8724256474511933</v>
      </c>
      <c r="H14" s="2">
        <v>1.3842841254181455</v>
      </c>
    </row>
    <row r="15" spans="1:8" x14ac:dyDescent="0.3">
      <c r="A15" s="1">
        <v>2021</v>
      </c>
      <c r="B15" s="6">
        <v>2</v>
      </c>
      <c r="C15" s="2">
        <v>104.8</v>
      </c>
      <c r="D15" s="2">
        <v>16.399999999999999</v>
      </c>
      <c r="E15" s="2">
        <v>1.5054413612705817</v>
      </c>
      <c r="F15" s="2">
        <v>105.4542</v>
      </c>
      <c r="G15" s="2">
        <v>19.765861104391469</v>
      </c>
      <c r="H15" s="2">
        <v>1.6315460249120119</v>
      </c>
    </row>
    <row r="16" spans="1:8" x14ac:dyDescent="0.3">
      <c r="A16" s="1">
        <v>2021</v>
      </c>
      <c r="B16" s="6">
        <v>3</v>
      </c>
      <c r="C16" s="2">
        <v>109.1</v>
      </c>
      <c r="D16" s="2">
        <v>7.9</v>
      </c>
      <c r="E16" s="2">
        <v>1.7247247580045941</v>
      </c>
      <c r="F16" s="2">
        <v>107.5329</v>
      </c>
      <c r="G16" s="2">
        <v>5.3703836170277297</v>
      </c>
      <c r="H16" s="2">
        <v>1.8818019935506269</v>
      </c>
    </row>
    <row r="17" spans="1:8" x14ac:dyDescent="0.3">
      <c r="A17" s="1">
        <v>2021</v>
      </c>
      <c r="B17" s="6">
        <v>4</v>
      </c>
      <c r="C17" s="2">
        <v>110.2</v>
      </c>
      <c r="D17" s="2">
        <v>6.9</v>
      </c>
      <c r="E17" s="2">
        <v>1.9319254562583132</v>
      </c>
      <c r="F17" s="2">
        <v>109.7174</v>
      </c>
      <c r="G17" s="2">
        <v>6.7364640325003222</v>
      </c>
      <c r="H17" s="2">
        <v>2.1244412530556733</v>
      </c>
    </row>
    <row r="18" spans="1:8" x14ac:dyDescent="0.3">
      <c r="A18" s="1">
        <v>2022</v>
      </c>
      <c r="B18" s="6">
        <v>1</v>
      </c>
      <c r="C18" s="2">
        <v>111.2</v>
      </c>
      <c r="D18" s="2">
        <v>6.5</v>
      </c>
      <c r="E18" s="2">
        <v>2.1205588931874622</v>
      </c>
      <c r="F18" s="2">
        <v>111.19110000000001</v>
      </c>
      <c r="G18" s="2">
        <v>6.8856395531591952</v>
      </c>
      <c r="H18" s="2">
        <v>2.3510333886635069</v>
      </c>
    </row>
    <row r="19" spans="1:8" x14ac:dyDescent="0.3">
      <c r="A19" s="1">
        <v>2022</v>
      </c>
      <c r="B19" s="6">
        <v>2</v>
      </c>
      <c r="C19" s="2">
        <v>112.1</v>
      </c>
      <c r="D19" s="2">
        <v>6.9</v>
      </c>
      <c r="E19" s="2">
        <v>2.2872455525376028</v>
      </c>
      <c r="F19" s="2">
        <v>113.1088</v>
      </c>
      <c r="G19" s="2">
        <v>7.2586961922806337</v>
      </c>
      <c r="H19" s="2">
        <v>2.556030499847636</v>
      </c>
    </row>
    <row r="20" spans="1:8" x14ac:dyDescent="0.3">
      <c r="A20" s="1">
        <v>2022</v>
      </c>
      <c r="B20" s="6">
        <v>3</v>
      </c>
      <c r="C20" s="2">
        <v>112.3</v>
      </c>
      <c r="D20" s="2">
        <v>2.9</v>
      </c>
      <c r="E20" s="2">
        <v>2.4313430687460547</v>
      </c>
      <c r="F20" s="2">
        <v>114.0752</v>
      </c>
      <c r="G20" s="2">
        <v>6.083998478605146</v>
      </c>
      <c r="H20" s="2">
        <v>2.7367188149343784</v>
      </c>
    </row>
    <row r="21" spans="1:8" x14ac:dyDescent="0.3">
      <c r="A21" s="1">
        <v>2022</v>
      </c>
      <c r="B21" s="6">
        <v>4</v>
      </c>
      <c r="C21" s="2">
        <v>112.9</v>
      </c>
      <c r="D21" s="2">
        <v>2.5</v>
      </c>
      <c r="E21" s="2">
        <v>2.555092047779802</v>
      </c>
      <c r="F21" s="2">
        <v>114.7266</v>
      </c>
      <c r="G21" s="2">
        <v>4.5655474883655733</v>
      </c>
      <c r="H21" s="2">
        <v>2.8933237283078221</v>
      </c>
    </row>
    <row r="22" spans="1:8" x14ac:dyDescent="0.3">
      <c r="A22" s="1">
        <v>2023</v>
      </c>
      <c r="B22" s="6">
        <v>1</v>
      </c>
      <c r="C22" s="2">
        <v>114.1</v>
      </c>
      <c r="D22" s="2">
        <v>2.6</v>
      </c>
      <c r="E22" s="2">
        <v>2.6610260061878623</v>
      </c>
      <c r="F22" s="2">
        <v>115.49760000000001</v>
      </c>
      <c r="G22" s="2">
        <v>3.87306178282254</v>
      </c>
      <c r="H22" s="2">
        <v>3.0281626841418494</v>
      </c>
    </row>
    <row r="23" spans="1:8" x14ac:dyDescent="0.3">
      <c r="A23" s="1">
        <v>2023</v>
      </c>
      <c r="B23" s="6">
        <v>2</v>
      </c>
      <c r="C23" s="2">
        <v>115</v>
      </c>
      <c r="D23" s="2">
        <v>2.6</v>
      </c>
      <c r="E23" s="2">
        <v>2.7516440279893901</v>
      </c>
      <c r="F23" s="2">
        <v>115.782</v>
      </c>
      <c r="G23" s="2">
        <v>2.3633881713889693</v>
      </c>
      <c r="H23" s="2">
        <v>3.1445982664603789</v>
      </c>
    </row>
    <row r="24" spans="1:8" x14ac:dyDescent="0.3">
      <c r="A24" s="1">
        <v>2023</v>
      </c>
      <c r="B24" s="6">
        <v>3</v>
      </c>
      <c r="C24" s="2">
        <v>115.2</v>
      </c>
      <c r="D24" s="2">
        <v>2.5</v>
      </c>
      <c r="E24" s="2">
        <v>2.8294070559496722</v>
      </c>
      <c r="F24" s="2">
        <v>116.5446</v>
      </c>
      <c r="G24" s="2">
        <v>2.1647124002412532</v>
      </c>
      <c r="H24" s="2">
        <v>3.2465211212240055</v>
      </c>
    </row>
    <row r="25" spans="1:8" x14ac:dyDescent="0.3">
      <c r="A25" s="1">
        <v>2023</v>
      </c>
      <c r="B25" s="6">
        <v>4</v>
      </c>
      <c r="C25" s="2">
        <v>116.1</v>
      </c>
      <c r="D25" s="2">
        <v>2.8</v>
      </c>
      <c r="E25" s="2">
        <v>2.8966812553165018</v>
      </c>
      <c r="F25" s="2">
        <v>117.40089999999999</v>
      </c>
      <c r="G25" s="2">
        <v>2.3310200075657983</v>
      </c>
      <c r="H25" s="2">
        <v>3.3373336380839036</v>
      </c>
    </row>
    <row r="26" spans="1:8" x14ac:dyDescent="0.3">
      <c r="A26" s="1">
        <v>2024</v>
      </c>
      <c r="B26" s="6">
        <v>1</v>
      </c>
      <c r="C26" s="2">
        <v>117.2</v>
      </c>
      <c r="D26" s="2">
        <v>2.7</v>
      </c>
      <c r="E26" s="2">
        <v>2.9556269119277032</v>
      </c>
      <c r="F26" s="2">
        <v>118.6446</v>
      </c>
      <c r="G26" s="2">
        <v>2.7247319424819061</v>
      </c>
      <c r="H26" s="2">
        <v>3.4197620762406338</v>
      </c>
    </row>
    <row r="27" spans="1:8" x14ac:dyDescent="0.3">
      <c r="A27" s="1">
        <v>2024</v>
      </c>
      <c r="B27" s="6">
        <v>2</v>
      </c>
      <c r="C27" s="2">
        <v>117.5</v>
      </c>
      <c r="D27" s="2">
        <v>2.2000000000000002</v>
      </c>
      <c r="E27" s="2">
        <v>3.0083438858365286</v>
      </c>
      <c r="F27" s="2">
        <v>119.55929999999999</v>
      </c>
      <c r="G27" s="2">
        <v>3.2624242110172563</v>
      </c>
      <c r="H27" s="2">
        <v>3.4959037488756826</v>
      </c>
    </row>
    <row r="28" spans="1:8" x14ac:dyDescent="0.3">
      <c r="A28" s="1">
        <v>2024</v>
      </c>
      <c r="B28" s="6">
        <v>3</v>
      </c>
      <c r="C28" s="2">
        <v>118.6</v>
      </c>
      <c r="D28" s="2">
        <v>3</v>
      </c>
      <c r="E28" s="2">
        <v>3.0567722702762756</v>
      </c>
      <c r="F28" s="2">
        <v>120.402</v>
      </c>
      <c r="G28" s="2">
        <v>3.3098058597309521</v>
      </c>
      <c r="H28" s="2">
        <v>3.5674215753369363</v>
      </c>
    </row>
    <row r="29" spans="1:8" x14ac:dyDescent="0.3">
      <c r="A29" s="1">
        <v>2024</v>
      </c>
      <c r="B29" s="6">
        <v>4</v>
      </c>
      <c r="C29" s="2">
        <v>119.1</v>
      </c>
      <c r="D29" s="2">
        <v>2.6</v>
      </c>
      <c r="E29" s="2">
        <v>3.102346943551594</v>
      </c>
      <c r="F29" s="2">
        <v>121.2745</v>
      </c>
      <c r="G29" s="2">
        <v>3.2994636327319471</v>
      </c>
      <c r="H29" s="2">
        <v>3.63583255026112</v>
      </c>
    </row>
    <row r="30" spans="1:8" x14ac:dyDescent="0.3">
      <c r="A30" s="1">
        <v>2025</v>
      </c>
      <c r="B30" s="6">
        <v>1</v>
      </c>
      <c r="C30" s="2">
        <v>119.6</v>
      </c>
      <c r="D30" s="2">
        <v>2</v>
      </c>
      <c r="E30" s="2">
        <v>3.1464673012982103</v>
      </c>
      <c r="F30" s="2">
        <v>122.0111</v>
      </c>
      <c r="G30" s="2">
        <v>2.8374658433675037</v>
      </c>
      <c r="H30" s="2">
        <v>3.7024926584627056</v>
      </c>
    </row>
    <row r="31" spans="1:8" x14ac:dyDescent="0.3">
      <c r="A31" s="1">
        <v>2025</v>
      </c>
      <c r="B31" s="6">
        <v>2</v>
      </c>
      <c r="C31" s="2">
        <v>120.5</v>
      </c>
      <c r="D31" s="2">
        <v>2.6</v>
      </c>
      <c r="E31" s="2">
        <v>3.1902187723121314</v>
      </c>
      <c r="F31" s="2">
        <v>122.9074</v>
      </c>
      <c r="G31" s="2">
        <v>2.8003676836515501</v>
      </c>
      <c r="H31" s="2">
        <v>3.7685476541827092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D34" s="2"/>
      <c r="E34" s="2"/>
      <c r="H34" s="2"/>
    </row>
    <row r="35" spans="2:8" x14ac:dyDescent="0.3">
      <c r="D35" s="2"/>
      <c r="E35" s="2"/>
      <c r="H35" s="2"/>
    </row>
    <row r="36" spans="2:8" x14ac:dyDescent="0.3">
      <c r="D36" s="2"/>
      <c r="E36" s="2"/>
      <c r="H36" s="2"/>
    </row>
    <row r="37" spans="2:8" x14ac:dyDescent="0.3">
      <c r="D37" s="2"/>
      <c r="E37" s="2"/>
      <c r="H37" s="2"/>
    </row>
    <row r="38" spans="2:8" x14ac:dyDescent="0.3">
      <c r="D38" s="2"/>
      <c r="E38" s="2"/>
      <c r="H38" s="2"/>
    </row>
    <row r="39" spans="2:8" x14ac:dyDescent="0.3">
      <c r="D39" s="2"/>
      <c r="E39" s="2"/>
      <c r="H39" s="2"/>
    </row>
    <row r="40" spans="2:8" x14ac:dyDescent="0.3">
      <c r="D40" s="2"/>
      <c r="E40" s="2"/>
      <c r="H40" s="2"/>
    </row>
    <row r="41" spans="2:8" x14ac:dyDescent="0.3">
      <c r="D41" s="2"/>
      <c r="E41" s="2"/>
      <c r="H41" s="2"/>
    </row>
    <row r="42" spans="2:8" x14ac:dyDescent="0.3">
      <c r="D42" s="2"/>
      <c r="E42" s="2"/>
      <c r="H42" s="2"/>
    </row>
    <row r="43" spans="2:8" x14ac:dyDescent="0.3">
      <c r="D43" s="2"/>
      <c r="E43" s="2"/>
      <c r="H43" s="2"/>
    </row>
    <row r="44" spans="2:8" x14ac:dyDescent="0.3">
      <c r="D44" s="2"/>
      <c r="E44" s="2"/>
      <c r="H44" s="2"/>
    </row>
    <row r="45" spans="2:8" x14ac:dyDescent="0.3">
      <c r="D45" s="2"/>
      <c r="E45" s="2"/>
      <c r="H45" s="2"/>
    </row>
    <row r="46" spans="2:8" x14ac:dyDescent="0.3">
      <c r="D46" s="2"/>
      <c r="E46" s="2"/>
      <c r="H46" s="2"/>
    </row>
    <row r="47" spans="2:8" x14ac:dyDescent="0.3">
      <c r="D47" s="2"/>
      <c r="E47" s="2"/>
      <c r="H47" s="2"/>
    </row>
    <row r="48" spans="2:8" x14ac:dyDescent="0.3">
      <c r="D48" s="2"/>
      <c r="E48" s="2"/>
      <c r="H48" s="2"/>
    </row>
    <row r="49" spans="4:8" x14ac:dyDescent="0.3">
      <c r="D49" s="2"/>
      <c r="E49" s="2"/>
      <c r="H49" s="2"/>
    </row>
    <row r="50" spans="4:8" x14ac:dyDescent="0.3">
      <c r="D50" s="2"/>
      <c r="E50" s="2"/>
      <c r="H50" s="2"/>
    </row>
    <row r="51" spans="4:8" x14ac:dyDescent="0.3">
      <c r="D51" s="2"/>
      <c r="E51" s="2"/>
      <c r="H51" s="2"/>
    </row>
    <row r="52" spans="4:8" x14ac:dyDescent="0.3">
      <c r="D52" s="2"/>
      <c r="E52" s="2"/>
      <c r="H52" s="2"/>
    </row>
    <row r="53" spans="4:8" x14ac:dyDescent="0.3">
      <c r="D53" s="2"/>
      <c r="E53" s="2"/>
      <c r="H53" s="2"/>
    </row>
    <row r="54" spans="4:8" x14ac:dyDescent="0.3">
      <c r="D54" s="2"/>
      <c r="E54" s="2"/>
      <c r="H54" s="2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7" zoomScaleNormal="100" workbookViewId="0">
      <selection activeCell="G24" sqref="G24"/>
    </sheetView>
  </sheetViews>
  <sheetFormatPr baseColWidth="10" defaultColWidth="11.42578125" defaultRowHeight="13.5" x14ac:dyDescent="0.3"/>
  <cols>
    <col min="1" max="1" width="4.42578125" style="1" bestFit="1" customWidth="1"/>
    <col min="2" max="2" width="7.140625" style="1" customWidth="1"/>
    <col min="3" max="5" width="9.5703125" style="1" customWidth="1"/>
    <col min="6" max="6" width="10.85546875" style="1" bestFit="1" customWidth="1"/>
    <col min="7" max="8" width="9.5703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</row>
    <row r="2" spans="1:8" x14ac:dyDescent="0.3">
      <c r="A2" s="1">
        <v>2018</v>
      </c>
      <c r="B2" s="2">
        <v>1</v>
      </c>
      <c r="C2" s="2">
        <v>2995403</v>
      </c>
      <c r="D2" s="2">
        <v>4.1144889795997841</v>
      </c>
      <c r="E2" s="2">
        <v>5.1357520355755888</v>
      </c>
      <c r="F2" s="2">
        <v>289688222</v>
      </c>
      <c r="G2" s="2">
        <v>3.7009625480112662</v>
      </c>
      <c r="H2" s="2">
        <v>4.0726248413358652</v>
      </c>
    </row>
    <row r="3" spans="1:8" x14ac:dyDescent="0.3">
      <c r="A3" s="1">
        <f>A2</f>
        <v>2018</v>
      </c>
      <c r="B3" s="2">
        <v>2</v>
      </c>
      <c r="C3" s="2">
        <v>3131935</v>
      </c>
      <c r="D3" s="2">
        <v>2.8420051980291516</v>
      </c>
      <c r="E3" s="2">
        <v>4.6940751136465364</v>
      </c>
      <c r="F3" s="2">
        <v>293385041</v>
      </c>
      <c r="G3" s="2">
        <v>2.6191491016590795</v>
      </c>
      <c r="H3" s="2">
        <v>3.6396862137993224</v>
      </c>
    </row>
    <row r="4" spans="1:8" x14ac:dyDescent="0.3">
      <c r="A4" s="1">
        <f>A3</f>
        <v>2018</v>
      </c>
      <c r="B4" s="2">
        <v>3</v>
      </c>
      <c r="C4" s="2">
        <v>3146729</v>
      </c>
      <c r="D4" s="2">
        <v>5.0348644309370583</v>
      </c>
      <c r="E4" s="2">
        <v>4.3002640778280927</v>
      </c>
      <c r="F4" s="2">
        <v>292441377</v>
      </c>
      <c r="G4" s="2">
        <v>2.8323165257474248</v>
      </c>
      <c r="H4" s="2">
        <v>3.255661424335702</v>
      </c>
    </row>
    <row r="5" spans="1:8" x14ac:dyDescent="0.3">
      <c r="A5" s="1">
        <f>A4</f>
        <v>2018</v>
      </c>
      <c r="B5" s="2">
        <v>4</v>
      </c>
      <c r="C5" s="2">
        <v>3171217</v>
      </c>
      <c r="D5" s="2">
        <v>4.5430764813294111</v>
      </c>
      <c r="E5" s="2">
        <v>3.9462996070586454</v>
      </c>
      <c r="F5" s="2">
        <v>293395933</v>
      </c>
      <c r="G5" s="2">
        <v>1.8319202055392392</v>
      </c>
      <c r="H5" s="2">
        <v>2.9194587159821754</v>
      </c>
    </row>
    <row r="6" spans="1:8" x14ac:dyDescent="0.3">
      <c r="A6" s="1">
        <v>2019</v>
      </c>
      <c r="B6" s="2">
        <v>1</v>
      </c>
      <c r="C6" s="2">
        <v>3220379</v>
      </c>
      <c r="D6" s="2">
        <v>7.5107089096191793</v>
      </c>
      <c r="E6" s="2">
        <v>3.6246215054972746</v>
      </c>
      <c r="F6" s="2">
        <v>296926428</v>
      </c>
      <c r="G6" s="2">
        <v>2.4986193605068374</v>
      </c>
      <c r="H6" s="2">
        <v>2.6297217412142961</v>
      </c>
    </row>
    <row r="7" spans="1:8" x14ac:dyDescent="0.3">
      <c r="A7" s="1">
        <f>A6</f>
        <v>2019</v>
      </c>
      <c r="B7" s="2">
        <v>2</v>
      </c>
      <c r="C7" s="2">
        <v>3179100</v>
      </c>
      <c r="D7" s="2">
        <v>1.5059380223408247</v>
      </c>
      <c r="E7" s="2">
        <v>3.3280425628494816</v>
      </c>
      <c r="F7" s="2">
        <v>300633143</v>
      </c>
      <c r="G7" s="2">
        <v>2.4705083719656962</v>
      </c>
      <c r="H7" s="2">
        <v>2.3844144409385919</v>
      </c>
    </row>
    <row r="8" spans="1:8" x14ac:dyDescent="0.3">
      <c r="A8" s="1">
        <f>A7</f>
        <v>2019</v>
      </c>
      <c r="B8" s="2">
        <v>3</v>
      </c>
      <c r="C8" s="2">
        <v>3185004</v>
      </c>
      <c r="D8" s="2">
        <v>1.2163424305048132</v>
      </c>
      <c r="E8" s="2">
        <v>3.051804373448344</v>
      </c>
      <c r="F8" s="2">
        <v>298077919</v>
      </c>
      <c r="G8" s="2">
        <v>1.9274091983228381</v>
      </c>
      <c r="H8" s="2">
        <v>2.1814188170736482</v>
      </c>
    </row>
    <row r="9" spans="1:8" x14ac:dyDescent="0.3">
      <c r="A9" s="1">
        <f>A8</f>
        <v>2019</v>
      </c>
      <c r="B9" s="2">
        <v>4</v>
      </c>
      <c r="C9" s="2">
        <v>3187764</v>
      </c>
      <c r="D9" s="2">
        <v>0.52178706156027488</v>
      </c>
      <c r="E9" s="2">
        <v>2.7900097162891209</v>
      </c>
      <c r="F9" s="2">
        <v>295079642</v>
      </c>
      <c r="G9" s="2">
        <v>0.57386923628555131</v>
      </c>
      <c r="H9" s="2">
        <v>2.0186706802449423</v>
      </c>
    </row>
    <row r="10" spans="1:8" x14ac:dyDescent="0.3">
      <c r="A10" s="1">
        <v>2020</v>
      </c>
      <c r="B10" s="2">
        <v>1</v>
      </c>
      <c r="C10" s="2">
        <v>3438678</v>
      </c>
      <c r="D10" s="2">
        <v>6.7786741871065592</v>
      </c>
      <c r="E10" s="2">
        <v>2.5356142066527321</v>
      </c>
      <c r="F10" s="2">
        <v>298278995</v>
      </c>
      <c r="G10" s="2">
        <v>0.45552260508114895</v>
      </c>
      <c r="H10" s="2">
        <v>1.8939470850662328</v>
      </c>
    </row>
    <row r="11" spans="1:8" x14ac:dyDescent="0.3">
      <c r="A11" s="1">
        <f>A10</f>
        <v>2020</v>
      </c>
      <c r="B11" s="2">
        <v>2</v>
      </c>
      <c r="C11" s="2">
        <v>3508565</v>
      </c>
      <c r="D11" s="2">
        <v>10.363467648076497</v>
      </c>
      <c r="E11" s="2">
        <v>2.2801558206608923</v>
      </c>
      <c r="F11" s="2">
        <v>305689566</v>
      </c>
      <c r="G11" s="2">
        <v>1.6819246705610302</v>
      </c>
      <c r="H11" s="2">
        <v>1.8041220852488034</v>
      </c>
    </row>
    <row r="12" spans="1:8" x14ac:dyDescent="0.3">
      <c r="A12" s="1">
        <f>A11</f>
        <v>2020</v>
      </c>
      <c r="B12" s="2">
        <v>3</v>
      </c>
      <c r="C12" s="2">
        <v>3430727</v>
      </c>
      <c r="D12" s="2">
        <v>7.7149981601279061</v>
      </c>
      <c r="E12" s="2">
        <v>2.0178244469230995</v>
      </c>
      <c r="F12" s="2">
        <v>301869789</v>
      </c>
      <c r="G12" s="2">
        <v>1.2721069754918712</v>
      </c>
      <c r="H12" s="2">
        <v>1.7451707192039472</v>
      </c>
    </row>
    <row r="13" spans="1:8" x14ac:dyDescent="0.3">
      <c r="A13" s="1">
        <f>A12</f>
        <v>2020</v>
      </c>
      <c r="B13" s="2">
        <v>4</v>
      </c>
      <c r="C13" s="2">
        <v>3344186</v>
      </c>
      <c r="D13" s="2">
        <v>4.9069504517900375</v>
      </c>
      <c r="E13" s="2">
        <v>1.7478620439409869</v>
      </c>
      <c r="F13" s="2">
        <v>303991874</v>
      </c>
      <c r="G13" s="2">
        <v>3.0202801994723805</v>
      </c>
      <c r="H13" s="2">
        <v>1.7129916519587778</v>
      </c>
    </row>
    <row r="14" spans="1:8" x14ac:dyDescent="0.3">
      <c r="A14" s="1">
        <v>2021</v>
      </c>
      <c r="B14" s="2">
        <v>1</v>
      </c>
      <c r="C14" s="2">
        <v>3340023</v>
      </c>
      <c r="D14" s="2">
        <v>-2.8689804628406645</v>
      </c>
      <c r="E14" s="2">
        <v>1.4730713037869407</v>
      </c>
      <c r="F14" s="2">
        <v>307685407</v>
      </c>
      <c r="G14" s="2">
        <v>3.1535616512319287</v>
      </c>
      <c r="H14" s="2">
        <v>1.7031878837005887</v>
      </c>
    </row>
    <row r="15" spans="1:8" x14ac:dyDescent="0.3">
      <c r="A15" s="1">
        <f>A14</f>
        <v>2021</v>
      </c>
      <c r="B15" s="2">
        <v>2</v>
      </c>
      <c r="C15" s="2">
        <v>3524947</v>
      </c>
      <c r="D15" s="2">
        <v>0.4669145362847793</v>
      </c>
      <c r="E15" s="2">
        <v>1.1982293487882527</v>
      </c>
      <c r="F15" s="2">
        <v>312030984</v>
      </c>
      <c r="G15" s="2">
        <v>2.0744633462563167</v>
      </c>
      <c r="H15" s="2">
        <v>1.7121794699588693</v>
      </c>
    </row>
    <row r="16" spans="1:8" x14ac:dyDescent="0.3">
      <c r="A16" s="1">
        <f>A15</f>
        <v>2021</v>
      </c>
      <c r="B16" s="2">
        <v>3</v>
      </c>
      <c r="C16" s="2">
        <v>3425818</v>
      </c>
      <c r="D16" s="2">
        <v>-0.14308920529089164</v>
      </c>
      <c r="E16" s="2">
        <v>0.92539951891807204</v>
      </c>
      <c r="F16" s="2">
        <v>312293789</v>
      </c>
      <c r="G16" s="2">
        <v>3.4531444946946932</v>
      </c>
      <c r="H16" s="2">
        <v>1.737292949867816</v>
      </c>
    </row>
    <row r="17" spans="1:8" x14ac:dyDescent="0.3">
      <c r="A17" s="1">
        <f>A16</f>
        <v>2021</v>
      </c>
      <c r="B17" s="2">
        <v>4</v>
      </c>
      <c r="C17" s="2">
        <v>3425775</v>
      </c>
      <c r="D17" s="2">
        <v>2.4397267376874421</v>
      </c>
      <c r="E17" s="2">
        <v>0.65618808239173354</v>
      </c>
      <c r="F17" s="2">
        <v>312610534</v>
      </c>
      <c r="G17" s="2">
        <v>2.8351613109237173</v>
      </c>
      <c r="H17" s="2">
        <v>1.7760812899843113</v>
      </c>
    </row>
    <row r="18" spans="1:8" x14ac:dyDescent="0.3">
      <c r="A18" s="1">
        <v>2022</v>
      </c>
      <c r="B18" s="2">
        <v>1</v>
      </c>
      <c r="C18" s="2">
        <v>3258826</v>
      </c>
      <c r="D18" s="2">
        <v>-2.4310311635578508</v>
      </c>
      <c r="E18" s="2">
        <v>0.39153350197194148</v>
      </c>
      <c r="F18" s="2">
        <v>309765531</v>
      </c>
      <c r="G18" s="2">
        <v>0.67605546206486178</v>
      </c>
      <c r="H18" s="2">
        <v>1.8271698640807545</v>
      </c>
    </row>
    <row r="19" spans="1:8" x14ac:dyDescent="0.3">
      <c r="A19" s="1">
        <f>A18</f>
        <v>2022</v>
      </c>
      <c r="B19" s="2">
        <v>2</v>
      </c>
      <c r="C19" s="2">
        <v>3427844</v>
      </c>
      <c r="D19" s="2">
        <v>-2.754736454193496</v>
      </c>
      <c r="E19" s="2">
        <v>0.13348895208095998</v>
      </c>
      <c r="F19" s="2">
        <v>316685461</v>
      </c>
      <c r="G19" s="2">
        <v>1.4916714168359713</v>
      </c>
      <c r="H19" s="2">
        <v>1.8898459709426325</v>
      </c>
    </row>
    <row r="20" spans="1:8" x14ac:dyDescent="0.3">
      <c r="A20" s="1">
        <f>A19</f>
        <v>2022</v>
      </c>
      <c r="B20" s="2">
        <v>3</v>
      </c>
      <c r="C20" s="2">
        <v>3424477</v>
      </c>
      <c r="D20" s="2">
        <v>-3.9143935842478328E-2</v>
      </c>
      <c r="E20" s="2">
        <v>-0.11765649577490277</v>
      </c>
      <c r="F20" s="2">
        <v>314866699</v>
      </c>
      <c r="G20" s="2">
        <v>0.82387485458443876</v>
      </c>
      <c r="H20" s="2">
        <v>1.9626774628541719</v>
      </c>
    </row>
    <row r="21" spans="1:8" x14ac:dyDescent="0.3">
      <c r="A21" s="1">
        <f>A20</f>
        <v>2022</v>
      </c>
      <c r="B21" s="2">
        <v>4</v>
      </c>
      <c r="C21" s="2">
        <v>3377802</v>
      </c>
      <c r="D21" s="2">
        <v>-1.4003546642730513</v>
      </c>
      <c r="E21" s="2">
        <v>-0.36341891096826018</v>
      </c>
      <c r="F21" s="2">
        <v>317092845</v>
      </c>
      <c r="G21" s="2">
        <v>1.4338323608762416</v>
      </c>
      <c r="H21" s="2">
        <v>2.0439833330032826</v>
      </c>
    </row>
    <row r="22" spans="1:8" x14ac:dyDescent="0.3">
      <c r="A22" s="1">
        <v>2023</v>
      </c>
      <c r="B22" s="2">
        <v>1</v>
      </c>
      <c r="C22" s="2">
        <v>3375280</v>
      </c>
      <c r="D22" s="2">
        <v>3.5734954857976398</v>
      </c>
      <c r="E22" s="2">
        <v>-0.60526529252176786</v>
      </c>
      <c r="F22" s="2">
        <v>322408952</v>
      </c>
      <c r="G22" s="2">
        <v>4.0816100355594465</v>
      </c>
      <c r="H22" s="2">
        <v>2.1313708229477055</v>
      </c>
    </row>
    <row r="23" spans="1:8" x14ac:dyDescent="0.3">
      <c r="A23" s="1">
        <f>A22</f>
        <v>2023</v>
      </c>
      <c r="B23" s="2">
        <v>2</v>
      </c>
      <c r="C23" s="2">
        <v>3363013</v>
      </c>
      <c r="D23" s="2">
        <v>-1.8913054386372363</v>
      </c>
      <c r="E23" s="2">
        <v>-0.84531072430389698</v>
      </c>
      <c r="F23" s="2">
        <v>327349295</v>
      </c>
      <c r="G23" s="2">
        <v>3.3673266737054286</v>
      </c>
      <c r="H23" s="2">
        <v>2.2220658298876024</v>
      </c>
    </row>
    <row r="24" spans="1:8" x14ac:dyDescent="0.3">
      <c r="A24" s="1">
        <f>A23</f>
        <v>2023</v>
      </c>
      <c r="B24" s="2">
        <v>3</v>
      </c>
      <c r="C24" s="2">
        <v>3358966</v>
      </c>
      <c r="D24" s="2">
        <v>-1.9130220468702275</v>
      </c>
      <c r="E24" s="2">
        <v>-1.0830585646966691</v>
      </c>
      <c r="F24" s="2">
        <v>325485218</v>
      </c>
      <c r="G24" s="2">
        <v>3.3723855313133599</v>
      </c>
      <c r="H24" s="2">
        <v>2.3145131505310172</v>
      </c>
    </row>
    <row r="25" spans="1:8" x14ac:dyDescent="0.3">
      <c r="A25" s="1">
        <f>A24</f>
        <v>2023</v>
      </c>
      <c r="B25" s="2">
        <v>4</v>
      </c>
      <c r="C25" s="2">
        <v>3315856</v>
      </c>
      <c r="D25" s="2">
        <v>-1.8339144804816909</v>
      </c>
      <c r="E25" s="2">
        <v>-1.3186659187785639</v>
      </c>
      <c r="F25" s="2">
        <v>325242001</v>
      </c>
      <c r="G25" s="2">
        <v>2.5699589658038535</v>
      </c>
      <c r="H25" s="2">
        <v>2.4078733696133798</v>
      </c>
    </row>
    <row r="26" spans="1:8" x14ac:dyDescent="0.3">
      <c r="A26" s="1">
        <v>2024</v>
      </c>
      <c r="B26" s="2">
        <v>1</v>
      </c>
      <c r="C26" s="2">
        <v>3311722</v>
      </c>
      <c r="D26" s="2">
        <v>-1.8830437771088615</v>
      </c>
      <c r="E26" s="2">
        <v>-1.5528086188044197</v>
      </c>
      <c r="F26" s="2">
        <v>328939860</v>
      </c>
      <c r="G26" s="2">
        <v>2.0256596349098821</v>
      </c>
      <c r="H26" s="2">
        <v>2.5019682421081093</v>
      </c>
    </row>
    <row r="27" spans="1:8" x14ac:dyDescent="0.3">
      <c r="A27" s="1">
        <f t="shared" ref="A27:A29" si="0">A26</f>
        <v>2024</v>
      </c>
      <c r="B27" s="2">
        <v>2</v>
      </c>
      <c r="C27" s="2">
        <v>3411936</v>
      </c>
      <c r="D27" s="2">
        <v>1.4547371657498864</v>
      </c>
      <c r="E27" s="2">
        <v>-1.7864845273801393</v>
      </c>
      <c r="F27" s="2">
        <v>337474113</v>
      </c>
      <c r="G27" s="2">
        <v>3.0929707668990059</v>
      </c>
      <c r="H27" s="2">
        <v>2.5967208264862438</v>
      </c>
    </row>
    <row r="28" spans="1:8" x14ac:dyDescent="0.3">
      <c r="A28" s="1">
        <f t="shared" si="0"/>
        <v>2024</v>
      </c>
      <c r="B28" s="2">
        <v>3</v>
      </c>
      <c r="C28" s="2">
        <v>3248063</v>
      </c>
      <c r="D28" s="2">
        <v>-3.301700582857936</v>
      </c>
      <c r="E28" s="2">
        <v>-2.0208979040855661</v>
      </c>
      <c r="F28" s="2">
        <v>333176983</v>
      </c>
      <c r="G28" s="2">
        <v>2.3631687630127685</v>
      </c>
      <c r="H28" s="2">
        <v>2.691756488339323</v>
      </c>
    </row>
    <row r="29" spans="1:8" x14ac:dyDescent="0.3">
      <c r="A29" s="1">
        <f t="shared" si="0"/>
        <v>2024</v>
      </c>
      <c r="B29" s="2">
        <v>4</v>
      </c>
      <c r="C29" s="2">
        <v>3234389</v>
      </c>
      <c r="D29" s="2">
        <v>-2.4568919760086128</v>
      </c>
      <c r="E29" s="2">
        <v>-2.2552272449423372</v>
      </c>
      <c r="F29" s="2">
        <v>335977451</v>
      </c>
      <c r="G29" s="2">
        <v>3.3007575795845678</v>
      </c>
      <c r="H29" s="2">
        <v>2.7870107494716447</v>
      </c>
    </row>
    <row r="30" spans="1:8" x14ac:dyDescent="0.3">
      <c r="A30" s="1">
        <v>2025</v>
      </c>
      <c r="B30" s="2">
        <v>1</v>
      </c>
      <c r="C30" s="2">
        <v>3234844</v>
      </c>
      <c r="D30" s="2">
        <v>-2.3213905031883697</v>
      </c>
      <c r="E30" s="2">
        <v>-2.4894515476463219</v>
      </c>
      <c r="F30" s="2">
        <v>338150899</v>
      </c>
      <c r="G30" s="2">
        <v>2.800219772696444</v>
      </c>
      <c r="H30" s="2">
        <v>2.8822137643591774</v>
      </c>
    </row>
    <row r="31" spans="1:8" x14ac:dyDescent="0.3">
      <c r="B31" s="2"/>
      <c r="C31" s="2"/>
      <c r="D31" s="2"/>
      <c r="E31" s="2"/>
      <c r="F31" s="2"/>
      <c r="G31" s="2"/>
      <c r="H31" s="2"/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1:H54"/>
  <sheetViews>
    <sheetView topLeftCell="A16" workbookViewId="0">
      <selection activeCell="C26" sqref="C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0.57031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</row>
    <row r="2" spans="1:8" x14ac:dyDescent="0.3">
      <c r="A2" s="1">
        <v>2018</v>
      </c>
      <c r="B2" s="1">
        <v>1</v>
      </c>
      <c r="C2" s="1">
        <v>22.2</v>
      </c>
      <c r="D2" s="2"/>
      <c r="E2" s="2"/>
      <c r="F2" s="1">
        <v>24.5</v>
      </c>
      <c r="G2" s="2"/>
      <c r="H2" s="2"/>
    </row>
    <row r="3" spans="1:8" x14ac:dyDescent="0.3">
      <c r="A3" s="1">
        <f>A2</f>
        <v>2018</v>
      </c>
      <c r="B3" s="1">
        <v>2</v>
      </c>
      <c r="C3" s="1">
        <v>23</v>
      </c>
      <c r="D3" s="2"/>
      <c r="E3" s="2"/>
      <c r="F3" s="1">
        <v>24.6</v>
      </c>
      <c r="G3" s="2"/>
      <c r="H3" s="2"/>
    </row>
    <row r="4" spans="1:8" x14ac:dyDescent="0.3">
      <c r="A4" s="1">
        <f>A3</f>
        <v>2018</v>
      </c>
      <c r="B4" s="1">
        <v>3</v>
      </c>
      <c r="C4" s="1">
        <v>22.9</v>
      </c>
      <c r="D4" s="2"/>
      <c r="E4" s="2"/>
      <c r="F4" s="1">
        <v>24.4</v>
      </c>
      <c r="G4" s="2"/>
      <c r="H4" s="2"/>
    </row>
    <row r="5" spans="1:8" x14ac:dyDescent="0.3">
      <c r="A5" s="1">
        <f>A4</f>
        <v>2018</v>
      </c>
      <c r="B5" s="1">
        <v>4</v>
      </c>
      <c r="C5" s="1">
        <v>22.9</v>
      </c>
      <c r="D5" s="2"/>
      <c r="E5" s="2"/>
      <c r="F5" s="1">
        <v>24.2</v>
      </c>
      <c r="G5" s="2"/>
      <c r="H5" s="2"/>
    </row>
    <row r="6" spans="1:8" x14ac:dyDescent="0.3">
      <c r="A6" s="1">
        <v>2019</v>
      </c>
      <c r="B6" s="1">
        <v>1</v>
      </c>
      <c r="C6" s="1">
        <v>23.1</v>
      </c>
      <c r="D6" s="2"/>
      <c r="E6" s="2"/>
      <c r="F6" s="1">
        <v>24.2</v>
      </c>
      <c r="G6" s="2"/>
      <c r="H6" s="2"/>
    </row>
    <row r="7" spans="1:8" x14ac:dyDescent="0.3">
      <c r="A7" s="1">
        <f>A6</f>
        <v>2019</v>
      </c>
      <c r="B7" s="1">
        <v>2</v>
      </c>
      <c r="C7" s="1">
        <v>22.6</v>
      </c>
      <c r="D7" s="2"/>
      <c r="E7" s="2"/>
      <c r="F7" s="1">
        <v>24.3</v>
      </c>
      <c r="G7" s="2"/>
      <c r="H7" s="2"/>
    </row>
    <row r="8" spans="1:8" x14ac:dyDescent="0.3">
      <c r="A8" s="1">
        <f>A7</f>
        <v>2019</v>
      </c>
      <c r="B8" s="1">
        <v>3</v>
      </c>
      <c r="C8" s="1">
        <v>22.5</v>
      </c>
      <c r="D8" s="2"/>
      <c r="E8" s="2"/>
      <c r="F8" s="1">
        <v>24</v>
      </c>
      <c r="G8" s="2"/>
      <c r="H8" s="2"/>
    </row>
    <row r="9" spans="1:8" x14ac:dyDescent="0.3">
      <c r="A9" s="1">
        <f>A8</f>
        <v>2019</v>
      </c>
      <c r="B9" s="1">
        <v>4</v>
      </c>
      <c r="C9" s="1">
        <v>22.3</v>
      </c>
      <c r="D9" s="2"/>
      <c r="E9" s="2"/>
      <c r="F9" s="1">
        <v>23.5</v>
      </c>
      <c r="G9" s="2"/>
      <c r="H9" s="2"/>
    </row>
    <row r="10" spans="1:8" x14ac:dyDescent="0.3">
      <c r="A10" s="1">
        <v>2020</v>
      </c>
      <c r="B10" s="1">
        <v>1</v>
      </c>
      <c r="C10" s="1">
        <v>24</v>
      </c>
      <c r="D10" s="2"/>
      <c r="E10" s="2"/>
      <c r="F10" s="1">
        <v>24</v>
      </c>
      <c r="G10" s="2"/>
      <c r="H10" s="2"/>
    </row>
    <row r="11" spans="1:8" x14ac:dyDescent="0.3">
      <c r="A11" s="1">
        <f>A10</f>
        <v>2020</v>
      </c>
      <c r="B11" s="1">
        <v>2</v>
      </c>
      <c r="C11" s="1">
        <v>25.9</v>
      </c>
      <c r="D11" s="2"/>
      <c r="E11" s="2"/>
      <c r="F11" s="1">
        <v>26</v>
      </c>
      <c r="G11" s="2"/>
      <c r="H11" s="2"/>
    </row>
    <row r="12" spans="1:8" x14ac:dyDescent="0.3">
      <c r="A12" s="1">
        <f>A11</f>
        <v>2020</v>
      </c>
      <c r="B12" s="1">
        <v>3</v>
      </c>
      <c r="C12" s="1">
        <v>25.9</v>
      </c>
      <c r="D12" s="2"/>
      <c r="E12" s="2"/>
      <c r="F12" s="1">
        <v>26.2</v>
      </c>
      <c r="G12" s="2"/>
      <c r="H12" s="2"/>
    </row>
    <row r="13" spans="1:8" x14ac:dyDescent="0.3">
      <c r="A13" s="1">
        <f>A12</f>
        <v>2020</v>
      </c>
      <c r="B13" s="1">
        <v>4</v>
      </c>
      <c r="C13" s="1">
        <v>25.7</v>
      </c>
      <c r="D13" s="2"/>
      <c r="E13" s="2"/>
      <c r="F13" s="1">
        <v>26.9</v>
      </c>
      <c r="G13" s="2"/>
      <c r="H13" s="2"/>
    </row>
    <row r="14" spans="1:8" x14ac:dyDescent="0.3">
      <c r="A14" s="1">
        <v>2021</v>
      </c>
      <c r="B14" s="1">
        <v>1</v>
      </c>
      <c r="C14" s="1">
        <v>25.9</v>
      </c>
      <c r="D14" s="2"/>
      <c r="E14" s="2"/>
      <c r="F14" s="1">
        <v>27.4</v>
      </c>
      <c r="H14" s="2"/>
    </row>
    <row r="15" spans="1:8" x14ac:dyDescent="0.3">
      <c r="A15" s="1">
        <f>A14</f>
        <v>2021</v>
      </c>
      <c r="B15" s="1">
        <v>2</v>
      </c>
      <c r="C15" s="1">
        <v>26</v>
      </c>
      <c r="D15" s="2"/>
      <c r="E15" s="2"/>
      <c r="F15" s="1">
        <v>26.5</v>
      </c>
      <c r="H15" s="2"/>
    </row>
    <row r="16" spans="1:8" x14ac:dyDescent="0.3">
      <c r="A16" s="1">
        <f>A15</f>
        <v>2021</v>
      </c>
      <c r="B16" s="1">
        <v>3</v>
      </c>
      <c r="C16" s="1">
        <v>24.8</v>
      </c>
      <c r="D16" s="2"/>
      <c r="E16" s="2"/>
      <c r="F16" s="1">
        <v>26</v>
      </c>
      <c r="H16" s="2"/>
    </row>
    <row r="17" spans="1:8" x14ac:dyDescent="0.3">
      <c r="A17" s="1">
        <f>A16</f>
        <v>2021</v>
      </c>
      <c r="B17" s="1">
        <v>4</v>
      </c>
      <c r="C17" s="1">
        <v>24.1</v>
      </c>
      <c r="D17" s="2"/>
      <c r="E17" s="2"/>
      <c r="F17" s="1">
        <v>25.3</v>
      </c>
      <c r="H17" s="2"/>
    </row>
    <row r="18" spans="1:8" x14ac:dyDescent="0.3">
      <c r="A18" s="1">
        <v>2022</v>
      </c>
      <c r="B18" s="1">
        <v>1</v>
      </c>
      <c r="C18" s="1">
        <v>22.7</v>
      </c>
      <c r="D18" s="2"/>
      <c r="E18" s="2"/>
      <c r="F18" s="1">
        <v>24.4</v>
      </c>
      <c r="H18" s="2"/>
    </row>
    <row r="19" spans="1:8" x14ac:dyDescent="0.3">
      <c r="A19" s="1">
        <f>A18</f>
        <v>2022</v>
      </c>
      <c r="B19" s="1">
        <v>2</v>
      </c>
      <c r="C19" s="1">
        <v>23.2</v>
      </c>
      <c r="D19" s="2"/>
      <c r="E19" s="2"/>
      <c r="F19" s="1">
        <v>24.2</v>
      </c>
      <c r="H19" s="2"/>
    </row>
    <row r="20" spans="1:8" x14ac:dyDescent="0.3">
      <c r="A20" s="1">
        <f>A19</f>
        <v>2022</v>
      </c>
      <c r="B20" s="1">
        <v>3</v>
      </c>
      <c r="C20" s="1">
        <v>22.6</v>
      </c>
      <c r="D20" s="2"/>
      <c r="E20" s="2"/>
      <c r="F20" s="1">
        <v>23.5</v>
      </c>
      <c r="H20" s="2"/>
    </row>
    <row r="21" spans="1:8" x14ac:dyDescent="0.3">
      <c r="A21" s="1">
        <f>A20</f>
        <v>2022</v>
      </c>
      <c r="B21" s="1">
        <v>4</v>
      </c>
      <c r="C21" s="1">
        <v>21.7</v>
      </c>
      <c r="D21" s="2"/>
      <c r="E21" s="2"/>
      <c r="F21" s="1">
        <v>23.1</v>
      </c>
      <c r="H21" s="2"/>
    </row>
    <row r="22" spans="1:8" x14ac:dyDescent="0.3">
      <c r="A22" s="1">
        <v>2023</v>
      </c>
      <c r="B22" s="1">
        <v>1</v>
      </c>
      <c r="C22" s="1">
        <v>21.4</v>
      </c>
      <c r="D22" s="2"/>
      <c r="E22" s="2"/>
      <c r="F22" s="1">
        <v>22.9</v>
      </c>
      <c r="H22" s="2"/>
    </row>
    <row r="23" spans="1:8" x14ac:dyDescent="0.3">
      <c r="A23" s="1">
        <f>A22</f>
        <v>2023</v>
      </c>
      <c r="B23" s="1">
        <v>2</v>
      </c>
      <c r="C23" s="1">
        <v>20.8</v>
      </c>
      <c r="D23" s="2"/>
      <c r="E23" s="2"/>
      <c r="F23" s="1">
        <v>22.7</v>
      </c>
      <c r="H23" s="2"/>
    </row>
    <row r="24" spans="1:8" x14ac:dyDescent="0.3">
      <c r="A24" s="1">
        <f>A23</f>
        <v>2023</v>
      </c>
      <c r="B24" s="1">
        <v>3</v>
      </c>
      <c r="C24" s="1">
        <v>20.399999999999999</v>
      </c>
      <c r="D24" s="2"/>
      <c r="E24" s="2"/>
      <c r="F24" s="1">
        <v>22.1</v>
      </c>
      <c r="H24" s="2"/>
    </row>
    <row r="25" spans="1:8" x14ac:dyDescent="0.3">
      <c r="A25" s="1">
        <f t="shared" ref="A25:A29" si="0">A24</f>
        <v>2023</v>
      </c>
      <c r="B25" s="1">
        <v>4</v>
      </c>
      <c r="C25" s="1">
        <v>19.8</v>
      </c>
      <c r="D25" s="2"/>
      <c r="E25" s="2"/>
      <c r="F25" s="1">
        <v>21.7</v>
      </c>
      <c r="H25" s="2"/>
    </row>
    <row r="26" spans="1:8" x14ac:dyDescent="0.3">
      <c r="A26" s="1">
        <v>2024</v>
      </c>
      <c r="B26" s="1">
        <v>1</v>
      </c>
      <c r="C26" s="1">
        <v>19.5</v>
      </c>
      <c r="D26" s="2"/>
      <c r="E26" s="2"/>
      <c r="F26" s="1">
        <v>21.7</v>
      </c>
      <c r="H26" s="2"/>
    </row>
    <row r="27" spans="1:8" x14ac:dyDescent="0.3">
      <c r="A27" s="1">
        <f t="shared" si="0"/>
        <v>2024</v>
      </c>
      <c r="B27" s="1">
        <v>2</v>
      </c>
      <c r="C27" s="1">
        <v>19.7</v>
      </c>
      <c r="D27" s="2"/>
      <c r="E27" s="2"/>
      <c r="F27" s="1">
        <v>21.9</v>
      </c>
      <c r="H27" s="2"/>
    </row>
    <row r="28" spans="1:8" x14ac:dyDescent="0.3">
      <c r="A28" s="1">
        <f t="shared" si="0"/>
        <v>2024</v>
      </c>
      <c r="B28" s="1">
        <v>3</v>
      </c>
      <c r="C28" s="1">
        <v>18.5</v>
      </c>
      <c r="D28" s="2"/>
      <c r="E28" s="2"/>
      <c r="F28" s="1">
        <v>21.3</v>
      </c>
      <c r="H28" s="2"/>
    </row>
    <row r="29" spans="1:8" x14ac:dyDescent="0.3">
      <c r="A29" s="1">
        <f t="shared" si="0"/>
        <v>2024</v>
      </c>
      <c r="B29" s="1">
        <v>4</v>
      </c>
      <c r="C29" s="1">
        <v>18.100000000000001</v>
      </c>
      <c r="D29" s="2"/>
      <c r="E29" s="2"/>
      <c r="F29" s="1">
        <v>21.1</v>
      </c>
      <c r="H29" s="2"/>
    </row>
    <row r="30" spans="1:8" x14ac:dyDescent="0.3">
      <c r="A30" s="1">
        <v>2025</v>
      </c>
      <c r="B30" s="1">
        <v>1</v>
      </c>
      <c r="C30" s="1">
        <v>17.899999999999999</v>
      </c>
      <c r="D30" s="2"/>
      <c r="E30" s="2"/>
      <c r="F30" s="5">
        <v>21</v>
      </c>
      <c r="G30" s="1" t="s">
        <v>1</v>
      </c>
      <c r="H30" s="2" t="s">
        <v>1</v>
      </c>
    </row>
    <row r="31" spans="1:8" x14ac:dyDescent="0.3">
      <c r="D31" s="2"/>
      <c r="E31" s="2"/>
      <c r="F31" s="5"/>
      <c r="G31" s="1" t="s">
        <v>1</v>
      </c>
      <c r="H31" s="2" t="s">
        <v>1</v>
      </c>
    </row>
    <row r="32" spans="1:8" x14ac:dyDescent="0.3">
      <c r="D32" s="2"/>
      <c r="E32" s="2"/>
      <c r="F32" s="5"/>
      <c r="G32" s="1" t="s">
        <v>1</v>
      </c>
      <c r="H32" s="2" t="s">
        <v>1</v>
      </c>
    </row>
    <row r="33" spans="1:8" x14ac:dyDescent="0.3">
      <c r="D33" s="2"/>
      <c r="E33" s="2"/>
      <c r="F33" s="5"/>
      <c r="G33" s="1" t="s">
        <v>1</v>
      </c>
      <c r="H33" s="2" t="s">
        <v>1</v>
      </c>
    </row>
    <row r="34" spans="1:8" x14ac:dyDescent="0.3">
      <c r="A34" s="1" t="str">
        <f t="shared" ref="A34:A54" si="1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1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1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1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1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1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1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1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1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1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1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1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1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1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1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1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1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1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1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1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1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F25" sqref="F25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8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</row>
    <row r="2" spans="1:8" x14ac:dyDescent="0.3">
      <c r="A2" s="1">
        <v>2018</v>
      </c>
      <c r="B2" s="2">
        <v>1</v>
      </c>
      <c r="C2" s="2">
        <v>235.6</v>
      </c>
      <c r="D2" s="2">
        <v>0.21267545725223158</v>
      </c>
      <c r="E2" s="2">
        <v>1.1919079376617479</v>
      </c>
      <c r="F2" s="2">
        <v>18874.2</v>
      </c>
      <c r="G2" s="2">
        <v>2.3641008118969742</v>
      </c>
      <c r="H2" s="2">
        <v>2.175878584536532</v>
      </c>
    </row>
    <row r="3" spans="1:8" x14ac:dyDescent="0.3">
      <c r="A3" s="1">
        <v>2018</v>
      </c>
      <c r="B3" s="2">
        <v>2</v>
      </c>
      <c r="C3" s="2">
        <v>239.9</v>
      </c>
      <c r="D3" s="2">
        <v>1.6094875052943713</v>
      </c>
      <c r="E3" s="2">
        <v>1.1670149679754991</v>
      </c>
      <c r="F3" s="2">
        <v>19344.099999999999</v>
      </c>
      <c r="G3" s="2">
        <v>2.8214082590507727</v>
      </c>
      <c r="H3" s="2">
        <v>2.1412538480082821</v>
      </c>
    </row>
    <row r="4" spans="1:8" x14ac:dyDescent="0.3">
      <c r="A4" s="1">
        <v>2018</v>
      </c>
      <c r="B4" s="2">
        <v>3</v>
      </c>
      <c r="C4" s="2">
        <v>246.8</v>
      </c>
      <c r="D4" s="2">
        <v>3.0910609857978333</v>
      </c>
      <c r="E4" s="2">
        <v>1.1371038992187144</v>
      </c>
      <c r="F4" s="2">
        <v>19528</v>
      </c>
      <c r="G4" s="2">
        <v>2.5134913802154379</v>
      </c>
      <c r="H4" s="2">
        <v>2.0944938476216879</v>
      </c>
    </row>
    <row r="5" spans="1:8" x14ac:dyDescent="0.3">
      <c r="A5" s="1">
        <v>2018</v>
      </c>
      <c r="B5" s="2">
        <v>4</v>
      </c>
      <c r="C5" s="2">
        <v>241.6</v>
      </c>
      <c r="D5" s="2">
        <v>1.6835016835016869</v>
      </c>
      <c r="E5" s="2">
        <v>1.1045558029619296</v>
      </c>
      <c r="F5" s="2">
        <v>19564.599999999999</v>
      </c>
      <c r="G5" s="2">
        <v>2.9802509685025846</v>
      </c>
      <c r="H5" s="2">
        <v>2.0390911580201188</v>
      </c>
    </row>
    <row r="6" spans="1:8" x14ac:dyDescent="0.3">
      <c r="A6" s="1">
        <v>2019</v>
      </c>
      <c r="B6" s="2">
        <v>1</v>
      </c>
      <c r="C6" s="2">
        <v>237.3</v>
      </c>
      <c r="D6" s="2">
        <v>0.72156196943973239</v>
      </c>
      <c r="E6" s="2">
        <v>1.0729729739547926</v>
      </c>
      <c r="F6" s="2">
        <v>19471.099999999999</v>
      </c>
      <c r="G6" s="2">
        <v>3.1625181464644658</v>
      </c>
      <c r="H6" s="2">
        <v>1.9788002273048155</v>
      </c>
    </row>
    <row r="7" spans="1:8" x14ac:dyDescent="0.3">
      <c r="A7" s="1">
        <v>2019</v>
      </c>
      <c r="B7" s="2">
        <v>2</v>
      </c>
      <c r="C7" s="2">
        <v>244.5</v>
      </c>
      <c r="D7" s="2">
        <v>1.9174656106711208</v>
      </c>
      <c r="E7" s="2">
        <v>1.0463195481222889</v>
      </c>
      <c r="F7" s="2">
        <v>19804.900000000001</v>
      </c>
      <c r="G7" s="2">
        <v>2.3821216805124168</v>
      </c>
      <c r="H7" s="2">
        <v>1.9179637284585709</v>
      </c>
    </row>
    <row r="8" spans="1:8" x14ac:dyDescent="0.3">
      <c r="A8" s="1">
        <v>2019</v>
      </c>
      <c r="B8" s="2">
        <v>3</v>
      </c>
      <c r="C8" s="2">
        <v>248.8</v>
      </c>
      <c r="D8" s="2">
        <v>0.81037277147488762</v>
      </c>
      <c r="E8" s="2">
        <v>1.0283400295115819</v>
      </c>
      <c r="F8" s="2">
        <v>19874.3</v>
      </c>
      <c r="G8" s="2">
        <v>1.7733510856206447</v>
      </c>
      <c r="H8" s="2">
        <v>1.8616641581636522</v>
      </c>
    </row>
    <row r="9" spans="1:8" x14ac:dyDescent="0.3">
      <c r="A9" s="1">
        <v>2019</v>
      </c>
      <c r="B9" s="2">
        <v>4</v>
      </c>
      <c r="C9" s="2">
        <v>244.7</v>
      </c>
      <c r="D9" s="2">
        <v>1.2831125827814649</v>
      </c>
      <c r="E9" s="2">
        <v>1.0233233884589279</v>
      </c>
      <c r="F9" s="2">
        <v>19966.900000000001</v>
      </c>
      <c r="G9" s="2">
        <v>2.056264886580883</v>
      </c>
      <c r="H9" s="2">
        <v>1.8152741118223603</v>
      </c>
    </row>
    <row r="10" spans="1:8" x14ac:dyDescent="0.3">
      <c r="A10" s="1">
        <v>2020</v>
      </c>
      <c r="B10" s="2">
        <v>1</v>
      </c>
      <c r="C10" s="2">
        <v>239.2</v>
      </c>
      <c r="D10" s="2">
        <v>0.8006742520016763</v>
      </c>
      <c r="E10" s="2">
        <v>1.0354223657643102</v>
      </c>
      <c r="F10" s="2">
        <v>19681.3</v>
      </c>
      <c r="G10" s="2">
        <v>1.0795486644308738</v>
      </c>
      <c r="H10" s="2">
        <v>1.7841109891666564</v>
      </c>
    </row>
    <row r="11" spans="1:8" x14ac:dyDescent="0.3">
      <c r="A11" s="1">
        <v>2020</v>
      </c>
      <c r="B11" s="2">
        <v>2</v>
      </c>
      <c r="C11" s="2">
        <v>220.2</v>
      </c>
      <c r="D11" s="2">
        <v>-9.9386503067484746</v>
      </c>
      <c r="E11" s="2">
        <v>1.0689520704741637</v>
      </c>
      <c r="F11" s="2">
        <v>18607.2</v>
      </c>
      <c r="G11" s="2">
        <v>-6.0474932971133484</v>
      </c>
      <c r="H11" s="2">
        <v>1.7736428091627259</v>
      </c>
    </row>
    <row r="12" spans="1:8" x14ac:dyDescent="0.3">
      <c r="A12" s="1">
        <v>2020</v>
      </c>
      <c r="B12" s="2">
        <v>3</v>
      </c>
      <c r="C12" s="2">
        <v>240.9</v>
      </c>
      <c r="D12" s="2">
        <v>-3.1752411575562745</v>
      </c>
      <c r="E12" s="2">
        <v>1.1280808940638216</v>
      </c>
      <c r="F12" s="2">
        <v>19176.900000000001</v>
      </c>
      <c r="G12" s="2">
        <v>-3.5090544069476537</v>
      </c>
      <c r="H12" s="2">
        <v>1.7888972393237939</v>
      </c>
    </row>
    <row r="13" spans="1:8" x14ac:dyDescent="0.3">
      <c r="A13" s="1">
        <v>2020</v>
      </c>
      <c r="B13" s="2">
        <v>4</v>
      </c>
      <c r="C13" s="2">
        <v>237.3</v>
      </c>
      <c r="D13" s="2">
        <v>-3.0241111565181722</v>
      </c>
      <c r="E13" s="2">
        <v>1.2100974765228527</v>
      </c>
      <c r="F13" s="2">
        <v>19344.3</v>
      </c>
      <c r="G13" s="2">
        <v>-3.1181605557197289</v>
      </c>
      <c r="H13" s="2">
        <v>1.8300137370966632</v>
      </c>
    </row>
    <row r="14" spans="1:8" x14ac:dyDescent="0.3">
      <c r="A14" s="1">
        <v>2021</v>
      </c>
      <c r="B14" s="2">
        <v>1</v>
      </c>
      <c r="C14" s="2">
        <v>238.3</v>
      </c>
      <c r="D14" s="2">
        <v>-0.37625418060199811</v>
      </c>
      <c r="E14" s="2">
        <v>1.3096008815585636</v>
      </c>
      <c r="F14" s="2">
        <v>19239.599999999999</v>
      </c>
      <c r="G14" s="2">
        <v>-2.2442623200703227</v>
      </c>
      <c r="H14" s="2">
        <v>1.893820540149217</v>
      </c>
    </row>
    <row r="15" spans="1:8" x14ac:dyDescent="0.3">
      <c r="A15" s="1">
        <v>2021</v>
      </c>
      <c r="B15" s="2">
        <v>2</v>
      </c>
      <c r="C15" s="2">
        <v>242.3</v>
      </c>
      <c r="D15" s="2">
        <v>10.036330608537703</v>
      </c>
      <c r="E15" s="2">
        <v>1.4185437924826101</v>
      </c>
      <c r="F15" s="2">
        <v>19716.099999999999</v>
      </c>
      <c r="G15" s="2">
        <v>5.9595210456167447</v>
      </c>
      <c r="H15" s="2">
        <v>1.9740532772163282</v>
      </c>
    </row>
    <row r="16" spans="1:8" x14ac:dyDescent="0.3">
      <c r="A16" s="1">
        <v>2021</v>
      </c>
      <c r="B16" s="2">
        <v>3</v>
      </c>
      <c r="C16" s="2">
        <v>256.10000000000002</v>
      </c>
      <c r="D16" s="2">
        <v>6.3096720630967384</v>
      </c>
      <c r="E16" s="2">
        <v>1.5278252331927979</v>
      </c>
      <c r="F16" s="2">
        <v>20103.3</v>
      </c>
      <c r="G16" s="2">
        <v>4.8308120707726276</v>
      </c>
      <c r="H16" s="2">
        <v>2.0618612752452328</v>
      </c>
    </row>
    <row r="17" spans="1:8" x14ac:dyDescent="0.3">
      <c r="A17" s="1">
        <v>2021</v>
      </c>
      <c r="B17" s="2">
        <v>4</v>
      </c>
      <c r="C17" s="2">
        <v>243.2</v>
      </c>
      <c r="D17" s="2">
        <v>2.4863042562157434</v>
      </c>
      <c r="E17" s="2">
        <v>1.6337303443469675</v>
      </c>
      <c r="F17" s="2">
        <v>20274.8</v>
      </c>
      <c r="G17" s="2">
        <v>4.8102024885883665</v>
      </c>
      <c r="H17" s="2">
        <v>2.1508847785384173</v>
      </c>
    </row>
    <row r="18" spans="1:8" x14ac:dyDescent="0.3">
      <c r="A18" s="1">
        <v>2022</v>
      </c>
      <c r="B18" s="2">
        <v>1</v>
      </c>
      <c r="C18" s="2">
        <v>243.6</v>
      </c>
      <c r="D18" s="2">
        <v>2.2240872849349502</v>
      </c>
      <c r="E18" s="2">
        <v>1.7355329208716488</v>
      </c>
      <c r="F18" s="2">
        <v>20196.7</v>
      </c>
      <c r="G18" s="2">
        <v>4.9746356473107767</v>
      </c>
      <c r="H18" s="2">
        <v>2.2364946256455727</v>
      </c>
    </row>
    <row r="19" spans="1:8" x14ac:dyDescent="0.3">
      <c r="A19" s="1">
        <v>2022</v>
      </c>
      <c r="B19" s="2">
        <v>2</v>
      </c>
      <c r="C19" s="2">
        <v>253.1</v>
      </c>
      <c r="D19" s="2">
        <v>4.4572843582335819</v>
      </c>
      <c r="E19" s="2">
        <v>1.8330396163882894</v>
      </c>
      <c r="F19" s="2">
        <v>20607.2</v>
      </c>
      <c r="G19" s="2">
        <v>4.5196565243633469</v>
      </c>
      <c r="H19" s="2">
        <v>2.3157237286851702</v>
      </c>
    </row>
    <row r="20" spans="1:8" x14ac:dyDescent="0.3">
      <c r="A20" s="1">
        <v>2022</v>
      </c>
      <c r="B20" s="2">
        <v>3</v>
      </c>
      <c r="C20" s="2">
        <v>255.5</v>
      </c>
      <c r="D20" s="2">
        <v>-0.23428348301445245</v>
      </c>
      <c r="E20" s="2">
        <v>1.9263624309958767</v>
      </c>
      <c r="F20" s="2">
        <v>20745.400000000001</v>
      </c>
      <c r="G20" s="2">
        <v>3.1940029746360121</v>
      </c>
      <c r="H20" s="2">
        <v>2.3873163379142222</v>
      </c>
    </row>
    <row r="21" spans="1:8" x14ac:dyDescent="0.3">
      <c r="A21" s="1">
        <v>2022</v>
      </c>
      <c r="B21" s="2">
        <v>4</v>
      </c>
      <c r="C21" s="2">
        <v>244.4</v>
      </c>
      <c r="D21" s="2">
        <v>0.49342105263159297</v>
      </c>
      <c r="E21" s="2">
        <v>2.0172535177570512</v>
      </c>
      <c r="F21" s="2">
        <v>20640.7</v>
      </c>
      <c r="G21" s="2">
        <v>1.804703375618999</v>
      </c>
      <c r="H21" s="2">
        <v>2.4513941615870398</v>
      </c>
    </row>
    <row r="22" spans="1:8" x14ac:dyDescent="0.3">
      <c r="A22" s="1">
        <v>2023</v>
      </c>
      <c r="B22" s="2">
        <v>1</v>
      </c>
      <c r="C22" s="2">
        <v>246.7</v>
      </c>
      <c r="D22" s="2">
        <v>1.2725779967159179</v>
      </c>
      <c r="E22" s="2">
        <v>2.1061146260381971</v>
      </c>
      <c r="F22" s="2">
        <v>20634.2</v>
      </c>
      <c r="G22" s="2">
        <v>2.1661954675763928</v>
      </c>
      <c r="H22" s="2">
        <v>2.5085830871058854</v>
      </c>
    </row>
    <row r="23" spans="1:8" x14ac:dyDescent="0.3">
      <c r="A23" s="1">
        <v>2023</v>
      </c>
      <c r="B23" s="2">
        <v>2</v>
      </c>
      <c r="C23" s="2">
        <v>256.10000000000002</v>
      </c>
      <c r="D23" s="2">
        <v>1.185302252074294</v>
      </c>
      <c r="E23" s="2">
        <v>2.1923951099149952</v>
      </c>
      <c r="F23" s="2">
        <v>21258.400000000001</v>
      </c>
      <c r="G23" s="2">
        <v>3.160060561357203</v>
      </c>
      <c r="H23" s="2">
        <v>2.5591048201317914</v>
      </c>
    </row>
    <row r="24" spans="1:8" x14ac:dyDescent="0.3">
      <c r="A24" s="1">
        <v>2023</v>
      </c>
      <c r="B24" s="2">
        <v>3</v>
      </c>
      <c r="C24" s="2">
        <v>260.60000000000002</v>
      </c>
      <c r="D24" s="2">
        <v>1.9960861056751655</v>
      </c>
      <c r="E24" s="2">
        <v>2.2750233630698</v>
      </c>
      <c r="F24" s="2">
        <v>21446.5</v>
      </c>
      <c r="G24" s="2">
        <v>3.379544380922983</v>
      </c>
      <c r="H24" s="2">
        <v>2.6029670740635846</v>
      </c>
    </row>
    <row r="25" spans="1:8" x14ac:dyDescent="0.3">
      <c r="A25" s="1">
        <v>2023</v>
      </c>
      <c r="B25" s="2">
        <v>4</v>
      </c>
      <c r="C25" s="2">
        <v>256</v>
      </c>
      <c r="D25" s="2">
        <v>4.7463175122749668</v>
      </c>
      <c r="E25" s="2">
        <v>2.3522983461488161</v>
      </c>
      <c r="F25" s="2">
        <v>21389.7</v>
      </c>
      <c r="G25" s="2">
        <v>3.6287529008221631</v>
      </c>
      <c r="H25" s="2">
        <v>2.6405531596383582</v>
      </c>
    </row>
    <row r="26" spans="1:8" x14ac:dyDescent="0.3">
      <c r="A26" s="1">
        <v>2024</v>
      </c>
      <c r="B26" s="2">
        <v>1</v>
      </c>
      <c r="C26" s="2">
        <v>262.5</v>
      </c>
      <c r="D26" s="2">
        <v>6.4045399270368897</v>
      </c>
      <c r="E26" s="2">
        <v>2.4223446840123755</v>
      </c>
      <c r="F26" s="2">
        <v>21250</v>
      </c>
      <c r="G26" s="2">
        <v>2.9843657616966057</v>
      </c>
      <c r="H26" s="2">
        <v>2.6727317484099915</v>
      </c>
    </row>
    <row r="27" spans="1:8" x14ac:dyDescent="0.3">
      <c r="A27" s="1">
        <v>2024</v>
      </c>
      <c r="B27" s="2">
        <v>2</v>
      </c>
      <c r="C27" s="2">
        <v>259.5</v>
      </c>
      <c r="D27" s="2">
        <v>1.3276064037485158</v>
      </c>
      <c r="E27" s="2">
        <v>2.4847832634996396</v>
      </c>
      <c r="F27" s="2">
        <v>21684.7</v>
      </c>
      <c r="G27" s="2">
        <v>2.005324953900578</v>
      </c>
      <c r="H27" s="2">
        <v>2.700989136770604</v>
      </c>
    </row>
    <row r="28" spans="1:8" x14ac:dyDescent="0.3">
      <c r="A28" s="1">
        <v>2024</v>
      </c>
      <c r="B28" s="2">
        <v>3</v>
      </c>
      <c r="C28" s="2">
        <v>270.7</v>
      </c>
      <c r="D28" s="2">
        <v>3.8756715272448172</v>
      </c>
      <c r="E28" s="2">
        <v>2.5417238434766589</v>
      </c>
      <c r="F28" s="2">
        <v>21823</v>
      </c>
      <c r="G28" s="2">
        <v>1.7555312055580252</v>
      </c>
      <c r="H28" s="2">
        <v>2.7270063923706185</v>
      </c>
    </row>
    <row r="29" spans="1:8" x14ac:dyDescent="0.3">
      <c r="A29" s="1">
        <v>2024</v>
      </c>
      <c r="B29" s="2">
        <v>4</v>
      </c>
      <c r="C29" s="2">
        <v>261.10000000000002</v>
      </c>
      <c r="D29" s="2">
        <v>1.9921875000000089</v>
      </c>
      <c r="E29" s="2">
        <v>2.5945529472721396</v>
      </c>
      <c r="F29" s="2">
        <v>21857.9</v>
      </c>
      <c r="G29" s="2">
        <v>2.1889040051987774</v>
      </c>
      <c r="H29" s="2">
        <v>2.7520297927461637</v>
      </c>
    </row>
    <row r="30" spans="1:8" x14ac:dyDescent="0.3">
      <c r="A30" s="1">
        <v>2025</v>
      </c>
      <c r="B30" s="2">
        <v>1</v>
      </c>
      <c r="C30" s="2">
        <v>261.89999999999998</v>
      </c>
      <c r="D30" s="2">
        <v>-0.22857142857143353</v>
      </c>
      <c r="E30" s="2">
        <v>2.6454908155171428</v>
      </c>
      <c r="F30" s="2">
        <v>21765.4</v>
      </c>
      <c r="G30" s="2">
        <v>2.4254117647058981</v>
      </c>
      <c r="H30" s="2">
        <v>2.7766984434416102</v>
      </c>
    </row>
    <row r="31" spans="1:8" x14ac:dyDescent="0.3">
      <c r="A31" s="1">
        <v>2025</v>
      </c>
      <c r="B31" s="2">
        <v>2</v>
      </c>
      <c r="C31" s="2">
        <v>266.3</v>
      </c>
      <c r="D31" s="2">
        <v>2.6204238921001988</v>
      </c>
      <c r="E31" s="2">
        <v>2.6963812104381848</v>
      </c>
      <c r="F31" s="2">
        <v>22268.7</v>
      </c>
      <c r="G31" s="2">
        <v>2.6931430916729227</v>
      </c>
      <c r="H31" s="2">
        <v>2.8012994963841122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E23" sqref="E2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</row>
    <row r="2" spans="1:8" x14ac:dyDescent="0.3">
      <c r="A2" s="1">
        <v>2018</v>
      </c>
      <c r="B2" s="2">
        <v>1</v>
      </c>
      <c r="C2" s="2">
        <v>33.5</v>
      </c>
      <c r="D2" s="2">
        <v>-12.987012987012992</v>
      </c>
      <c r="E2" s="2">
        <v>-9.6608809360407957</v>
      </c>
      <c r="F2" s="2">
        <v>3796.1</v>
      </c>
      <c r="G2" s="2">
        <v>-10.784958871915396</v>
      </c>
      <c r="H2" s="2">
        <v>-9.0461082294262329</v>
      </c>
    </row>
    <row r="3" spans="1:8" x14ac:dyDescent="0.3">
      <c r="A3" s="1">
        <v>2018</v>
      </c>
      <c r="B3" s="2">
        <v>2</v>
      </c>
      <c r="C3" s="2">
        <v>31.4</v>
      </c>
      <c r="D3" s="2">
        <v>-18.441558441558449</v>
      </c>
      <c r="E3" s="2">
        <v>-9.1959388645330069</v>
      </c>
      <c r="F3" s="2">
        <v>3490.1</v>
      </c>
      <c r="G3" s="2">
        <v>-10.837186725595894</v>
      </c>
      <c r="H3" s="2">
        <v>-8.5913105669550482</v>
      </c>
    </row>
    <row r="4" spans="1:8" x14ac:dyDescent="0.3">
      <c r="A4" s="1">
        <v>2018</v>
      </c>
      <c r="B4" s="2">
        <v>3</v>
      </c>
      <c r="C4" s="2">
        <v>24.4</v>
      </c>
      <c r="D4" s="2">
        <v>-29.68299711815563</v>
      </c>
      <c r="E4" s="2">
        <v>-8.6272540558912212</v>
      </c>
      <c r="F4" s="2">
        <v>3326</v>
      </c>
      <c r="G4" s="2">
        <v>-10.871720663504568</v>
      </c>
      <c r="H4" s="2">
        <v>-8.0694982957859249</v>
      </c>
    </row>
    <row r="5" spans="1:8" x14ac:dyDescent="0.3">
      <c r="A5" s="1">
        <v>2018</v>
      </c>
      <c r="B5" s="2">
        <v>4</v>
      </c>
      <c r="C5" s="2">
        <v>25.9</v>
      </c>
      <c r="D5" s="2">
        <v>-30.000000000000004</v>
      </c>
      <c r="E5" s="2">
        <v>-7.9679188455514174</v>
      </c>
      <c r="F5" s="2">
        <v>3304.3</v>
      </c>
      <c r="G5" s="2">
        <v>-12.275997557543727</v>
      </c>
      <c r="H5" s="2">
        <v>-7.4964428637223683</v>
      </c>
    </row>
    <row r="6" spans="1:8" x14ac:dyDescent="0.3">
      <c r="A6" s="1">
        <v>2019</v>
      </c>
      <c r="B6" s="2">
        <v>1</v>
      </c>
      <c r="C6" s="2">
        <v>33</v>
      </c>
      <c r="D6" s="2">
        <v>-1.4925373134328401</v>
      </c>
      <c r="E6" s="2">
        <v>-7.2441854083634931</v>
      </c>
      <c r="F6" s="2">
        <v>3354.2</v>
      </c>
      <c r="G6" s="2">
        <v>-11.640894602355056</v>
      </c>
      <c r="H6" s="2">
        <v>-6.8896671075477105</v>
      </c>
    </row>
    <row r="7" spans="1:8" x14ac:dyDescent="0.3">
      <c r="A7" s="1">
        <v>2019</v>
      </c>
      <c r="B7" s="2">
        <v>2</v>
      </c>
      <c r="C7" s="2">
        <v>24.2</v>
      </c>
      <c r="D7" s="2">
        <v>-22.929936305732479</v>
      </c>
      <c r="E7" s="2">
        <v>-6.4960759698988744</v>
      </c>
      <c r="F7" s="2">
        <v>3230.6</v>
      </c>
      <c r="G7" s="2">
        <v>-7.4353170396263764</v>
      </c>
      <c r="H7" s="2">
        <v>-6.2696810857289211</v>
      </c>
    </row>
    <row r="8" spans="1:8" x14ac:dyDescent="0.3">
      <c r="A8" s="1">
        <v>2019</v>
      </c>
      <c r="B8" s="2">
        <v>3</v>
      </c>
      <c r="C8" s="2">
        <v>23.8</v>
      </c>
      <c r="D8" s="2">
        <v>-2.4590163934426146</v>
      </c>
      <c r="E8" s="2">
        <v>-5.7600179756696566</v>
      </c>
      <c r="F8" s="2">
        <v>3214.4</v>
      </c>
      <c r="G8" s="2">
        <v>-3.3553818400480995</v>
      </c>
      <c r="H8" s="2">
        <v>-5.6599643739172256</v>
      </c>
    </row>
    <row r="9" spans="1:8" x14ac:dyDescent="0.3">
      <c r="A9" s="1">
        <v>2019</v>
      </c>
      <c r="B9" s="2">
        <v>4</v>
      </c>
      <c r="C9" s="2">
        <v>30.8</v>
      </c>
      <c r="D9" s="2">
        <v>18.918918918918926</v>
      </c>
      <c r="E9" s="2">
        <v>-5.0827100338978308</v>
      </c>
      <c r="F9" s="2">
        <v>3191.9</v>
      </c>
      <c r="G9" s="2">
        <v>-3.4016281814605254</v>
      </c>
      <c r="H9" s="2">
        <v>-5.0847250702350353</v>
      </c>
    </row>
    <row r="10" spans="1:8" x14ac:dyDescent="0.3">
      <c r="A10" s="1">
        <v>2020</v>
      </c>
      <c r="B10" s="2">
        <v>1</v>
      </c>
      <c r="C10" s="2">
        <v>29.8</v>
      </c>
      <c r="D10" s="2">
        <v>-9.6969696969696919</v>
      </c>
      <c r="E10" s="2">
        <v>-4.5087876268164946</v>
      </c>
      <c r="F10" s="2">
        <v>3313</v>
      </c>
      <c r="G10" s="2">
        <v>-1.2283107745513</v>
      </c>
      <c r="H10" s="2">
        <v>-4.566730908721091</v>
      </c>
    </row>
    <row r="11" spans="1:8" x14ac:dyDescent="0.3">
      <c r="A11" s="1">
        <v>2020</v>
      </c>
      <c r="B11" s="2">
        <v>2</v>
      </c>
      <c r="C11" s="2">
        <v>35.1</v>
      </c>
      <c r="D11" s="2">
        <v>45.041322314049602</v>
      </c>
      <c r="E11" s="2">
        <v>-4.0678852185632355</v>
      </c>
      <c r="F11" s="2">
        <v>3368</v>
      </c>
      <c r="G11" s="2">
        <v>4.253079923234071</v>
      </c>
      <c r="H11" s="2">
        <v>-4.1276976878586495</v>
      </c>
    </row>
    <row r="12" spans="1:8" x14ac:dyDescent="0.3">
      <c r="A12" s="1">
        <v>2020</v>
      </c>
      <c r="B12" s="2">
        <v>3</v>
      </c>
      <c r="C12" s="2">
        <v>32.9</v>
      </c>
      <c r="D12" s="2">
        <v>38.235294117647058</v>
      </c>
      <c r="E12" s="2">
        <v>-3.7928798870694864</v>
      </c>
      <c r="F12" s="2">
        <v>3722.9</v>
      </c>
      <c r="G12" s="2">
        <v>15.819437531110015</v>
      </c>
      <c r="H12" s="2">
        <v>-3.7872546935471116</v>
      </c>
    </row>
    <row r="13" spans="1:8" x14ac:dyDescent="0.3">
      <c r="A13" s="1">
        <v>2020</v>
      </c>
      <c r="B13" s="2">
        <v>4</v>
      </c>
      <c r="C13" s="2">
        <v>31.7</v>
      </c>
      <c r="D13" s="2">
        <v>2.9220779220779258</v>
      </c>
      <c r="E13" s="2">
        <v>-3.6859554555587972</v>
      </c>
      <c r="F13" s="2">
        <v>3719.8</v>
      </c>
      <c r="G13" s="2">
        <v>16.538738682289544</v>
      </c>
      <c r="H13" s="2">
        <v>-3.5597932256789449</v>
      </c>
    </row>
    <row r="14" spans="1:8" x14ac:dyDescent="0.3">
      <c r="A14" s="1">
        <v>2021</v>
      </c>
      <c r="B14" s="2">
        <v>1</v>
      </c>
      <c r="C14" s="2">
        <v>31.2</v>
      </c>
      <c r="D14" s="2">
        <v>4.6979865771812124</v>
      </c>
      <c r="E14" s="2">
        <v>-3.7230281385017698</v>
      </c>
      <c r="F14" s="2">
        <v>3703.3</v>
      </c>
      <c r="G14" s="2">
        <v>11.780863265922136</v>
      </c>
      <c r="H14" s="2">
        <v>-3.4474504015062069</v>
      </c>
    </row>
    <row r="15" spans="1:8" x14ac:dyDescent="0.3">
      <c r="A15" s="1">
        <v>2021</v>
      </c>
      <c r="B15" s="2">
        <v>2</v>
      </c>
      <c r="C15" s="2">
        <v>33.5</v>
      </c>
      <c r="D15" s="2">
        <v>-4.5584045584045612</v>
      </c>
      <c r="E15" s="2">
        <v>-3.8758841295079836</v>
      </c>
      <c r="F15" s="2">
        <v>3586.4</v>
      </c>
      <c r="G15" s="2">
        <v>6.4845605700712516</v>
      </c>
      <c r="H15" s="2">
        <v>-3.439801755838475</v>
      </c>
    </row>
    <row r="16" spans="1:8" x14ac:dyDescent="0.3">
      <c r="A16" s="1">
        <v>2021</v>
      </c>
      <c r="B16" s="2">
        <v>3</v>
      </c>
      <c r="C16" s="2">
        <v>27.6</v>
      </c>
      <c r="D16" s="2">
        <v>-16.109422492401205</v>
      </c>
      <c r="E16" s="2">
        <v>-4.1110464879897162</v>
      </c>
      <c r="F16" s="2">
        <v>3467.4</v>
      </c>
      <c r="G16" s="2">
        <v>-6.8629294367294253</v>
      </c>
      <c r="H16" s="2">
        <v>-3.5169051274431844</v>
      </c>
    </row>
    <row r="17" spans="1:8" x14ac:dyDescent="0.3">
      <c r="A17" s="1">
        <v>2021</v>
      </c>
      <c r="B17" s="2">
        <v>4</v>
      </c>
      <c r="C17" s="2">
        <v>31.8</v>
      </c>
      <c r="D17" s="2">
        <v>0.3154574132492094</v>
      </c>
      <c r="E17" s="2">
        <v>-4.3954648486273067</v>
      </c>
      <c r="F17" s="2">
        <v>3148.7</v>
      </c>
      <c r="G17" s="2">
        <v>-15.352975966449822</v>
      </c>
      <c r="H17" s="2">
        <v>-3.6526156286340763</v>
      </c>
    </row>
    <row r="18" spans="1:8" x14ac:dyDescent="0.3">
      <c r="A18" s="1">
        <v>2022</v>
      </c>
      <c r="B18" s="2">
        <v>1</v>
      </c>
      <c r="C18" s="2">
        <v>29.6</v>
      </c>
      <c r="D18" s="2">
        <v>-5.1282051282051206</v>
      </c>
      <c r="E18" s="2">
        <v>-4.7035878311038504</v>
      </c>
      <c r="F18" s="2">
        <v>3214.7</v>
      </c>
      <c r="G18" s="2">
        <v>-13.193638106553628</v>
      </c>
      <c r="H18" s="2">
        <v>-3.8228796369181959</v>
      </c>
    </row>
    <row r="19" spans="1:8" x14ac:dyDescent="0.3">
      <c r="A19" s="1">
        <v>2022</v>
      </c>
      <c r="B19" s="2">
        <v>2</v>
      </c>
      <c r="C19" s="2">
        <v>23</v>
      </c>
      <c r="D19" s="2">
        <v>-31.343283582089555</v>
      </c>
      <c r="E19" s="2">
        <v>-5.0069197286887688</v>
      </c>
      <c r="F19" s="2">
        <v>2994.7</v>
      </c>
      <c r="G19" s="2">
        <v>-16.498438545616779</v>
      </c>
      <c r="H19" s="2">
        <v>-4.0109562550137223</v>
      </c>
    </row>
    <row r="20" spans="1:8" x14ac:dyDescent="0.3">
      <c r="A20" s="1">
        <v>2022</v>
      </c>
      <c r="B20" s="2">
        <v>3</v>
      </c>
      <c r="C20" s="2">
        <v>24.1</v>
      </c>
      <c r="D20" s="2">
        <v>-12.681159420289855</v>
      </c>
      <c r="E20" s="2">
        <v>-5.2772302204621715</v>
      </c>
      <c r="F20" s="2">
        <v>3025.8</v>
      </c>
      <c r="G20" s="2">
        <v>-12.735767433812073</v>
      </c>
      <c r="H20" s="2">
        <v>-4.2059613096823574</v>
      </c>
    </row>
    <row r="21" spans="1:8" x14ac:dyDescent="0.3">
      <c r="A21" s="1">
        <v>2022</v>
      </c>
      <c r="B21" s="2">
        <v>4</v>
      </c>
      <c r="C21" s="2">
        <v>28.8</v>
      </c>
      <c r="D21" s="2">
        <v>-9.4339622641509422</v>
      </c>
      <c r="E21" s="2">
        <v>-5.5027492129125442</v>
      </c>
      <c r="F21" s="2">
        <v>3081.6</v>
      </c>
      <c r="G21" s="2">
        <v>-2.1310382062438404</v>
      </c>
      <c r="H21" s="2">
        <v>-4.4048153041174292</v>
      </c>
    </row>
    <row r="22" spans="1:8" x14ac:dyDescent="0.3">
      <c r="A22" s="1">
        <v>2023</v>
      </c>
      <c r="B22" s="2">
        <v>1</v>
      </c>
      <c r="C22" s="2">
        <v>25.8</v>
      </c>
      <c r="D22" s="2">
        <v>-12.83783783783784</v>
      </c>
      <c r="E22" s="2">
        <v>-5.6763340682782646</v>
      </c>
      <c r="F22" s="2">
        <v>3186.3</v>
      </c>
      <c r="G22" s="2">
        <v>-0.88344168973775172</v>
      </c>
      <c r="H22" s="2">
        <v>-4.6097698703398473</v>
      </c>
    </row>
    <row r="23" spans="1:8" x14ac:dyDescent="0.3">
      <c r="A23" s="1">
        <v>2023</v>
      </c>
      <c r="B23" s="2">
        <v>2</v>
      </c>
      <c r="C23" s="2">
        <v>22.3</v>
      </c>
      <c r="D23" s="2">
        <v>-3.0434782608695587</v>
      </c>
      <c r="E23" s="2">
        <v>-5.7932991569547347</v>
      </c>
      <c r="F23" s="2">
        <v>2808.2</v>
      </c>
      <c r="G23" s="2">
        <v>-6.2276688816909846</v>
      </c>
      <c r="H23" s="2">
        <v>-4.8216555296843504</v>
      </c>
    </row>
    <row r="24" spans="1:8" x14ac:dyDescent="0.3">
      <c r="A24" s="1">
        <v>2023</v>
      </c>
      <c r="B24" s="2">
        <v>3</v>
      </c>
      <c r="C24" s="2">
        <v>21.7</v>
      </c>
      <c r="D24" s="2">
        <v>-9.9585062240663991</v>
      </c>
      <c r="E24" s="2">
        <v>-5.853434789193332</v>
      </c>
      <c r="F24" s="2">
        <v>2894.5</v>
      </c>
      <c r="G24" s="2">
        <v>-4.3393482715315068</v>
      </c>
      <c r="H24" s="2">
        <v>-5.0389738483728017</v>
      </c>
    </row>
    <row r="25" spans="1:8" x14ac:dyDescent="0.3">
      <c r="A25" s="1">
        <v>2023</v>
      </c>
      <c r="B25" s="2">
        <v>4</v>
      </c>
      <c r="C25" s="2">
        <v>20.399999999999999</v>
      </c>
      <c r="D25" s="2">
        <v>-29.166666666666675</v>
      </c>
      <c r="E25" s="2">
        <v>-5.8548126371853817</v>
      </c>
      <c r="F25" s="2">
        <v>2860.8</v>
      </c>
      <c r="G25" s="2">
        <v>-7.1651090342679025</v>
      </c>
      <c r="H25" s="2">
        <v>-5.2611051509720683</v>
      </c>
    </row>
    <row r="26" spans="1:8" x14ac:dyDescent="0.3">
      <c r="A26" s="1">
        <v>2024</v>
      </c>
      <c r="B26" s="2">
        <v>1</v>
      </c>
      <c r="C26" s="2">
        <v>21.4</v>
      </c>
      <c r="D26" s="2">
        <v>-17.054263565891482</v>
      </c>
      <c r="E26" s="2">
        <v>-5.7980700427690026</v>
      </c>
      <c r="F26" s="2">
        <v>2977.9</v>
      </c>
      <c r="G26" s="2">
        <v>-6.5405015221416729</v>
      </c>
      <c r="H26" s="2">
        <v>-5.4869924960634915</v>
      </c>
    </row>
    <row r="27" spans="1:8" x14ac:dyDescent="0.3">
      <c r="A27" s="1">
        <v>2024</v>
      </c>
      <c r="B27" s="2">
        <v>2</v>
      </c>
      <c r="C27" s="2">
        <v>24</v>
      </c>
      <c r="D27" s="2">
        <v>7.623318385650224</v>
      </c>
      <c r="E27" s="2">
        <v>-5.6984142565507403</v>
      </c>
      <c r="F27" s="2">
        <v>2755.3</v>
      </c>
      <c r="G27" s="2">
        <v>-1.8837689623246057</v>
      </c>
      <c r="H27" s="2">
        <v>-5.7167689446554713</v>
      </c>
    </row>
    <row r="28" spans="1:8" x14ac:dyDescent="0.3">
      <c r="A28" s="1">
        <v>2024</v>
      </c>
      <c r="B28" s="2">
        <v>3</v>
      </c>
      <c r="C28" s="2">
        <v>20.9</v>
      </c>
      <c r="D28" s="2">
        <v>-3.6866359447004671</v>
      </c>
      <c r="E28" s="2">
        <v>-5.5780876500890892</v>
      </c>
      <c r="F28" s="2">
        <v>2754.1</v>
      </c>
      <c r="G28" s="2">
        <v>-4.8505786837104932</v>
      </c>
      <c r="H28" s="2">
        <v>-5.951226000897706</v>
      </c>
    </row>
    <row r="29" spans="1:8" x14ac:dyDescent="0.3">
      <c r="A29" s="1">
        <v>2024</v>
      </c>
      <c r="B29" s="2">
        <v>4</v>
      </c>
      <c r="C29" s="2">
        <v>23.4</v>
      </c>
      <c r="D29" s="2">
        <v>14.705882352941169</v>
      </c>
      <c r="E29" s="2">
        <v>-5.4510065120411682</v>
      </c>
      <c r="F29" s="2">
        <v>2595.5</v>
      </c>
      <c r="G29" s="2">
        <v>-9.2736297539149923</v>
      </c>
      <c r="H29" s="2">
        <v>-6.188759543950936</v>
      </c>
    </row>
    <row r="30" spans="1:8" x14ac:dyDescent="0.3">
      <c r="A30" s="1">
        <v>2025</v>
      </c>
      <c r="B30" s="2">
        <v>1</v>
      </c>
      <c r="C30" s="2">
        <v>22.4</v>
      </c>
      <c r="D30" s="2">
        <v>4.6728971962616717</v>
      </c>
      <c r="E30" s="2">
        <v>-5.3299049737482278</v>
      </c>
      <c r="F30" s="2">
        <v>2789.2</v>
      </c>
      <c r="G30" s="2">
        <v>-6.3366802108868807</v>
      </c>
      <c r="H30" s="2">
        <v>-6.427077548402659</v>
      </c>
    </row>
    <row r="31" spans="1:8" x14ac:dyDescent="0.3">
      <c r="A31" s="1">
        <v>2025</v>
      </c>
      <c r="B31" s="2">
        <v>2</v>
      </c>
      <c r="C31" s="2">
        <v>20.399999999999999</v>
      </c>
      <c r="D31" s="2">
        <v>-15.000000000000002</v>
      </c>
      <c r="E31" s="2">
        <v>-5.2149191110109054</v>
      </c>
      <c r="F31" s="2">
        <v>2553.1</v>
      </c>
      <c r="G31" s="2">
        <v>-7.3385838202736586</v>
      </c>
      <c r="H31" s="2">
        <v>-6.6658160327216018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22" workbookViewId="0">
      <selection activeCell="F25" sqref="F25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33</v>
      </c>
      <c r="D1" s="3" t="s">
        <v>34</v>
      </c>
      <c r="E1" s="3" t="s">
        <v>35</v>
      </c>
      <c r="F1" s="3" t="s">
        <v>36</v>
      </c>
      <c r="G1" s="3" t="s">
        <v>37</v>
      </c>
      <c r="H1" s="3" t="s">
        <v>38</v>
      </c>
    </row>
    <row r="2" spans="1:8" x14ac:dyDescent="0.3">
      <c r="A2" s="1">
        <v>2018</v>
      </c>
      <c r="B2" s="2">
        <v>1</v>
      </c>
      <c r="C2" s="2">
        <v>12.46</v>
      </c>
      <c r="D2" s="2">
        <v>-1.6099999999999994</v>
      </c>
      <c r="E2" s="2">
        <v>-1.5173032926563594</v>
      </c>
      <c r="F2" s="2">
        <v>16.739999999999998</v>
      </c>
      <c r="G2" s="2">
        <v>-2.0100000000000016</v>
      </c>
      <c r="H2" s="2">
        <v>-1.7650843204616578</v>
      </c>
    </row>
    <row r="3" spans="1:8" x14ac:dyDescent="0.3">
      <c r="A3" s="1">
        <v>2018</v>
      </c>
      <c r="B3" s="2">
        <v>2</v>
      </c>
      <c r="C3" s="2">
        <v>11.57</v>
      </c>
      <c r="D3" s="2">
        <v>-2.4599999999999991</v>
      </c>
      <c r="E3" s="2">
        <v>-1.4542849763150612</v>
      </c>
      <c r="F3" s="2">
        <v>15.28</v>
      </c>
      <c r="G3" s="2">
        <v>-1.9399999999999995</v>
      </c>
      <c r="H3" s="2">
        <v>-1.6808075551184023</v>
      </c>
    </row>
    <row r="4" spans="1:8" x14ac:dyDescent="0.3">
      <c r="A4" s="1">
        <v>2018</v>
      </c>
      <c r="B4" s="2">
        <v>3</v>
      </c>
      <c r="C4" s="2">
        <v>8.99</v>
      </c>
      <c r="D4" s="2">
        <v>-3.6799999999999997</v>
      </c>
      <c r="E4" s="2">
        <v>-1.378069476027608</v>
      </c>
      <c r="F4" s="2">
        <v>14.55</v>
      </c>
      <c r="G4" s="2">
        <v>-1.8299999999999983</v>
      </c>
      <c r="H4" s="2">
        <v>-1.5850274604060914</v>
      </c>
    </row>
    <row r="5" spans="1:8" x14ac:dyDescent="0.3">
      <c r="A5" s="1">
        <v>2018</v>
      </c>
      <c r="B5" s="2">
        <v>4</v>
      </c>
      <c r="C5" s="2">
        <v>9.68</v>
      </c>
      <c r="D5" s="2">
        <v>-3.8100000000000005</v>
      </c>
      <c r="E5" s="2">
        <v>-1.2905880164061119</v>
      </c>
      <c r="F5" s="2">
        <v>14.45</v>
      </c>
      <c r="G5" s="2">
        <v>-2.1000000000000014</v>
      </c>
      <c r="H5" s="2">
        <v>-1.4808150611433633</v>
      </c>
    </row>
    <row r="6" spans="1:8" x14ac:dyDescent="0.3">
      <c r="A6" s="1">
        <v>2019</v>
      </c>
      <c r="B6" s="2">
        <v>1</v>
      </c>
      <c r="C6" s="2">
        <v>12.2</v>
      </c>
      <c r="D6" s="2">
        <v>-0.26000000000000156</v>
      </c>
      <c r="E6" s="2">
        <v>-1.1952105286401677</v>
      </c>
      <c r="F6" s="2">
        <v>14.7</v>
      </c>
      <c r="G6" s="2">
        <v>-2.0399999999999991</v>
      </c>
      <c r="H6" s="2">
        <v>-1.3713944899861021</v>
      </c>
    </row>
    <row r="7" spans="1:8" x14ac:dyDescent="0.3">
      <c r="A7" s="1">
        <v>2019</v>
      </c>
      <c r="B7" s="2">
        <v>2</v>
      </c>
      <c r="C7" s="2">
        <v>9.01</v>
      </c>
      <c r="D7" s="2">
        <v>-2.5600000000000005</v>
      </c>
      <c r="E7" s="2">
        <v>-1.0968815764091164</v>
      </c>
      <c r="F7" s="2">
        <v>14.02</v>
      </c>
      <c r="G7" s="2">
        <v>-1.2599999999999998</v>
      </c>
      <c r="H7" s="2">
        <v>-1.260376870176978</v>
      </c>
    </row>
    <row r="8" spans="1:8" x14ac:dyDescent="0.3">
      <c r="A8" s="1">
        <v>2019</v>
      </c>
      <c r="B8" s="2">
        <v>3</v>
      </c>
      <c r="C8" s="2">
        <v>8.73</v>
      </c>
      <c r="D8" s="2">
        <v>-0.25999999999999979</v>
      </c>
      <c r="E8" s="2">
        <v>-0.99996121681189898</v>
      </c>
      <c r="F8" s="2">
        <v>13.92</v>
      </c>
      <c r="G8" s="2">
        <v>-0.63000000000000078</v>
      </c>
      <c r="H8" s="2">
        <v>-1.1517912034024196</v>
      </c>
    </row>
    <row r="9" spans="1:8" x14ac:dyDescent="0.3">
      <c r="A9" s="1">
        <v>2019</v>
      </c>
      <c r="B9" s="2">
        <v>4</v>
      </c>
      <c r="C9" s="2">
        <v>11.18</v>
      </c>
      <c r="D9" s="2">
        <v>1.5</v>
      </c>
      <c r="E9" s="2">
        <v>-0.90972395596220079</v>
      </c>
      <c r="F9" s="2">
        <v>13.78</v>
      </c>
      <c r="G9" s="2">
        <v>-0.66999999999999993</v>
      </c>
      <c r="H9" s="2">
        <v>-1.049666255804995</v>
      </c>
    </row>
    <row r="10" spans="1:8" x14ac:dyDescent="0.3">
      <c r="A10" s="1">
        <v>2020</v>
      </c>
      <c r="B10" s="2">
        <v>1</v>
      </c>
      <c r="C10" s="2">
        <v>11.09</v>
      </c>
      <c r="D10" s="2">
        <v>-1.1099999999999994</v>
      </c>
      <c r="E10" s="2">
        <v>-0.83098182421319933</v>
      </c>
      <c r="F10" s="2">
        <v>14.41</v>
      </c>
      <c r="G10" s="2">
        <v>-0.28999999999999915</v>
      </c>
      <c r="H10" s="2">
        <v>-0.95770467402514536</v>
      </c>
    </row>
    <row r="11" spans="1:8" x14ac:dyDescent="0.3">
      <c r="A11" s="1">
        <v>2020</v>
      </c>
      <c r="B11" s="2">
        <v>2</v>
      </c>
      <c r="C11" s="2">
        <v>13.76</v>
      </c>
      <c r="D11" s="2">
        <v>4.75</v>
      </c>
      <c r="E11" s="2">
        <v>-0.76704077444559582</v>
      </c>
      <c r="F11" s="2">
        <v>15.33</v>
      </c>
      <c r="G11" s="2">
        <v>1.3100000000000005</v>
      </c>
      <c r="H11" s="2">
        <v>-0.87937181329343372</v>
      </c>
    </row>
    <row r="12" spans="1:8" x14ac:dyDescent="0.3">
      <c r="A12" s="1">
        <v>2020</v>
      </c>
      <c r="B12" s="2">
        <v>3</v>
      </c>
      <c r="C12" s="2">
        <v>12.02</v>
      </c>
      <c r="D12" s="2">
        <v>3.2899999999999991</v>
      </c>
      <c r="E12" s="2">
        <v>-0.72138114589995816</v>
      </c>
      <c r="F12" s="2">
        <v>16.260000000000002</v>
      </c>
      <c r="G12" s="2">
        <v>2.3400000000000016</v>
      </c>
      <c r="H12" s="2">
        <v>-0.8177157134191575</v>
      </c>
    </row>
    <row r="13" spans="1:8" x14ac:dyDescent="0.3">
      <c r="A13" s="1">
        <v>2020</v>
      </c>
      <c r="B13" s="2">
        <v>4</v>
      </c>
      <c r="C13" s="2">
        <v>11.79</v>
      </c>
      <c r="D13" s="2">
        <v>0.60999999999999943</v>
      </c>
      <c r="E13" s="2">
        <v>-0.6940351273328258</v>
      </c>
      <c r="F13" s="2">
        <v>16.13</v>
      </c>
      <c r="G13" s="2">
        <v>2.3499999999999996</v>
      </c>
      <c r="H13" s="2">
        <v>-0.77441605682830561</v>
      </c>
    </row>
    <row r="14" spans="1:8" x14ac:dyDescent="0.3">
      <c r="A14" s="1">
        <v>2021</v>
      </c>
      <c r="B14" s="2">
        <v>1</v>
      </c>
      <c r="C14" s="2">
        <v>11.59</v>
      </c>
      <c r="D14" s="2">
        <v>0.5</v>
      </c>
      <c r="E14" s="2">
        <v>-0.68252779428455068</v>
      </c>
      <c r="F14" s="2">
        <v>16.14</v>
      </c>
      <c r="G14" s="2">
        <v>1.7300000000000004</v>
      </c>
      <c r="H14" s="2">
        <v>-0.74917895362598008</v>
      </c>
    </row>
    <row r="15" spans="1:8" x14ac:dyDescent="0.3">
      <c r="A15" s="1">
        <v>2021</v>
      </c>
      <c r="B15" s="2">
        <v>2</v>
      </c>
      <c r="C15" s="2">
        <v>12.15</v>
      </c>
      <c r="D15" s="2">
        <v>-1.6099999999999994</v>
      </c>
      <c r="E15" s="2">
        <v>-0.68356920034090185</v>
      </c>
      <c r="F15" s="2">
        <v>15.39</v>
      </c>
      <c r="G15" s="2">
        <v>6.0000000000000497E-2</v>
      </c>
      <c r="H15" s="2">
        <v>-0.73975775388176523</v>
      </c>
    </row>
    <row r="16" spans="1:8" x14ac:dyDescent="0.3">
      <c r="A16" s="1">
        <v>2021</v>
      </c>
      <c r="B16" s="2">
        <v>3</v>
      </c>
      <c r="C16" s="2">
        <v>9.74</v>
      </c>
      <c r="D16" s="2">
        <v>-2.2799999999999994</v>
      </c>
      <c r="E16" s="2">
        <v>-0.69313031921622059</v>
      </c>
      <c r="F16" s="2">
        <v>14.71</v>
      </c>
      <c r="G16" s="2">
        <v>-1.5500000000000007</v>
      </c>
      <c r="H16" s="2">
        <v>-0.74235632081922931</v>
      </c>
    </row>
    <row r="17" spans="1:8" x14ac:dyDescent="0.3">
      <c r="A17" s="1">
        <v>2021</v>
      </c>
      <c r="B17" s="2">
        <v>4</v>
      </c>
      <c r="C17" s="2">
        <v>11.58</v>
      </c>
      <c r="D17" s="2">
        <v>-0.20999999999999908</v>
      </c>
      <c r="E17" s="2">
        <v>-0.70776114387463518</v>
      </c>
      <c r="F17" s="2">
        <v>13.44</v>
      </c>
      <c r="G17" s="2">
        <v>-2.6899999999999995</v>
      </c>
      <c r="H17" s="2">
        <v>-0.75267866906576453</v>
      </c>
    </row>
    <row r="18" spans="1:8" x14ac:dyDescent="0.3">
      <c r="A18" s="1">
        <v>2022</v>
      </c>
      <c r="B18" s="2">
        <v>1</v>
      </c>
      <c r="C18" s="2">
        <v>10.83</v>
      </c>
      <c r="D18" s="2">
        <v>-0.75999999999999979</v>
      </c>
      <c r="E18" s="2">
        <v>-0.72500346083076361</v>
      </c>
      <c r="F18" s="2">
        <v>13.73</v>
      </c>
      <c r="G18" s="2">
        <v>-2.41</v>
      </c>
      <c r="H18" s="2">
        <v>-0.76693359054825094</v>
      </c>
    </row>
    <row r="19" spans="1:8" x14ac:dyDescent="0.3">
      <c r="A19" s="1">
        <v>2022</v>
      </c>
      <c r="B19" s="2">
        <v>2</v>
      </c>
      <c r="C19" s="2">
        <v>8.32</v>
      </c>
      <c r="D19" s="2">
        <v>-3.83</v>
      </c>
      <c r="E19" s="2">
        <v>-0.7420879558843021</v>
      </c>
      <c r="F19" s="2">
        <v>12.69</v>
      </c>
      <c r="G19" s="2">
        <v>-2.7000000000000011</v>
      </c>
      <c r="H19" s="2">
        <v>-0.78254070302540235</v>
      </c>
    </row>
    <row r="20" spans="1:8" x14ac:dyDescent="0.3">
      <c r="A20" s="1">
        <v>2022</v>
      </c>
      <c r="B20" s="2">
        <v>3</v>
      </c>
      <c r="C20" s="2">
        <v>8.6199999999999992</v>
      </c>
      <c r="D20" s="2">
        <v>-1.120000000000001</v>
      </c>
      <c r="E20" s="2">
        <v>-0.75626718767192769</v>
      </c>
      <c r="F20" s="2">
        <v>12.73</v>
      </c>
      <c r="G20" s="2">
        <v>-1.9800000000000004</v>
      </c>
      <c r="H20" s="2">
        <v>-0.79794654076184002</v>
      </c>
    </row>
    <row r="21" spans="1:8" x14ac:dyDescent="0.3">
      <c r="A21" s="1">
        <v>2022</v>
      </c>
      <c r="B21" s="2">
        <v>4</v>
      </c>
      <c r="C21" s="2">
        <v>10.53</v>
      </c>
      <c r="D21" s="2">
        <v>-1.0500000000000007</v>
      </c>
      <c r="E21" s="2">
        <v>-0.76672365985788971</v>
      </c>
      <c r="F21" s="2">
        <v>12.99</v>
      </c>
      <c r="G21" s="2">
        <v>-0.44999999999999929</v>
      </c>
      <c r="H21" s="2">
        <v>-0.81279605008279421</v>
      </c>
    </row>
    <row r="22" spans="1:8" x14ac:dyDescent="0.3">
      <c r="A22" s="1">
        <v>2023</v>
      </c>
      <c r="B22" s="2">
        <v>1</v>
      </c>
      <c r="C22" s="2">
        <v>9.4600000000000009</v>
      </c>
      <c r="D22" s="2">
        <v>-1.3699999999999992</v>
      </c>
      <c r="E22" s="2">
        <v>-0.77286720911414253</v>
      </c>
      <c r="F22" s="2">
        <v>13.38</v>
      </c>
      <c r="G22" s="2">
        <v>-0.34999999999999964</v>
      </c>
      <c r="H22" s="2">
        <v>-0.82747296072551912</v>
      </c>
    </row>
    <row r="23" spans="1:8" x14ac:dyDescent="0.3">
      <c r="A23" s="1">
        <v>2023</v>
      </c>
      <c r="B23" s="2">
        <v>2</v>
      </c>
      <c r="C23" s="2">
        <v>8.02</v>
      </c>
      <c r="D23" s="2">
        <v>-0.30000000000000071</v>
      </c>
      <c r="E23" s="2">
        <v>-0.77428471982522939</v>
      </c>
      <c r="F23" s="2">
        <v>11.67</v>
      </c>
      <c r="G23" s="2">
        <v>-1.0199999999999996</v>
      </c>
      <c r="H23" s="2">
        <v>-0.84213425489596716</v>
      </c>
    </row>
    <row r="24" spans="1:8" x14ac:dyDescent="0.3">
      <c r="A24" s="1">
        <v>2023</v>
      </c>
      <c r="B24" s="2">
        <v>3</v>
      </c>
      <c r="C24" s="2">
        <v>7.7</v>
      </c>
      <c r="D24" s="2">
        <v>-0.91999999999999904</v>
      </c>
      <c r="E24" s="2">
        <v>-0.77093628436999728</v>
      </c>
      <c r="F24" s="2">
        <v>11.89</v>
      </c>
      <c r="G24" s="2">
        <v>-0.83999999999999986</v>
      </c>
      <c r="H24" s="2">
        <v>-0.85663849419963756</v>
      </c>
    </row>
    <row r="25" spans="1:8" x14ac:dyDescent="0.3">
      <c r="A25" s="1">
        <v>2023</v>
      </c>
      <c r="B25" s="2">
        <v>4</v>
      </c>
      <c r="C25" s="2">
        <v>7.39</v>
      </c>
      <c r="D25" s="2">
        <v>-3.1399999999999997</v>
      </c>
      <c r="E25" s="2">
        <v>-0.76248556717740246</v>
      </c>
      <c r="F25" s="2">
        <v>11.8</v>
      </c>
      <c r="G25" s="2">
        <v>-1.1899999999999995</v>
      </c>
      <c r="H25" s="2">
        <v>-0.87095540633271951</v>
      </c>
    </row>
    <row r="26" spans="1:8" x14ac:dyDescent="0.3">
      <c r="A26" s="1">
        <v>2024</v>
      </c>
      <c r="B26" s="2">
        <v>1</v>
      </c>
      <c r="C26" s="2">
        <v>7.53</v>
      </c>
      <c r="D26" s="2">
        <v>-1.9300000000000006</v>
      </c>
      <c r="E26" s="2">
        <v>-0.74868939749866992</v>
      </c>
      <c r="F26" s="2">
        <v>12.29</v>
      </c>
      <c r="G26" s="2">
        <v>-1.0900000000000016</v>
      </c>
      <c r="H26" s="2">
        <v>-0.88504431993252719</v>
      </c>
    </row>
    <row r="27" spans="1:8" x14ac:dyDescent="0.3">
      <c r="A27" s="1">
        <v>2024</v>
      </c>
      <c r="B27" s="2">
        <v>2</v>
      </c>
      <c r="C27" s="2">
        <v>8.4600000000000009</v>
      </c>
      <c r="D27" s="2">
        <v>0.44000000000000128</v>
      </c>
      <c r="E27" s="2">
        <v>-0.73079055110553859</v>
      </c>
      <c r="F27" s="2">
        <v>11.27</v>
      </c>
      <c r="G27" s="2">
        <v>-0.40000000000000036</v>
      </c>
      <c r="H27" s="2">
        <v>-0.89906396650741693</v>
      </c>
    </row>
    <row r="28" spans="1:8" x14ac:dyDescent="0.3">
      <c r="A28" s="1">
        <v>2024</v>
      </c>
      <c r="B28" s="2">
        <v>3</v>
      </c>
      <c r="C28" s="2">
        <v>7.17</v>
      </c>
      <c r="D28" s="2">
        <v>-0.53000000000000025</v>
      </c>
      <c r="E28" s="2">
        <v>-0.7107701228963107</v>
      </c>
      <c r="F28" s="2">
        <v>11.21</v>
      </c>
      <c r="G28" s="2">
        <v>-0.67999999999999972</v>
      </c>
      <c r="H28" s="2">
        <v>-0.91330117486578699</v>
      </c>
    </row>
    <row r="29" spans="1:8" x14ac:dyDescent="0.3">
      <c r="A29" s="1">
        <v>2024</v>
      </c>
      <c r="B29" s="2">
        <v>4</v>
      </c>
      <c r="C29" s="2">
        <v>8.23</v>
      </c>
      <c r="D29" s="2">
        <v>0.84000000000000075</v>
      </c>
      <c r="E29" s="2">
        <v>-0.68987746367484737</v>
      </c>
      <c r="F29" s="2">
        <v>10.61</v>
      </c>
      <c r="G29" s="2">
        <v>-1.1900000000000013</v>
      </c>
      <c r="H29" s="2">
        <v>-0.92773085883696838</v>
      </c>
    </row>
    <row r="30" spans="1:8" x14ac:dyDescent="0.3">
      <c r="A30" s="1">
        <v>2025</v>
      </c>
      <c r="B30" s="2">
        <v>1</v>
      </c>
      <c r="C30" s="2">
        <v>7.86</v>
      </c>
      <c r="D30" s="2">
        <v>0.33000000000000007</v>
      </c>
      <c r="E30" s="2">
        <v>-0.66924894291819947</v>
      </c>
      <c r="F30" s="2">
        <v>11.36</v>
      </c>
      <c r="G30" s="2">
        <v>-0.92999999999999972</v>
      </c>
      <c r="H30" s="2">
        <v>-0.94218211901600091</v>
      </c>
    </row>
    <row r="31" spans="1:8" x14ac:dyDescent="0.3">
      <c r="A31" s="1">
        <v>2025</v>
      </c>
      <c r="B31" s="2">
        <v>2</v>
      </c>
      <c r="C31" s="2">
        <v>7.1</v>
      </c>
      <c r="D31" s="2">
        <v>-1.3600000000000012</v>
      </c>
      <c r="E31" s="2">
        <v>-0.64906475668862118</v>
      </c>
      <c r="F31" s="2">
        <v>10.29</v>
      </c>
      <c r="G31" s="2">
        <v>-0.98000000000000043</v>
      </c>
      <c r="H31" s="2">
        <v>-0.95664797421115144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9" workbookViewId="0">
      <selection activeCell="F23" sqref="F2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9.425781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39</v>
      </c>
      <c r="D1" s="3" t="s">
        <v>40</v>
      </c>
      <c r="E1" s="3" t="s">
        <v>41</v>
      </c>
      <c r="F1" s="3" t="s">
        <v>42</v>
      </c>
      <c r="G1" s="3" t="s">
        <v>43</v>
      </c>
      <c r="H1" s="3" t="s">
        <v>44</v>
      </c>
    </row>
    <row r="2" spans="1:8" x14ac:dyDescent="0.3">
      <c r="A2" s="1">
        <v>2018</v>
      </c>
      <c r="B2" s="2">
        <v>1</v>
      </c>
      <c r="C2" s="2">
        <v>54.72</v>
      </c>
      <c r="D2" s="2">
        <v>-0.92000000000000171</v>
      </c>
      <c r="E2" s="2">
        <v>-0.35304881306209046</v>
      </c>
      <c r="F2" s="2">
        <v>58.46</v>
      </c>
      <c r="G2" s="2">
        <v>-0.32000000000000028</v>
      </c>
      <c r="H2" s="2">
        <v>-0.28340869003040614</v>
      </c>
    </row>
    <row r="3" spans="1:8" x14ac:dyDescent="0.3">
      <c r="A3" s="1">
        <v>2018</v>
      </c>
      <c r="B3" s="2">
        <v>2</v>
      </c>
      <c r="C3" s="2">
        <v>55.15</v>
      </c>
      <c r="D3" s="2">
        <v>-0.71999999999999886</v>
      </c>
      <c r="E3" s="2">
        <v>-0.35209177816281351</v>
      </c>
      <c r="F3" s="2">
        <v>58.8</v>
      </c>
      <c r="G3" s="2">
        <v>-4.0000000000006253E-2</v>
      </c>
      <c r="H3" s="2">
        <v>-0.27220780544325768</v>
      </c>
    </row>
    <row r="4" spans="1:8" x14ac:dyDescent="0.3">
      <c r="A4" s="1">
        <v>2018</v>
      </c>
      <c r="B4" s="2">
        <v>3</v>
      </c>
      <c r="C4" s="2">
        <v>55.1</v>
      </c>
      <c r="D4" s="2">
        <v>-0.67999999999999972</v>
      </c>
      <c r="E4" s="2">
        <v>-0.34587383286239282</v>
      </c>
      <c r="F4" s="2">
        <v>58.73</v>
      </c>
      <c r="G4" s="2">
        <v>-0.19000000000000483</v>
      </c>
      <c r="H4" s="2">
        <v>-0.25941811747470345</v>
      </c>
    </row>
    <row r="5" spans="1:8" x14ac:dyDescent="0.3">
      <c r="A5" s="1">
        <v>2018</v>
      </c>
      <c r="B5" s="2">
        <v>4</v>
      </c>
      <c r="C5" s="2">
        <v>54.29</v>
      </c>
      <c r="D5" s="2">
        <v>-1.5600000000000023</v>
      </c>
      <c r="E5" s="2">
        <v>-0.33419655742533627</v>
      </c>
      <c r="F5" s="2">
        <v>58.61</v>
      </c>
      <c r="G5" s="2">
        <v>-0.18999999999999773</v>
      </c>
      <c r="H5" s="2">
        <v>-0.24498753408675544</v>
      </c>
    </row>
    <row r="6" spans="1:8" x14ac:dyDescent="0.3">
      <c r="A6" s="1">
        <v>2019</v>
      </c>
      <c r="B6" s="2">
        <v>1</v>
      </c>
      <c r="C6" s="2">
        <v>54.84</v>
      </c>
      <c r="D6" s="2">
        <v>0.12000000000000455</v>
      </c>
      <c r="E6" s="2">
        <v>-0.31707036097061281</v>
      </c>
      <c r="F6" s="2">
        <v>58.35</v>
      </c>
      <c r="G6" s="2">
        <v>-0.10999999999999943</v>
      </c>
      <c r="H6" s="2">
        <v>-0.22882057691800406</v>
      </c>
    </row>
    <row r="7" spans="1:8" x14ac:dyDescent="0.3">
      <c r="A7" s="1">
        <v>2019</v>
      </c>
      <c r="B7" s="2">
        <v>2</v>
      </c>
      <c r="C7" s="2">
        <v>54.46</v>
      </c>
      <c r="D7" s="2">
        <v>-0.68999999999999773</v>
      </c>
      <c r="E7" s="2">
        <v>-0.29527177976880048</v>
      </c>
      <c r="F7" s="2">
        <v>58.74</v>
      </c>
      <c r="G7" s="2">
        <v>-5.9999999999995168E-2</v>
      </c>
      <c r="H7" s="2">
        <v>-0.21078740039823546</v>
      </c>
    </row>
    <row r="8" spans="1:8" x14ac:dyDescent="0.3">
      <c r="A8" s="1">
        <v>2019</v>
      </c>
      <c r="B8" s="2">
        <v>3</v>
      </c>
      <c r="C8" s="2">
        <v>55.19</v>
      </c>
      <c r="D8" s="2">
        <v>8.9999999999996305E-2</v>
      </c>
      <c r="E8" s="2">
        <v>-0.26930418111487081</v>
      </c>
      <c r="F8" s="2">
        <v>58.72</v>
      </c>
      <c r="G8" s="2">
        <v>-9.9999999999980105E-3</v>
      </c>
      <c r="H8" s="2">
        <v>-0.19068389609666206</v>
      </c>
    </row>
    <row r="9" spans="1:8" x14ac:dyDescent="0.3">
      <c r="A9" s="1">
        <v>2019</v>
      </c>
      <c r="B9" s="2">
        <v>4</v>
      </c>
      <c r="C9" s="2">
        <v>55.73</v>
      </c>
      <c r="D9" s="2">
        <v>1.4399999999999977</v>
      </c>
      <c r="E9" s="2">
        <v>-0.23991763744143971</v>
      </c>
      <c r="F9" s="2">
        <v>58.74</v>
      </c>
      <c r="G9" s="2">
        <v>0.13000000000000256</v>
      </c>
      <c r="H9" s="2">
        <v>-0.16821171345724739</v>
      </c>
    </row>
    <row r="10" spans="1:8" x14ac:dyDescent="0.3">
      <c r="A10" s="1">
        <v>2020</v>
      </c>
      <c r="B10" s="2">
        <v>1</v>
      </c>
      <c r="C10" s="2">
        <v>54.37</v>
      </c>
      <c r="D10" s="2">
        <v>-0.47000000000000597</v>
      </c>
      <c r="E10" s="2">
        <v>-0.20763765606792631</v>
      </c>
      <c r="F10" s="2">
        <v>58.18</v>
      </c>
      <c r="G10" s="2">
        <v>-0.17000000000000171</v>
      </c>
      <c r="H10" s="2">
        <v>-0.14295957448889449</v>
      </c>
    </row>
    <row r="11" spans="1:8" x14ac:dyDescent="0.3">
      <c r="A11" s="1">
        <v>2020</v>
      </c>
      <c r="B11" s="2">
        <v>2</v>
      </c>
      <c r="C11" s="2">
        <v>51.55</v>
      </c>
      <c r="D11" s="2">
        <v>-2.9100000000000037</v>
      </c>
      <c r="E11" s="2">
        <v>-0.17193979579034882</v>
      </c>
      <c r="F11" s="2">
        <v>55.54</v>
      </c>
      <c r="G11" s="2">
        <v>-3.2000000000000028</v>
      </c>
      <c r="H11" s="2">
        <v>-0.11432981887959563</v>
      </c>
    </row>
    <row r="12" spans="1:8" x14ac:dyDescent="0.3">
      <c r="A12" s="1">
        <v>2020</v>
      </c>
      <c r="B12" s="2">
        <v>3</v>
      </c>
      <c r="C12" s="2">
        <v>55.21</v>
      </c>
      <c r="D12" s="2">
        <v>2.0000000000003126E-2</v>
      </c>
      <c r="E12" s="2">
        <v>-0.13246359186968298</v>
      </c>
      <c r="F12" s="2">
        <v>57.83</v>
      </c>
      <c r="G12" s="2">
        <v>-0.89000000000000057</v>
      </c>
      <c r="H12" s="2">
        <v>-8.1741686583287537E-2</v>
      </c>
    </row>
    <row r="13" spans="1:8" x14ac:dyDescent="0.3">
      <c r="A13" s="1">
        <v>2020</v>
      </c>
      <c r="B13" s="2">
        <v>4</v>
      </c>
      <c r="C13" s="2">
        <v>54.12</v>
      </c>
      <c r="D13" s="2">
        <v>-1.6099999999999994</v>
      </c>
      <c r="E13" s="2">
        <v>-9.0559867194535584E-2</v>
      </c>
      <c r="F13" s="2">
        <v>58.19</v>
      </c>
      <c r="G13" s="2">
        <v>-0.55000000000000426</v>
      </c>
      <c r="H13" s="2">
        <v>-4.6542961417107155E-2</v>
      </c>
    </row>
    <row r="14" spans="1:8" x14ac:dyDescent="0.3">
      <c r="A14" s="1">
        <v>2021</v>
      </c>
      <c r="B14" s="2">
        <v>1</v>
      </c>
      <c r="C14" s="2">
        <v>53.89</v>
      </c>
      <c r="D14" s="2">
        <v>-0.47999999999999687</v>
      </c>
      <c r="E14" s="2">
        <v>-4.7484154908594846E-2</v>
      </c>
      <c r="F14" s="2">
        <v>57.56</v>
      </c>
      <c r="G14" s="2">
        <v>-0.61999999999999744</v>
      </c>
      <c r="H14" s="2">
        <v>-1.05865886440769E-2</v>
      </c>
    </row>
    <row r="15" spans="1:8" x14ac:dyDescent="0.3">
      <c r="A15" s="1">
        <v>2021</v>
      </c>
      <c r="B15" s="2">
        <v>2</v>
      </c>
      <c r="C15" s="2">
        <v>55.18</v>
      </c>
      <c r="D15" s="2">
        <v>3.6300000000000026</v>
      </c>
      <c r="E15" s="2">
        <v>-5.4416382385524455E-3</v>
      </c>
      <c r="F15" s="2">
        <v>58.42</v>
      </c>
      <c r="G15" s="2">
        <v>2.8800000000000026</v>
      </c>
      <c r="H15" s="2">
        <v>2.3959825823666497E-2</v>
      </c>
    </row>
    <row r="16" spans="1:8" x14ac:dyDescent="0.3">
      <c r="A16" s="1">
        <v>2021</v>
      </c>
      <c r="B16" s="2">
        <v>3</v>
      </c>
      <c r="C16" s="2">
        <v>56.85</v>
      </c>
      <c r="D16" s="2">
        <v>1.6400000000000006</v>
      </c>
      <c r="E16" s="2">
        <v>3.3092177185717823E-2</v>
      </c>
      <c r="F16" s="2">
        <v>59.01</v>
      </c>
      <c r="G16" s="2">
        <v>1.1799999999999997</v>
      </c>
      <c r="H16" s="2">
        <v>5.4547792691888849E-2</v>
      </c>
    </row>
    <row r="17" spans="1:8" x14ac:dyDescent="0.3">
      <c r="A17" s="1">
        <v>2021</v>
      </c>
      <c r="B17" s="2">
        <v>4</v>
      </c>
      <c r="C17" s="2">
        <v>54.96</v>
      </c>
      <c r="D17" s="2">
        <v>0.84000000000000341</v>
      </c>
      <c r="E17" s="2">
        <v>6.7913936758241256E-2</v>
      </c>
      <c r="F17" s="2">
        <v>58.53</v>
      </c>
      <c r="G17" s="2">
        <v>0.34000000000000341</v>
      </c>
      <c r="H17" s="2">
        <v>8.041384777521618E-2</v>
      </c>
    </row>
    <row r="18" spans="1:8" x14ac:dyDescent="0.3">
      <c r="A18" s="1">
        <v>2022</v>
      </c>
      <c r="B18" s="2">
        <v>1</v>
      </c>
      <c r="C18" s="2">
        <v>54.36</v>
      </c>
      <c r="D18" s="2">
        <v>0.46999999999999886</v>
      </c>
      <c r="E18" s="2">
        <v>9.9824603262302067E-2</v>
      </c>
      <c r="F18" s="2">
        <v>58.36</v>
      </c>
      <c r="G18" s="2">
        <v>0.79999999999999716</v>
      </c>
      <c r="H18" s="2">
        <v>0.10149793451784207</v>
      </c>
    </row>
    <row r="19" spans="1:8" x14ac:dyDescent="0.3">
      <c r="A19" s="1">
        <v>2022</v>
      </c>
      <c r="B19" s="2">
        <v>2</v>
      </c>
      <c r="C19" s="2">
        <v>54.8</v>
      </c>
      <c r="D19" s="2">
        <v>-0.38000000000000256</v>
      </c>
      <c r="E19" s="2">
        <v>0.13010769327071056</v>
      </c>
      <c r="F19" s="2">
        <v>58.6</v>
      </c>
      <c r="G19" s="2">
        <v>0.17999999999999972</v>
      </c>
      <c r="H19" s="2">
        <v>0.11790223770910059</v>
      </c>
    </row>
    <row r="20" spans="1:8" x14ac:dyDescent="0.3">
      <c r="A20" s="1">
        <v>2022</v>
      </c>
      <c r="B20" s="2">
        <v>3</v>
      </c>
      <c r="C20" s="2">
        <v>55.5</v>
      </c>
      <c r="D20" s="2">
        <v>-1.3500000000000014</v>
      </c>
      <c r="E20" s="2">
        <v>0.1602780829792381</v>
      </c>
      <c r="F20" s="2">
        <v>58.76</v>
      </c>
      <c r="G20" s="2">
        <v>-0.25</v>
      </c>
      <c r="H20" s="2">
        <v>0.13016550592925213</v>
      </c>
    </row>
    <row r="21" spans="1:8" x14ac:dyDescent="0.3">
      <c r="A21" s="1">
        <v>2022</v>
      </c>
      <c r="B21" s="2">
        <v>4</v>
      </c>
      <c r="C21" s="2">
        <v>54.15</v>
      </c>
      <c r="D21" s="2">
        <v>-0.81000000000000227</v>
      </c>
      <c r="E21" s="2">
        <v>0.19153183127536183</v>
      </c>
      <c r="F21" s="2">
        <v>58.4</v>
      </c>
      <c r="G21" s="2">
        <v>-0.13000000000000256</v>
      </c>
      <c r="H21" s="2">
        <v>0.13886529885998891</v>
      </c>
    </row>
    <row r="22" spans="1:8" x14ac:dyDescent="0.3">
      <c r="A22" s="1">
        <v>2023</v>
      </c>
      <c r="B22" s="2">
        <v>1</v>
      </c>
      <c r="C22" s="2">
        <v>53.98</v>
      </c>
      <c r="D22" s="2">
        <v>-0.38000000000000256</v>
      </c>
      <c r="E22" s="2">
        <v>0.22412107324469691</v>
      </c>
      <c r="F22" s="2">
        <v>58.44</v>
      </c>
      <c r="G22" s="2">
        <v>7.9999999999998295E-2</v>
      </c>
      <c r="H22" s="2">
        <v>0.14434157274179735</v>
      </c>
    </row>
    <row r="23" spans="1:8" x14ac:dyDescent="0.3">
      <c r="A23" s="1">
        <v>2023</v>
      </c>
      <c r="B23" s="2">
        <v>2</v>
      </c>
      <c r="C23" s="2">
        <v>55.09</v>
      </c>
      <c r="D23" s="2">
        <v>0.29000000000000625</v>
      </c>
      <c r="E23" s="2">
        <v>0.25767198657831136</v>
      </c>
      <c r="F23" s="2">
        <v>58.85</v>
      </c>
      <c r="G23" s="2">
        <v>0.25</v>
      </c>
      <c r="H23" s="2">
        <v>0.1467662430033764</v>
      </c>
    </row>
    <row r="24" spans="1:8" x14ac:dyDescent="0.3">
      <c r="A24" s="1">
        <v>2023</v>
      </c>
      <c r="B24" s="2">
        <v>3</v>
      </c>
      <c r="C24" s="2">
        <v>55.73</v>
      </c>
      <c r="D24" s="2">
        <v>0.22999999999999687</v>
      </c>
      <c r="E24" s="2">
        <v>0.29143317329649532</v>
      </c>
      <c r="F24" s="2">
        <v>59.29</v>
      </c>
      <c r="G24" s="2">
        <v>0.53000000000000114</v>
      </c>
      <c r="H24" s="2">
        <v>0.14627101159046141</v>
      </c>
    </row>
    <row r="25" spans="1:8" x14ac:dyDescent="0.3">
      <c r="A25" s="1">
        <v>2023</v>
      </c>
      <c r="B25" s="2">
        <v>4</v>
      </c>
      <c r="C25" s="2">
        <v>54.45</v>
      </c>
      <c r="D25" s="2">
        <v>0.30000000000000426</v>
      </c>
      <c r="E25" s="2">
        <v>0.32467344042792751</v>
      </c>
      <c r="F25" s="2">
        <v>58.83</v>
      </c>
      <c r="G25" s="2">
        <v>0.42999999999999972</v>
      </c>
      <c r="H25" s="2">
        <v>0.14305210154691059</v>
      </c>
    </row>
    <row r="26" spans="1:8" x14ac:dyDescent="0.3">
      <c r="A26" s="1">
        <v>2024</v>
      </c>
      <c r="B26" s="2">
        <v>1</v>
      </c>
      <c r="C26" s="2">
        <v>55.8</v>
      </c>
      <c r="D26" s="2">
        <v>1.8200000000000003</v>
      </c>
      <c r="E26" s="2">
        <v>0.35662319926797625</v>
      </c>
      <c r="F26" s="2">
        <v>58.63</v>
      </c>
      <c r="G26" s="2">
        <v>0.19000000000000483</v>
      </c>
      <c r="H26" s="2">
        <v>0.13754556653433814</v>
      </c>
    </row>
    <row r="27" spans="1:8" x14ac:dyDescent="0.3">
      <c r="A27" s="1">
        <v>2024</v>
      </c>
      <c r="B27" s="2">
        <v>2</v>
      </c>
      <c r="C27" s="2">
        <v>55.53</v>
      </c>
      <c r="D27" s="2">
        <v>0.43999999999999773</v>
      </c>
      <c r="E27" s="2">
        <v>0.38649744021174243</v>
      </c>
      <c r="F27" s="2">
        <v>58.9</v>
      </c>
      <c r="G27" s="2">
        <v>4.9999999999997158E-2</v>
      </c>
      <c r="H27" s="2">
        <v>0.1303668026508914</v>
      </c>
    </row>
    <row r="28" spans="1:8" x14ac:dyDescent="0.3">
      <c r="A28" s="1">
        <v>2024</v>
      </c>
      <c r="B28" s="2">
        <v>3</v>
      </c>
      <c r="C28" s="2">
        <v>56.9</v>
      </c>
      <c r="D28" s="2">
        <v>1.1700000000000017</v>
      </c>
      <c r="E28" s="2">
        <v>0.41442576415478433</v>
      </c>
      <c r="F28" s="2">
        <v>59.04</v>
      </c>
      <c r="G28" s="2">
        <v>-0.25</v>
      </c>
      <c r="H28" s="2">
        <v>0.12216399001563373</v>
      </c>
    </row>
    <row r="29" spans="1:8" x14ac:dyDescent="0.3">
      <c r="A29" s="1">
        <v>2024</v>
      </c>
      <c r="B29" s="2">
        <v>4</v>
      </c>
      <c r="C29" s="2">
        <v>55.28</v>
      </c>
      <c r="D29" s="2">
        <v>0.82999999999999829</v>
      </c>
      <c r="E29" s="2">
        <v>0.44057121109252784</v>
      </c>
      <c r="F29" s="2">
        <v>58.49</v>
      </c>
      <c r="G29" s="2">
        <v>-0.33999999999999631</v>
      </c>
      <c r="H29" s="2">
        <v>0.11353507949597168</v>
      </c>
    </row>
    <row r="30" spans="1:8" x14ac:dyDescent="0.3">
      <c r="A30" s="1">
        <v>2025</v>
      </c>
      <c r="B30" s="2">
        <v>1</v>
      </c>
      <c r="C30" s="2">
        <v>55.29</v>
      </c>
      <c r="D30" s="2">
        <v>-0.50999999999999801</v>
      </c>
      <c r="E30" s="2">
        <v>0.46556905491780215</v>
      </c>
      <c r="F30" s="2">
        <v>58.57</v>
      </c>
      <c r="G30" s="2">
        <v>-6.0000000000002274E-2</v>
      </c>
      <c r="H30" s="2">
        <v>0.10484541946555199</v>
      </c>
    </row>
    <row r="31" spans="1:8" x14ac:dyDescent="0.3">
      <c r="A31" s="1">
        <v>2025</v>
      </c>
      <c r="B31" s="2">
        <v>2</v>
      </c>
      <c r="C31" s="2">
        <v>55.59</v>
      </c>
      <c r="D31" s="2">
        <v>6.0000000000002274E-2</v>
      </c>
      <c r="E31" s="2">
        <v>0.49029796251650365</v>
      </c>
      <c r="F31" s="2">
        <v>59.03</v>
      </c>
      <c r="G31" s="2">
        <v>0.13000000000000256</v>
      </c>
      <c r="H31" s="2">
        <v>9.6176898873336483E-2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A1:H54"/>
  <sheetViews>
    <sheetView topLeftCell="A16" workbookViewId="0">
      <selection activeCell="F20" sqref="F20"/>
    </sheetView>
  </sheetViews>
  <sheetFormatPr baseColWidth="10" defaultColWidth="11.42578125" defaultRowHeight="13.5" x14ac:dyDescent="0.3"/>
  <cols>
    <col min="1" max="1" width="4.42578125" style="1" bestFit="1" customWidth="1"/>
    <col min="2" max="8" width="10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45</v>
      </c>
      <c r="D1" s="3" t="s">
        <v>46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 x14ac:dyDescent="0.3">
      <c r="A2" s="1">
        <v>2018</v>
      </c>
      <c r="B2" s="2">
        <v>1</v>
      </c>
      <c r="C2" s="2">
        <v>47.9</v>
      </c>
      <c r="D2" s="2">
        <v>8.9999999999996305E-2</v>
      </c>
      <c r="E2" s="2">
        <v>0.53975477143612438</v>
      </c>
      <c r="F2" s="2">
        <v>48.67</v>
      </c>
      <c r="G2" s="2">
        <v>0.91000000000000369</v>
      </c>
      <c r="H2" s="2">
        <v>0.8123733417249015</v>
      </c>
    </row>
    <row r="3" spans="1:8" x14ac:dyDescent="0.3">
      <c r="A3" s="1">
        <v>2018</v>
      </c>
      <c r="B3" s="2">
        <v>2</v>
      </c>
      <c r="C3" s="2">
        <v>48.77</v>
      </c>
      <c r="D3" s="2">
        <v>0.74000000000000199</v>
      </c>
      <c r="E3" s="2">
        <v>0.50477192048884467</v>
      </c>
      <c r="F3" s="2">
        <v>49.81</v>
      </c>
      <c r="G3" s="2">
        <v>1.1099999999999994</v>
      </c>
      <c r="H3" s="2">
        <v>0.77078064092889265</v>
      </c>
    </row>
    <row r="4" spans="1:8" x14ac:dyDescent="0.3">
      <c r="A4" s="1">
        <v>2018</v>
      </c>
      <c r="B4" s="2">
        <v>3</v>
      </c>
      <c r="C4" s="2">
        <v>50.14</v>
      </c>
      <c r="D4" s="2">
        <v>1.4200000000000017</v>
      </c>
      <c r="E4" s="2">
        <v>0.46710872439981632</v>
      </c>
      <c r="F4" s="2">
        <v>50.18</v>
      </c>
      <c r="G4" s="2">
        <v>0.90999999999999659</v>
      </c>
      <c r="H4" s="2">
        <v>0.72380286274003958</v>
      </c>
    </row>
    <row r="5" spans="1:8" x14ac:dyDescent="0.3">
      <c r="A5" s="1">
        <v>2018</v>
      </c>
      <c r="B5" s="2">
        <v>4</v>
      </c>
      <c r="C5" s="2">
        <v>49.04</v>
      </c>
      <c r="D5" s="2">
        <v>0.71999999999999886</v>
      </c>
      <c r="E5" s="2">
        <v>0.42804487495227483</v>
      </c>
      <c r="F5" s="2">
        <v>50.14</v>
      </c>
      <c r="G5" s="2">
        <v>1.0700000000000003</v>
      </c>
      <c r="H5" s="2">
        <v>0.67331689721420562</v>
      </c>
    </row>
    <row r="6" spans="1:8" x14ac:dyDescent="0.3">
      <c r="A6" s="1">
        <v>2019</v>
      </c>
      <c r="B6" s="2">
        <v>1</v>
      </c>
      <c r="C6" s="2">
        <v>48.15</v>
      </c>
      <c r="D6" s="2">
        <v>0.25</v>
      </c>
      <c r="E6" s="2">
        <v>0.38945562097670594</v>
      </c>
      <c r="F6" s="2">
        <v>49.78</v>
      </c>
      <c r="G6" s="2">
        <v>1.1099999999999994</v>
      </c>
      <c r="H6" s="2">
        <v>0.62131600761804184</v>
      </c>
    </row>
    <row r="7" spans="1:8" x14ac:dyDescent="0.3">
      <c r="A7" s="1">
        <v>2019</v>
      </c>
      <c r="B7" s="2">
        <v>2</v>
      </c>
      <c r="C7" s="2">
        <v>49.55</v>
      </c>
      <c r="D7" s="2">
        <v>0.77999999999999403</v>
      </c>
      <c r="E7" s="2">
        <v>0.35339868325675022</v>
      </c>
      <c r="F7" s="2">
        <v>50.51</v>
      </c>
      <c r="G7" s="2">
        <v>0.69999999999999574</v>
      </c>
      <c r="H7" s="2">
        <v>0.57004138415744032</v>
      </c>
    </row>
    <row r="8" spans="1:8" x14ac:dyDescent="0.3">
      <c r="A8" s="1">
        <v>2019</v>
      </c>
      <c r="B8" s="2">
        <v>3</v>
      </c>
      <c r="C8" s="2">
        <v>50.37</v>
      </c>
      <c r="D8" s="2">
        <v>0.22999999999999687</v>
      </c>
      <c r="E8" s="2">
        <v>0.32184462281293785</v>
      </c>
      <c r="F8" s="2">
        <v>50.54</v>
      </c>
      <c r="G8" s="2">
        <v>0.35999999999999943</v>
      </c>
      <c r="H8" s="2">
        <v>0.52203964453353202</v>
      </c>
    </row>
    <row r="9" spans="1:8" x14ac:dyDescent="0.3">
      <c r="A9" s="1">
        <v>2019</v>
      </c>
      <c r="B9" s="2">
        <v>4</v>
      </c>
      <c r="C9" s="2">
        <v>49.5</v>
      </c>
      <c r="D9" s="2">
        <v>0.46000000000000085</v>
      </c>
      <c r="E9" s="2">
        <v>0.29703062648876344</v>
      </c>
      <c r="F9" s="2">
        <v>50.64</v>
      </c>
      <c r="G9" s="2">
        <v>0.5</v>
      </c>
      <c r="H9" s="2">
        <v>0.47993863058234937</v>
      </c>
    </row>
    <row r="10" spans="1:8" x14ac:dyDescent="0.3">
      <c r="A10" s="1">
        <v>2020</v>
      </c>
      <c r="B10" s="2">
        <v>1</v>
      </c>
      <c r="C10" s="2">
        <v>48.34</v>
      </c>
      <c r="D10" s="2">
        <v>0.19000000000000483</v>
      </c>
      <c r="E10" s="2">
        <v>0.28113647823846349</v>
      </c>
      <c r="F10" s="2">
        <v>49.8</v>
      </c>
      <c r="G10" s="2">
        <v>1.9999999999996021E-2</v>
      </c>
      <c r="H10" s="2">
        <v>0.44626490936209123</v>
      </c>
    </row>
    <row r="11" spans="1:8" x14ac:dyDescent="0.3">
      <c r="A11" s="1">
        <v>2020</v>
      </c>
      <c r="B11" s="2">
        <v>2</v>
      </c>
      <c r="C11" s="2">
        <v>44.46</v>
      </c>
      <c r="D11" s="2">
        <v>-5.0899999999999963</v>
      </c>
      <c r="E11" s="2">
        <v>0.276443817874719</v>
      </c>
      <c r="F11" s="2">
        <v>47.03</v>
      </c>
      <c r="G11" s="2">
        <v>-3.4799999999999969</v>
      </c>
      <c r="H11" s="2">
        <v>0.42355758628684254</v>
      </c>
    </row>
    <row r="12" spans="1:8" x14ac:dyDescent="0.3">
      <c r="A12" s="1">
        <v>2020</v>
      </c>
      <c r="B12" s="2">
        <v>3</v>
      </c>
      <c r="C12" s="2">
        <v>48.58</v>
      </c>
      <c r="D12" s="2">
        <v>-1.7899999999999991</v>
      </c>
      <c r="E12" s="2">
        <v>0.28517732491131192</v>
      </c>
      <c r="F12" s="2">
        <v>48.43</v>
      </c>
      <c r="G12" s="2">
        <v>-2.1099999999999994</v>
      </c>
      <c r="H12" s="2">
        <v>0.41408935120233686</v>
      </c>
    </row>
    <row r="13" spans="1:8" x14ac:dyDescent="0.3">
      <c r="A13" s="1">
        <v>2020</v>
      </c>
      <c r="B13" s="2">
        <v>4</v>
      </c>
      <c r="C13" s="2">
        <v>47.74</v>
      </c>
      <c r="D13" s="2">
        <v>-1.759999999999998</v>
      </c>
      <c r="E13" s="2">
        <v>0.30620765147585255</v>
      </c>
      <c r="F13" s="2">
        <v>48.81</v>
      </c>
      <c r="G13" s="2">
        <v>-1.8299999999999983</v>
      </c>
      <c r="H13" s="2">
        <v>0.41769317046287846</v>
      </c>
    </row>
    <row r="14" spans="1:8" x14ac:dyDescent="0.3">
      <c r="A14" s="1">
        <v>2021</v>
      </c>
      <c r="B14" s="2">
        <v>1</v>
      </c>
      <c r="C14" s="2">
        <v>47.65</v>
      </c>
      <c r="D14" s="2">
        <v>-0.69000000000000483</v>
      </c>
      <c r="E14" s="2">
        <v>0.33710846386788157</v>
      </c>
      <c r="F14" s="2">
        <v>48.27</v>
      </c>
      <c r="G14" s="2">
        <v>-1.529999999999994</v>
      </c>
      <c r="H14" s="2">
        <v>0.4326244545782702</v>
      </c>
    </row>
    <row r="15" spans="1:8" x14ac:dyDescent="0.3">
      <c r="A15" s="1">
        <v>2021</v>
      </c>
      <c r="B15" s="2">
        <v>2</v>
      </c>
      <c r="C15" s="2">
        <v>48.48</v>
      </c>
      <c r="D15" s="2">
        <v>4.019999999999996</v>
      </c>
      <c r="E15" s="2">
        <v>0.37416204860476726</v>
      </c>
      <c r="F15" s="2">
        <v>49.43</v>
      </c>
      <c r="G15" s="2">
        <v>2.3999999999999986</v>
      </c>
      <c r="H15" s="2">
        <v>0.4557338058267757</v>
      </c>
    </row>
    <row r="16" spans="1:8" x14ac:dyDescent="0.3">
      <c r="A16" s="1">
        <v>2021</v>
      </c>
      <c r="B16" s="2">
        <v>3</v>
      </c>
      <c r="C16" s="2">
        <v>51.31</v>
      </c>
      <c r="D16" s="2">
        <v>2.730000000000004</v>
      </c>
      <c r="E16" s="2">
        <v>0.41300874941396054</v>
      </c>
      <c r="F16" s="2">
        <v>50.33</v>
      </c>
      <c r="G16" s="2">
        <v>1.8999999999999986</v>
      </c>
      <c r="H16" s="2">
        <v>0.48264518620254715</v>
      </c>
    </row>
    <row r="17" spans="1:8" x14ac:dyDescent="0.3">
      <c r="A17" s="1">
        <v>2021</v>
      </c>
      <c r="B17" s="2">
        <v>4</v>
      </c>
      <c r="C17" s="2">
        <v>48.6</v>
      </c>
      <c r="D17" s="2">
        <v>0.85999999999999943</v>
      </c>
      <c r="E17" s="2">
        <v>0.4515675587425344</v>
      </c>
      <c r="F17" s="2">
        <v>50.67</v>
      </c>
      <c r="G17" s="2">
        <v>1.8599999999999994</v>
      </c>
      <c r="H17" s="2">
        <v>0.51019772407109509</v>
      </c>
    </row>
    <row r="18" spans="1:8" x14ac:dyDescent="0.3">
      <c r="A18" s="1">
        <v>2022</v>
      </c>
      <c r="B18" s="2">
        <v>1</v>
      </c>
      <c r="C18" s="2">
        <v>48.47</v>
      </c>
      <c r="D18" s="2">
        <v>0.82000000000000028</v>
      </c>
      <c r="E18" s="2">
        <v>0.48920558856917801</v>
      </c>
      <c r="F18" s="2">
        <v>50.34</v>
      </c>
      <c r="G18" s="2">
        <v>2.0700000000000003</v>
      </c>
      <c r="H18" s="2">
        <v>0.53611639455655336</v>
      </c>
    </row>
    <row r="19" spans="1:8" x14ac:dyDescent="0.3">
      <c r="A19" s="1">
        <v>2022</v>
      </c>
      <c r="B19" s="2">
        <v>2</v>
      </c>
      <c r="C19" s="2">
        <v>50.24</v>
      </c>
      <c r="D19" s="2">
        <v>1.7600000000000051</v>
      </c>
      <c r="E19" s="2">
        <v>0.52554522114836644</v>
      </c>
      <c r="F19" s="2">
        <v>51.16</v>
      </c>
      <c r="G19" s="2">
        <v>1.7299999999999969</v>
      </c>
      <c r="H19" s="2">
        <v>0.55896979920551138</v>
      </c>
    </row>
    <row r="20" spans="1:8" x14ac:dyDescent="0.3">
      <c r="A20" s="1">
        <v>2022</v>
      </c>
      <c r="B20" s="2">
        <v>3</v>
      </c>
      <c r="C20" s="2">
        <v>50.72</v>
      </c>
      <c r="D20" s="2">
        <v>-0.59000000000000341</v>
      </c>
      <c r="E20" s="2">
        <v>0.56041558524171897</v>
      </c>
      <c r="F20" s="2">
        <v>51.28</v>
      </c>
      <c r="G20" s="2">
        <v>0.95000000000000284</v>
      </c>
      <c r="H20" s="2">
        <v>0.57828521681796063</v>
      </c>
    </row>
    <row r="21" spans="1:8" x14ac:dyDescent="0.3">
      <c r="A21" s="1">
        <v>2022</v>
      </c>
      <c r="B21" s="2">
        <v>4</v>
      </c>
      <c r="C21" s="2">
        <v>48.44</v>
      </c>
      <c r="D21" s="2">
        <v>-0.16000000000000369</v>
      </c>
      <c r="E21" s="2">
        <v>0.59441734384763711</v>
      </c>
      <c r="F21" s="2">
        <v>50.82</v>
      </c>
      <c r="G21" s="2">
        <v>0.14999999999999858</v>
      </c>
      <c r="H21" s="2">
        <v>0.59432182006938916</v>
      </c>
    </row>
    <row r="22" spans="1:8" x14ac:dyDescent="0.3">
      <c r="A22" s="1">
        <v>2023</v>
      </c>
      <c r="B22" s="2">
        <v>1</v>
      </c>
      <c r="C22" s="2">
        <v>48.87</v>
      </c>
      <c r="D22" s="2">
        <v>0.39999999999999858</v>
      </c>
      <c r="E22" s="2">
        <v>0.62743215022374643</v>
      </c>
      <c r="F22" s="2">
        <v>50.62</v>
      </c>
      <c r="G22" s="2">
        <v>0.27999999999999403</v>
      </c>
      <c r="H22" s="2">
        <v>0.60757110337477371</v>
      </c>
    </row>
    <row r="23" spans="1:8" x14ac:dyDescent="0.3">
      <c r="A23" s="1">
        <v>2023</v>
      </c>
      <c r="B23" s="2">
        <v>2</v>
      </c>
      <c r="C23" s="2">
        <v>50.67</v>
      </c>
      <c r="D23" s="2">
        <v>0.42999999999999972</v>
      </c>
      <c r="E23" s="2">
        <v>0.65887014678776756</v>
      </c>
      <c r="F23" s="2">
        <v>51.99</v>
      </c>
      <c r="G23" s="2">
        <v>0.8300000000000054</v>
      </c>
      <c r="H23" s="2">
        <v>0.61824686001154783</v>
      </c>
    </row>
    <row r="24" spans="1:8" x14ac:dyDescent="0.3">
      <c r="A24" s="1">
        <v>2023</v>
      </c>
      <c r="B24" s="2">
        <v>3</v>
      </c>
      <c r="C24" s="2">
        <v>51.44</v>
      </c>
      <c r="D24" s="2">
        <v>0.71999999999999886</v>
      </c>
      <c r="E24" s="2">
        <v>0.6879993308635316</v>
      </c>
      <c r="F24" s="2">
        <v>52.24</v>
      </c>
      <c r="G24" s="2">
        <v>0.96000000000000085</v>
      </c>
      <c r="H24" s="2">
        <v>0.62635815131753592</v>
      </c>
    </row>
    <row r="25" spans="1:8" x14ac:dyDescent="0.3">
      <c r="A25" s="1">
        <v>2023</v>
      </c>
      <c r="B25" s="2">
        <v>4</v>
      </c>
      <c r="C25" s="2">
        <v>50.43</v>
      </c>
      <c r="D25" s="2">
        <v>1.990000000000002</v>
      </c>
      <c r="E25" s="2">
        <v>0.71394465593312717</v>
      </c>
      <c r="F25" s="2">
        <v>51.89</v>
      </c>
      <c r="G25" s="2">
        <v>1.0700000000000003</v>
      </c>
      <c r="H25" s="2">
        <v>0.63204638434305505</v>
      </c>
    </row>
    <row r="26" spans="1:8" x14ac:dyDescent="0.3">
      <c r="A26" s="1">
        <v>2024</v>
      </c>
      <c r="B26" s="2">
        <v>1</v>
      </c>
      <c r="C26" s="2">
        <v>51.6</v>
      </c>
      <c r="D26" s="2">
        <v>2.730000000000004</v>
      </c>
      <c r="E26" s="2">
        <v>0.73585107589685306</v>
      </c>
      <c r="F26" s="2">
        <v>51.42</v>
      </c>
      <c r="G26" s="2">
        <v>0.80000000000000426</v>
      </c>
      <c r="H26" s="2">
        <v>0.63566149229384883</v>
      </c>
    </row>
    <row r="27" spans="1:8" x14ac:dyDescent="0.3">
      <c r="A27" s="1">
        <v>2024</v>
      </c>
      <c r="B27" s="2">
        <v>2</v>
      </c>
      <c r="C27" s="2">
        <v>50.83</v>
      </c>
      <c r="D27" s="2">
        <v>0.15999999999999659</v>
      </c>
      <c r="E27" s="2">
        <v>0.75366107924504988</v>
      </c>
      <c r="F27" s="2">
        <v>52.26</v>
      </c>
      <c r="G27" s="2">
        <v>0.26999999999999602</v>
      </c>
      <c r="H27" s="2">
        <v>0.63782712938544639</v>
      </c>
    </row>
    <row r="28" spans="1:8" x14ac:dyDescent="0.3">
      <c r="A28" s="1">
        <v>2024</v>
      </c>
      <c r="B28" s="2">
        <v>3</v>
      </c>
      <c r="C28" s="2">
        <v>52.82</v>
      </c>
      <c r="D28" s="2">
        <v>1.3800000000000026</v>
      </c>
      <c r="E28" s="2">
        <v>0.76856349754562259</v>
      </c>
      <c r="F28" s="2">
        <v>52.42</v>
      </c>
      <c r="G28" s="2">
        <v>0.17999999999999972</v>
      </c>
      <c r="H28" s="2">
        <v>0.63926966140069308</v>
      </c>
    </row>
    <row r="29" spans="1:8" x14ac:dyDescent="0.3">
      <c r="A29" s="1">
        <v>2024</v>
      </c>
      <c r="B29" s="2">
        <v>4</v>
      </c>
      <c r="C29" s="2">
        <v>50.73</v>
      </c>
      <c r="D29" s="2">
        <v>0.29999999999999716</v>
      </c>
      <c r="E29" s="2">
        <v>0.7813761241919478</v>
      </c>
      <c r="F29" s="2">
        <v>52.28</v>
      </c>
      <c r="G29" s="2">
        <v>0.39000000000000057</v>
      </c>
      <c r="H29" s="2">
        <v>0.64048556216656827</v>
      </c>
    </row>
    <row r="30" spans="1:8" x14ac:dyDescent="0.3">
      <c r="A30" s="1">
        <v>2025</v>
      </c>
      <c r="B30" s="2">
        <v>1</v>
      </c>
      <c r="C30" s="2">
        <v>50.94</v>
      </c>
      <c r="D30" s="2">
        <v>-0.66000000000000369</v>
      </c>
      <c r="E30" s="2">
        <v>0.79329890039143602</v>
      </c>
      <c r="F30" s="2">
        <v>51.92</v>
      </c>
      <c r="G30" s="2">
        <v>0.5</v>
      </c>
      <c r="H30" s="2">
        <v>0.64168426197167583</v>
      </c>
    </row>
    <row r="31" spans="1:8" x14ac:dyDescent="0.3">
      <c r="A31" s="1">
        <v>2025</v>
      </c>
      <c r="B31" s="2">
        <v>2</v>
      </c>
      <c r="C31" s="2">
        <v>51.65</v>
      </c>
      <c r="D31" s="2">
        <v>0.82000000000000028</v>
      </c>
      <c r="E31" s="2">
        <v>0.80523090727387803</v>
      </c>
      <c r="F31" s="2">
        <v>52.96</v>
      </c>
      <c r="G31" s="2">
        <v>0.70000000000000284</v>
      </c>
      <c r="H31" s="2">
        <v>0.64291863762826573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59999389629810485"/>
  </sheetPr>
  <dimension ref="A1:H54"/>
  <sheetViews>
    <sheetView topLeftCell="A16" workbookViewId="0">
      <selection activeCell="G30" sqref="G30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6.855468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51</v>
      </c>
      <c r="D1" s="3" t="s">
        <v>52</v>
      </c>
      <c r="E1" s="3" t="s">
        <v>53</v>
      </c>
      <c r="F1" s="3" t="s">
        <v>54</v>
      </c>
      <c r="G1" s="3" t="s">
        <v>55</v>
      </c>
      <c r="H1" s="3" t="s">
        <v>56</v>
      </c>
    </row>
    <row r="2" spans="1:8" x14ac:dyDescent="0.3">
      <c r="A2" s="1">
        <v>2018</v>
      </c>
      <c r="B2" s="1">
        <f>[1]ICE!B2</f>
        <v>1</v>
      </c>
      <c r="C2" s="2">
        <v>142.69999999999999</v>
      </c>
      <c r="D2" s="2">
        <v>6.0966542750929387</v>
      </c>
      <c r="E2" s="2">
        <v>0.99514182287635289</v>
      </c>
      <c r="F2" s="2">
        <v>134.9</v>
      </c>
      <c r="G2" s="2">
        <v>2.3520485584218376</v>
      </c>
      <c r="H2" s="2">
        <v>-7.0463435267163171E-2</v>
      </c>
    </row>
    <row r="3" spans="1:8" x14ac:dyDescent="0.3">
      <c r="A3" s="1">
        <f>A2</f>
        <v>2018</v>
      </c>
      <c r="B3" s="1">
        <v>2</v>
      </c>
      <c r="C3" s="2">
        <v>141.9</v>
      </c>
      <c r="D3" s="2">
        <v>0.6382978723404209</v>
      </c>
      <c r="E3" s="2">
        <v>0.531969600164516</v>
      </c>
      <c r="F3" s="2">
        <v>135.5</v>
      </c>
      <c r="G3" s="2">
        <v>0.96870342771981921</v>
      </c>
      <c r="H3" s="2">
        <v>-0.49328927849431636</v>
      </c>
    </row>
    <row r="4" spans="1:8" x14ac:dyDescent="0.3">
      <c r="A4" s="1">
        <f>A3</f>
        <v>2018</v>
      </c>
      <c r="B4" s="1">
        <v>3</v>
      </c>
      <c r="C4" s="2">
        <v>146</v>
      </c>
      <c r="D4" s="2">
        <v>-2.3411371237458178</v>
      </c>
      <c r="E4" s="2">
        <v>0.12031001222628278</v>
      </c>
      <c r="F4" s="2">
        <v>136.19999999999999</v>
      </c>
      <c r="G4" s="2">
        <v>-0.51132213294377005</v>
      </c>
      <c r="H4" s="2">
        <v>-0.8578801928127644</v>
      </c>
    </row>
    <row r="5" spans="1:8" x14ac:dyDescent="0.3">
      <c r="A5" s="1">
        <f>A4</f>
        <v>2018</v>
      </c>
      <c r="B5" s="1">
        <v>4</v>
      </c>
      <c r="C5" s="2">
        <v>144.6</v>
      </c>
      <c r="D5" s="2">
        <v>0.76655052264809065</v>
      </c>
      <c r="E5" s="2">
        <v>-0.23120438571353158</v>
      </c>
      <c r="F5" s="2">
        <v>133.9</v>
      </c>
      <c r="G5" s="2">
        <v>-1.107828655834564</v>
      </c>
      <c r="H5" s="2">
        <v>-1.157312000420984</v>
      </c>
    </row>
    <row r="6" spans="1:8" x14ac:dyDescent="0.3">
      <c r="A6" s="1">
        <v>2019</v>
      </c>
      <c r="B6" s="1">
        <v>1</v>
      </c>
      <c r="C6" s="2">
        <v>139.4</v>
      </c>
      <c r="D6" s="2">
        <v>-2.3125437981779795</v>
      </c>
      <c r="E6" s="2">
        <v>-0.51547944289009451</v>
      </c>
      <c r="F6" s="2">
        <v>132.5</v>
      </c>
      <c r="G6" s="2">
        <v>-1.779095626389926</v>
      </c>
      <c r="H6" s="2">
        <v>-1.3844439247300337</v>
      </c>
    </row>
    <row r="7" spans="1:8" x14ac:dyDescent="0.3">
      <c r="A7" s="1">
        <f>A6</f>
        <v>2019</v>
      </c>
      <c r="B7" s="1">
        <v>2</v>
      </c>
      <c r="C7" s="2">
        <v>139.5</v>
      </c>
      <c r="D7" s="2">
        <v>-1.6913319238900715</v>
      </c>
      <c r="E7" s="2">
        <v>-0.72479741172084744</v>
      </c>
      <c r="F7" s="2">
        <v>132.9</v>
      </c>
      <c r="G7" s="2">
        <v>-1.9188191881918781</v>
      </c>
      <c r="H7" s="2">
        <v>-1.5321042620606058</v>
      </c>
    </row>
    <row r="8" spans="1:8" x14ac:dyDescent="0.3">
      <c r="A8" s="1">
        <f>A7</f>
        <v>2019</v>
      </c>
      <c r="B8" s="1">
        <v>3</v>
      </c>
      <c r="C8" s="2">
        <v>145.19999999999999</v>
      </c>
      <c r="D8" s="2">
        <v>-0.54794520547946091</v>
      </c>
      <c r="E8" s="2">
        <v>-0.85256370984528673</v>
      </c>
      <c r="F8" s="2">
        <v>135</v>
      </c>
      <c r="G8" s="2">
        <v>-0.88105726872246271</v>
      </c>
      <c r="H8" s="2">
        <v>-1.5933679660469295</v>
      </c>
    </row>
    <row r="9" spans="1:8" x14ac:dyDescent="0.3">
      <c r="A9" s="1">
        <f>A8</f>
        <v>2019</v>
      </c>
      <c r="B9" s="1">
        <v>4</v>
      </c>
      <c r="C9" s="2">
        <v>142.9</v>
      </c>
      <c r="D9" s="2">
        <v>-1.1756569847856113</v>
      </c>
      <c r="E9" s="2">
        <v>-0.89278783897301439</v>
      </c>
      <c r="F9" s="2">
        <v>131.1</v>
      </c>
      <c r="G9" s="2">
        <v>-2.0911127707244348</v>
      </c>
      <c r="H9" s="2">
        <v>-1.5615516871520665</v>
      </c>
    </row>
    <row r="10" spans="1:8" x14ac:dyDescent="0.3">
      <c r="A10" s="1">
        <v>2020</v>
      </c>
      <c r="B10" s="1">
        <v>1</v>
      </c>
      <c r="C10" s="2">
        <v>135.1</v>
      </c>
      <c r="D10" s="2">
        <v>-3.0846484935437624</v>
      </c>
      <c r="E10" s="2">
        <v>-0.83928891424840391</v>
      </c>
      <c r="F10" s="2">
        <v>130.6</v>
      </c>
      <c r="G10" s="2">
        <v>-1.4339622641509453</v>
      </c>
      <c r="H10" s="2">
        <v>-1.4295268816532505</v>
      </c>
    </row>
    <row r="11" spans="1:8" x14ac:dyDescent="0.3">
      <c r="A11" s="1">
        <f>A10</f>
        <v>2020</v>
      </c>
      <c r="B11" s="1">
        <v>2</v>
      </c>
      <c r="C11" s="2">
        <v>100.9</v>
      </c>
      <c r="D11" s="2">
        <v>-27.670250896057347</v>
      </c>
      <c r="E11" s="2">
        <v>-0.68606284403196183</v>
      </c>
      <c r="F11" s="2">
        <v>95.5</v>
      </c>
      <c r="G11" s="2">
        <v>-28.14145974416855</v>
      </c>
      <c r="H11" s="2">
        <v>-1.1904959815049485</v>
      </c>
    </row>
    <row r="12" spans="1:8" x14ac:dyDescent="0.3">
      <c r="A12" s="1">
        <f>A11</f>
        <v>2020</v>
      </c>
      <c r="B12" s="1">
        <v>3</v>
      </c>
      <c r="C12" s="2">
        <v>104.6</v>
      </c>
      <c r="D12" s="2">
        <v>-27.96143250688705</v>
      </c>
      <c r="E12" s="2">
        <v>-0.42850888642125423</v>
      </c>
      <c r="F12" s="2">
        <v>95.5</v>
      </c>
      <c r="G12" s="2">
        <v>-29.259259259259263</v>
      </c>
      <c r="H12" s="2">
        <v>-0.83766419077568843</v>
      </c>
    </row>
    <row r="13" spans="1:8" x14ac:dyDescent="0.3">
      <c r="A13" s="1">
        <f>A12</f>
        <v>2020</v>
      </c>
      <c r="B13" s="1">
        <v>4</v>
      </c>
      <c r="C13" s="2">
        <v>121.5</v>
      </c>
      <c r="D13" s="2">
        <v>-14.97550734779567</v>
      </c>
      <c r="E13" s="2">
        <v>-7.8891417046363141E-2</v>
      </c>
      <c r="F13" s="2">
        <v>105.5</v>
      </c>
      <c r="G13" s="2">
        <v>-19.527078565980162</v>
      </c>
      <c r="H13" s="2">
        <v>-0.3810810658856631</v>
      </c>
    </row>
    <row r="14" spans="1:8" x14ac:dyDescent="0.3">
      <c r="A14" s="1">
        <v>2021</v>
      </c>
      <c r="B14" s="1">
        <v>1</v>
      </c>
      <c r="C14" s="2">
        <v>120.7</v>
      </c>
      <c r="D14" s="2">
        <v>-10.65877128053293</v>
      </c>
      <c r="E14" s="2">
        <v>0.33331711119983826</v>
      </c>
      <c r="F14" s="2">
        <v>109.3</v>
      </c>
      <c r="G14" s="2">
        <v>-16.309341500765694</v>
      </c>
      <c r="H14" s="2">
        <v>0.15144033982713256</v>
      </c>
    </row>
    <row r="15" spans="1:8" x14ac:dyDescent="0.3">
      <c r="A15" s="1">
        <f t="shared" ref="A15:A25" si="0">A14</f>
        <v>2021</v>
      </c>
      <c r="B15" s="1">
        <v>2</v>
      </c>
      <c r="C15" s="2">
        <v>129.19999999999999</v>
      </c>
      <c r="D15" s="2">
        <v>28.047571853320097</v>
      </c>
      <c r="E15" s="2">
        <v>0.76933386046775842</v>
      </c>
      <c r="F15" s="2">
        <v>114.8</v>
      </c>
      <c r="G15" s="2">
        <v>20.209424083769623</v>
      </c>
      <c r="H15" s="2">
        <v>0.72012072458714438</v>
      </c>
    </row>
    <row r="16" spans="1:8" x14ac:dyDescent="0.3">
      <c r="A16" s="1">
        <f t="shared" si="0"/>
        <v>2021</v>
      </c>
      <c r="B16" s="1">
        <v>3</v>
      </c>
      <c r="C16" s="2">
        <v>139.5</v>
      </c>
      <c r="D16" s="2">
        <v>33.365200764818368</v>
      </c>
      <c r="E16" s="2">
        <v>1.1835059376629729</v>
      </c>
      <c r="F16" s="2">
        <v>128.9</v>
      </c>
      <c r="G16" s="2">
        <v>34.973821989528808</v>
      </c>
      <c r="H16" s="2">
        <v>1.2748927979684477</v>
      </c>
    </row>
    <row r="17" spans="1:8" x14ac:dyDescent="0.3">
      <c r="A17" s="1">
        <f t="shared" si="0"/>
        <v>2021</v>
      </c>
      <c r="B17" s="1">
        <v>4</v>
      </c>
      <c r="C17" s="2">
        <v>140.6</v>
      </c>
      <c r="D17" s="2">
        <v>15.7201646090535</v>
      </c>
      <c r="E17" s="2">
        <v>1.54722934843659</v>
      </c>
      <c r="F17" s="2">
        <v>130.30000000000001</v>
      </c>
      <c r="G17" s="2">
        <v>23.507109004739355</v>
      </c>
      <c r="H17" s="2">
        <v>1.7778700841446071</v>
      </c>
    </row>
    <row r="18" spans="1:8" x14ac:dyDescent="0.3">
      <c r="A18" s="1">
        <v>2022</v>
      </c>
      <c r="B18" s="1">
        <v>1</v>
      </c>
      <c r="C18" s="2">
        <v>135.19999999999999</v>
      </c>
      <c r="D18" s="2">
        <v>12.013256006627993</v>
      </c>
      <c r="E18" s="2">
        <v>1.8520136577066901</v>
      </c>
      <c r="F18" s="2">
        <v>127</v>
      </c>
      <c r="G18" s="2">
        <v>16.193961573650519</v>
      </c>
      <c r="H18" s="2">
        <v>2.2122279380339123</v>
      </c>
    </row>
    <row r="19" spans="1:8" x14ac:dyDescent="0.3">
      <c r="A19" s="1">
        <f>A18</f>
        <v>2022</v>
      </c>
      <c r="B19" s="1">
        <v>2</v>
      </c>
      <c r="C19" s="2">
        <v>131.4</v>
      </c>
      <c r="D19" s="2">
        <v>1.702786377708998</v>
      </c>
      <c r="E19" s="2">
        <v>2.0982265149292392</v>
      </c>
      <c r="F19" s="2">
        <v>121.9</v>
      </c>
      <c r="G19" s="2">
        <v>6.1846689895470375</v>
      </c>
      <c r="H19" s="2">
        <v>2.5747224888800244</v>
      </c>
    </row>
    <row r="20" spans="1:8" x14ac:dyDescent="0.3">
      <c r="A20" s="1">
        <f t="shared" si="0"/>
        <v>2022</v>
      </c>
      <c r="B20" s="1">
        <v>3</v>
      </c>
      <c r="C20" s="2">
        <v>137.4</v>
      </c>
      <c r="D20" s="2">
        <v>-1.5053763440860179</v>
      </c>
      <c r="E20" s="2">
        <v>2.2925863460282789</v>
      </c>
      <c r="F20" s="2">
        <v>131</v>
      </c>
      <c r="G20" s="2">
        <v>1.6291698991466319</v>
      </c>
      <c r="H20" s="2">
        <v>2.8708484494488653</v>
      </c>
    </row>
    <row r="21" spans="1:8" x14ac:dyDescent="0.3">
      <c r="A21" s="1">
        <f t="shared" si="0"/>
        <v>2022</v>
      </c>
      <c r="B21" s="1">
        <v>4</v>
      </c>
      <c r="C21" s="2">
        <v>139.69999999999999</v>
      </c>
      <c r="D21" s="2">
        <v>-0.64011379800853474</v>
      </c>
      <c r="E21" s="2">
        <v>2.4415644268420884</v>
      </c>
      <c r="F21" s="2">
        <v>127.2</v>
      </c>
      <c r="G21" s="2">
        <v>-2.3791250959324661</v>
      </c>
      <c r="H21" s="2">
        <v>3.1083567490692734</v>
      </c>
    </row>
    <row r="22" spans="1:8" x14ac:dyDescent="0.3">
      <c r="A22" s="1">
        <v>2023</v>
      </c>
      <c r="B22" s="1">
        <v>1</v>
      </c>
      <c r="C22" s="2">
        <v>138.5</v>
      </c>
      <c r="D22" s="2">
        <v>2.4408284023668791</v>
      </c>
      <c r="E22" s="2">
        <v>2.5492583065276251</v>
      </c>
      <c r="F22" s="2">
        <v>129</v>
      </c>
      <c r="G22" s="2">
        <v>1.5748031496062964</v>
      </c>
      <c r="H22" s="2">
        <v>3.2942222679761479</v>
      </c>
    </row>
    <row r="23" spans="1:8" x14ac:dyDescent="0.3">
      <c r="A23" s="1">
        <f>A22</f>
        <v>2023</v>
      </c>
      <c r="B23" s="1">
        <v>2</v>
      </c>
      <c r="C23" s="2">
        <v>140.30000000000001</v>
      </c>
      <c r="D23" s="2">
        <v>6.7732115677321181</v>
      </c>
      <c r="E23" s="2">
        <v>2.6178394853513143</v>
      </c>
      <c r="F23" s="2">
        <v>132.5</v>
      </c>
      <c r="G23" s="2">
        <v>8.6956521739130377</v>
      </c>
      <c r="H23" s="2">
        <v>3.4319902102512616</v>
      </c>
    </row>
    <row r="24" spans="1:8" x14ac:dyDescent="0.3">
      <c r="A24" s="1">
        <f t="shared" si="0"/>
        <v>2023</v>
      </c>
      <c r="B24" s="1">
        <v>3</v>
      </c>
      <c r="C24" s="2">
        <v>147.19999999999999</v>
      </c>
      <c r="D24" s="2">
        <v>7.1324599708879166</v>
      </c>
      <c r="E24" s="2">
        <v>2.6494116948894808</v>
      </c>
      <c r="F24" s="2">
        <v>135.9</v>
      </c>
      <c r="G24" s="2">
        <v>3.7404580152671896</v>
      </c>
      <c r="H24" s="2">
        <v>3.524131143027406</v>
      </c>
    </row>
    <row r="25" spans="1:8" x14ac:dyDescent="0.3">
      <c r="A25" s="1">
        <f t="shared" si="0"/>
        <v>2023</v>
      </c>
      <c r="B25" s="1">
        <v>4</v>
      </c>
      <c r="C25" s="2">
        <v>143.19999999999999</v>
      </c>
      <c r="D25" s="2">
        <v>2.5053686471009362</v>
      </c>
      <c r="E25" s="2">
        <v>2.6486757742699378</v>
      </c>
      <c r="F25" s="2">
        <v>133.19999999999999</v>
      </c>
      <c r="G25" s="2">
        <v>4.7169811320754595</v>
      </c>
      <c r="H25" s="2">
        <v>3.5764054221646622</v>
      </c>
    </row>
    <row r="26" spans="1:8" x14ac:dyDescent="0.3">
      <c r="A26" s="1">
        <v>2024</v>
      </c>
      <c r="B26" s="1">
        <v>1</v>
      </c>
      <c r="C26" s="2">
        <v>138.30000000000001</v>
      </c>
      <c r="D26" s="2">
        <v>-0.14440433212995485</v>
      </c>
      <c r="E26" s="2">
        <v>2.623134467792998</v>
      </c>
      <c r="F26" s="2">
        <v>134</v>
      </c>
      <c r="G26" s="2">
        <v>3.8759689922480689</v>
      </c>
      <c r="H26" s="2">
        <v>3.5947086078182604</v>
      </c>
    </row>
    <row r="27" spans="1:8" x14ac:dyDescent="0.3">
      <c r="A27" s="1">
        <f>A26</f>
        <v>2024</v>
      </c>
      <c r="B27" s="1">
        <v>2</v>
      </c>
      <c r="C27" s="2">
        <v>143.4</v>
      </c>
      <c r="D27" s="2">
        <v>2.2095509622237941</v>
      </c>
      <c r="E27" s="2">
        <v>2.5802009528044931</v>
      </c>
      <c r="F27" s="2">
        <v>136</v>
      </c>
      <c r="G27" s="2">
        <v>2.6415094339622636</v>
      </c>
      <c r="H27" s="2">
        <v>3.5856491199621261</v>
      </c>
    </row>
    <row r="28" spans="1:8" x14ac:dyDescent="0.3">
      <c r="A28" s="1">
        <f t="shared" ref="A28:A29" si="1">A27</f>
        <v>2024</v>
      </c>
      <c r="B28" s="1">
        <v>3</v>
      </c>
      <c r="C28" s="2">
        <v>146.1</v>
      </c>
      <c r="D28" s="2">
        <v>-0.747282608695643</v>
      </c>
      <c r="E28" s="2">
        <v>2.5255586949003037</v>
      </c>
      <c r="F28" s="2">
        <v>138</v>
      </c>
      <c r="G28" s="2">
        <v>1.5452538631346435</v>
      </c>
      <c r="H28" s="2">
        <v>3.5560111663104532</v>
      </c>
    </row>
    <row r="29" spans="1:8" x14ac:dyDescent="0.3">
      <c r="A29" s="1">
        <f t="shared" si="1"/>
        <v>2024</v>
      </c>
      <c r="B29" s="1">
        <v>4</v>
      </c>
      <c r="C29" s="2">
        <v>140.6</v>
      </c>
      <c r="D29" s="2">
        <v>-1.8156424581005526</v>
      </c>
      <c r="E29" s="2">
        <v>2.464659503432197</v>
      </c>
      <c r="F29" s="2">
        <v>136.30000000000001</v>
      </c>
      <c r="G29" s="2">
        <v>2.3273273273273443</v>
      </c>
      <c r="H29" s="2">
        <v>3.5119888672736863</v>
      </c>
    </row>
    <row r="30" spans="1:8" x14ac:dyDescent="0.3">
      <c r="A30" s="1">
        <v>2025</v>
      </c>
      <c r="B30" s="1">
        <v>1</v>
      </c>
      <c r="C30" s="2">
        <v>144.30000000000001</v>
      </c>
      <c r="D30" s="2">
        <v>4.3383947939262368</v>
      </c>
      <c r="E30" s="2">
        <v>2.400909661937193</v>
      </c>
      <c r="F30" s="2">
        <v>137</v>
      </c>
      <c r="G30" s="2">
        <v>2.2388059701492491</v>
      </c>
      <c r="H30" s="2">
        <v>3.458519619947785</v>
      </c>
    </row>
    <row r="31" spans="1:8" x14ac:dyDescent="0.3">
      <c r="A31" s="1">
        <f t="shared" ref="A31:A32" si="2">IF(C31="","",A30)</f>
        <v>2025</v>
      </c>
      <c r="B31" s="1">
        <v>2</v>
      </c>
      <c r="C31" s="2">
        <v>142.69999999999999</v>
      </c>
      <c r="D31" s="2">
        <v>-0.48814504881451448</v>
      </c>
      <c r="E31" s="2">
        <v>2.335040265226354</v>
      </c>
      <c r="F31" s="2">
        <v>137.1</v>
      </c>
      <c r="G31" s="2">
        <v>0.80882352941176183</v>
      </c>
      <c r="H31" s="2">
        <v>3.3998004079662421</v>
      </c>
    </row>
    <row r="32" spans="1:8" x14ac:dyDescent="0.3">
      <c r="A32" s="1">
        <f t="shared" si="2"/>
        <v>2025</v>
      </c>
      <c r="B32" s="1">
        <v>3</v>
      </c>
      <c r="C32" s="2">
        <v>149</v>
      </c>
      <c r="D32" s="2">
        <v>1.9849418206707714</v>
      </c>
      <c r="E32" s="2">
        <v>2.2689933363182355</v>
      </c>
      <c r="F32" s="2">
        <v>138.6</v>
      </c>
      <c r="G32" s="2">
        <v>0.43478260869564966</v>
      </c>
      <c r="H32" s="2">
        <v>3.3392658939314268</v>
      </c>
    </row>
    <row r="33" spans="3:8" x14ac:dyDescent="0.3">
      <c r="C33" s="2"/>
      <c r="D33" s="2"/>
      <c r="E33" s="2"/>
      <c r="F33" s="2"/>
      <c r="G33" s="2"/>
      <c r="H33" s="2"/>
    </row>
    <row r="34" spans="3:8" x14ac:dyDescent="0.3">
      <c r="C34" s="2"/>
      <c r="D34" s="2"/>
      <c r="E34" s="2"/>
      <c r="F34" s="2"/>
      <c r="G34" s="2"/>
      <c r="H34" s="2"/>
    </row>
    <row r="35" spans="3:8" x14ac:dyDescent="0.3">
      <c r="C35" s="2"/>
      <c r="D35" s="2"/>
      <c r="E35" s="2"/>
      <c r="F35" s="2"/>
      <c r="G35" s="2"/>
      <c r="H35" s="2"/>
    </row>
    <row r="36" spans="3:8" x14ac:dyDescent="0.3">
      <c r="C36" s="2"/>
      <c r="D36" s="2"/>
      <c r="E36" s="2"/>
      <c r="F36" s="2"/>
      <c r="G36" s="2"/>
      <c r="H36" s="2"/>
    </row>
    <row r="37" spans="3:8" x14ac:dyDescent="0.3">
      <c r="C37" s="2"/>
      <c r="D37" s="2"/>
      <c r="E37" s="2"/>
      <c r="F37" s="2"/>
      <c r="G37" s="2"/>
      <c r="H37" s="2"/>
    </row>
    <row r="38" spans="3:8" x14ac:dyDescent="0.3">
      <c r="C38" s="2"/>
      <c r="D38" s="2"/>
      <c r="E38" s="2"/>
      <c r="F38" s="2"/>
      <c r="G38" s="2"/>
      <c r="H38" s="2"/>
    </row>
    <row r="39" spans="3:8" x14ac:dyDescent="0.3">
      <c r="C39" s="2"/>
      <c r="D39" s="2"/>
      <c r="E39" s="2"/>
      <c r="F39" s="2"/>
      <c r="G39" s="2"/>
      <c r="H39" s="2"/>
    </row>
    <row r="40" spans="3:8" x14ac:dyDescent="0.3">
      <c r="C40" s="2"/>
      <c r="D40" s="2"/>
      <c r="E40" s="2"/>
      <c r="F40" s="2"/>
      <c r="G40" s="2"/>
      <c r="H40" s="2"/>
    </row>
    <row r="41" spans="3:8" x14ac:dyDescent="0.3">
      <c r="C41" s="2"/>
      <c r="D41" s="2"/>
      <c r="E41" s="2"/>
      <c r="F41" s="2"/>
      <c r="G41" s="2"/>
      <c r="H41" s="2"/>
    </row>
    <row r="42" spans="3:8" x14ac:dyDescent="0.3">
      <c r="C42" s="2"/>
      <c r="D42" s="2"/>
      <c r="E42" s="2"/>
      <c r="F42" s="2"/>
      <c r="G42" s="2"/>
      <c r="H42" s="2"/>
    </row>
    <row r="43" spans="3:8" x14ac:dyDescent="0.3">
      <c r="C43" s="2"/>
      <c r="D43" s="2"/>
      <c r="E43" s="2"/>
      <c r="F43" s="2"/>
      <c r="G43" s="2"/>
      <c r="H43" s="2"/>
    </row>
    <row r="44" spans="3:8" x14ac:dyDescent="0.3">
      <c r="C44" s="2"/>
      <c r="D44" s="2"/>
      <c r="E44" s="2"/>
      <c r="F44" s="2"/>
      <c r="G44" s="2"/>
      <c r="H44" s="2"/>
    </row>
    <row r="45" spans="3:8" x14ac:dyDescent="0.3">
      <c r="C45" s="2"/>
      <c r="D45" s="2"/>
      <c r="E45" s="2"/>
      <c r="F45" s="2"/>
      <c r="G45" s="2"/>
      <c r="H45" s="2"/>
    </row>
    <row r="46" spans="3:8" x14ac:dyDescent="0.3">
      <c r="C46" s="2"/>
      <c r="D46" s="2"/>
      <c r="E46" s="2"/>
      <c r="F46" s="2"/>
      <c r="G46" s="2"/>
      <c r="H46" s="2"/>
    </row>
    <row r="47" spans="3:8" x14ac:dyDescent="0.3">
      <c r="C47" s="2"/>
      <c r="D47" s="2"/>
      <c r="E47" s="2"/>
      <c r="F47" s="2"/>
      <c r="G47" s="2"/>
      <c r="H47" s="2"/>
    </row>
    <row r="48" spans="3:8" x14ac:dyDescent="0.3">
      <c r="C48" s="2"/>
      <c r="D48" s="2"/>
      <c r="E48" s="2"/>
      <c r="F48" s="2"/>
      <c r="G48" s="2"/>
      <c r="H48" s="2"/>
    </row>
    <row r="49" spans="3:8" x14ac:dyDescent="0.3">
      <c r="C49" s="2"/>
      <c r="D49" s="2"/>
      <c r="E49" s="2"/>
      <c r="F49" s="2"/>
      <c r="G49" s="2"/>
      <c r="H49" s="2"/>
    </row>
    <row r="50" spans="3:8" x14ac:dyDescent="0.3">
      <c r="C50" s="2"/>
      <c r="D50" s="2"/>
      <c r="E50" s="2"/>
      <c r="F50" s="2"/>
      <c r="G50" s="2"/>
      <c r="H50" s="2"/>
    </row>
    <row r="51" spans="3:8" x14ac:dyDescent="0.3">
      <c r="C51" s="2"/>
      <c r="D51" s="2"/>
      <c r="E51" s="2"/>
      <c r="F51" s="2"/>
      <c r="G51" s="2"/>
      <c r="H51" s="2"/>
    </row>
    <row r="52" spans="3:8" x14ac:dyDescent="0.3">
      <c r="C52" s="2"/>
      <c r="D52" s="2"/>
      <c r="E52" s="2"/>
      <c r="F52" s="2"/>
      <c r="G52" s="2"/>
      <c r="H52" s="2"/>
    </row>
    <row r="53" spans="3:8" x14ac:dyDescent="0.3">
      <c r="C53" s="2"/>
      <c r="D53" s="2"/>
      <c r="E53" s="2"/>
      <c r="F53" s="2"/>
      <c r="G53" s="2"/>
      <c r="H53" s="2"/>
    </row>
    <row r="54" spans="3:8" x14ac:dyDescent="0.3">
      <c r="C54" s="2"/>
      <c r="D54" s="2"/>
      <c r="E54" s="2"/>
      <c r="F54" s="2"/>
      <c r="G54" s="2"/>
      <c r="H54" s="2"/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E31" sqref="E31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570312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57</v>
      </c>
      <c r="D1" s="3" t="s">
        <v>58</v>
      </c>
      <c r="E1" s="3" t="s">
        <v>59</v>
      </c>
      <c r="F1" s="3" t="s">
        <v>60</v>
      </c>
      <c r="G1" s="3" t="s">
        <v>61</v>
      </c>
      <c r="H1" s="3" t="s">
        <v>62</v>
      </c>
    </row>
    <row r="2" spans="1:8" x14ac:dyDescent="0.3">
      <c r="A2" s="1">
        <v>2018</v>
      </c>
      <c r="B2" s="2">
        <v>1</v>
      </c>
      <c r="C2" s="2">
        <v>27.668769790252508</v>
      </c>
      <c r="D2" s="2">
        <v>-47.901092287475542</v>
      </c>
      <c r="E2" s="2">
        <v>2.499326158575224</v>
      </c>
      <c r="F2" s="2">
        <v>14787.099999999999</v>
      </c>
      <c r="G2" s="2">
        <v>8.114886003797551</v>
      </c>
      <c r="H2" s="2">
        <v>61.285552627145215</v>
      </c>
    </row>
    <row r="3" spans="1:8" x14ac:dyDescent="0.3">
      <c r="A3" s="1">
        <v>2018</v>
      </c>
      <c r="B3" s="2">
        <v>2</v>
      </c>
      <c r="C3" s="2">
        <v>85.697911715071513</v>
      </c>
      <c r="D3" s="2">
        <v>-11.339105451485631</v>
      </c>
      <c r="E3" s="2">
        <v>3.8143643168763459</v>
      </c>
      <c r="F3" s="2">
        <v>24147.4</v>
      </c>
      <c r="G3" s="2">
        <v>1.901006544310424</v>
      </c>
      <c r="H3" s="2">
        <v>74.446904491988008</v>
      </c>
    </row>
    <row r="4" spans="1:8" x14ac:dyDescent="0.3">
      <c r="A4" s="1">
        <v>2018</v>
      </c>
      <c r="B4" s="2">
        <v>3</v>
      </c>
      <c r="C4" s="2">
        <v>135.56443603899848</v>
      </c>
      <c r="D4" s="2">
        <v>-2.6258541814626279</v>
      </c>
      <c r="E4" s="2">
        <v>5.5586201289329358</v>
      </c>
      <c r="F4" s="2">
        <v>32753.599999999999</v>
      </c>
      <c r="G4" s="2">
        <v>0.263349860427331</v>
      </c>
      <c r="H4" s="2">
        <v>89.103825911048077</v>
      </c>
    </row>
    <row r="5" spans="1:8" x14ac:dyDescent="0.3">
      <c r="A5" s="1">
        <v>2018</v>
      </c>
      <c r="B5" s="2">
        <v>4</v>
      </c>
      <c r="C5" s="2">
        <v>49.127270459994804</v>
      </c>
      <c r="D5" s="2">
        <v>34.359180203467645</v>
      </c>
      <c r="E5" s="2">
        <v>7.7160976881079888</v>
      </c>
      <c r="F5" s="2">
        <v>18062.650000000001</v>
      </c>
      <c r="G5" s="2">
        <v>6.487409681740175</v>
      </c>
      <c r="H5" s="2">
        <v>105.219910953053</v>
      </c>
    </row>
    <row r="6" spans="1:8" x14ac:dyDescent="0.3">
      <c r="A6" s="1">
        <v>2019</v>
      </c>
      <c r="B6" s="2">
        <v>1</v>
      </c>
      <c r="C6" s="2">
        <v>31.8154372066601</v>
      </c>
      <c r="D6" s="2">
        <v>14.986815271665721</v>
      </c>
      <c r="E6" s="2">
        <v>10.265685791320504</v>
      </c>
      <c r="F6" s="2">
        <v>15372.149999999998</v>
      </c>
      <c r="G6" s="2">
        <v>3.956489101987537</v>
      </c>
      <c r="H6" s="2">
        <v>122.70322838919873</v>
      </c>
    </row>
    <row r="7" spans="1:8" x14ac:dyDescent="0.3">
      <c r="A7" s="1">
        <v>2019</v>
      </c>
      <c r="B7" s="2">
        <v>2</v>
      </c>
      <c r="C7" s="2">
        <v>68.789857492696598</v>
      </c>
      <c r="D7" s="2">
        <v>-19.72983224911107</v>
      </c>
      <c r="E7" s="2">
        <v>13.202925162061581</v>
      </c>
      <c r="F7" s="2">
        <v>24880.32</v>
      </c>
      <c r="G7" s="2">
        <v>3.0351921946047966</v>
      </c>
      <c r="H7" s="2">
        <v>141.40013917738665</v>
      </c>
    </row>
    <row r="8" spans="1:8" x14ac:dyDescent="0.3">
      <c r="A8" s="1">
        <v>2019</v>
      </c>
      <c r="B8" s="2">
        <v>3</v>
      </c>
      <c r="C8" s="2">
        <v>199.42877071307231</v>
      </c>
      <c r="D8" s="2">
        <v>47.109947520234343</v>
      </c>
      <c r="E8" s="2">
        <v>16.526307229747538</v>
      </c>
      <c r="F8" s="2">
        <v>33263.479999999996</v>
      </c>
      <c r="G8" s="2">
        <v>1.5567143764349423</v>
      </c>
      <c r="H8" s="2">
        <v>161.08278756346368</v>
      </c>
    </row>
    <row r="9" spans="1:8" x14ac:dyDescent="0.3">
      <c r="A9" s="1">
        <v>2019</v>
      </c>
      <c r="B9" s="2">
        <v>4</v>
      </c>
      <c r="C9" s="2">
        <v>48.130159277225545</v>
      </c>
      <c r="D9" s="2">
        <v>-2.0296490593370686</v>
      </c>
      <c r="E9" s="2">
        <v>20.213740450412708</v>
      </c>
      <c r="F9" s="2">
        <v>18396.02</v>
      </c>
      <c r="G9" s="2">
        <v>1.845631731778008</v>
      </c>
      <c r="H9" s="2">
        <v>181.43683970141248</v>
      </c>
    </row>
    <row r="10" spans="1:8" x14ac:dyDescent="0.3">
      <c r="A10" s="1">
        <v>2020</v>
      </c>
      <c r="B10" s="2">
        <v>1</v>
      </c>
      <c r="C10" s="2">
        <v>17.811176933114201</v>
      </c>
      <c r="D10" s="2">
        <v>-44.017186319269911</v>
      </c>
      <c r="E10" s="2">
        <v>24.26224805527298</v>
      </c>
      <c r="F10" s="2">
        <v>11730.33</v>
      </c>
      <c r="G10" s="2">
        <v>-23.691025653535768</v>
      </c>
      <c r="H10" s="2">
        <v>202.04825794947382</v>
      </c>
    </row>
    <row r="11" spans="1:8" x14ac:dyDescent="0.3">
      <c r="A11" s="1">
        <v>2020</v>
      </c>
      <c r="B11" s="2">
        <v>2</v>
      </c>
      <c r="C11" s="2">
        <v>0</v>
      </c>
      <c r="D11" s="2">
        <v>0</v>
      </c>
      <c r="E11" s="2">
        <v>28.654951157100651</v>
      </c>
      <c r="F11" s="2">
        <v>133.88999999999999</v>
      </c>
      <c r="G11" s="2">
        <v>-99.461863834548751</v>
      </c>
      <c r="H11" s="2">
        <v>222.39076016090746</v>
      </c>
    </row>
    <row r="12" spans="1:8" x14ac:dyDescent="0.3">
      <c r="A12" s="1">
        <v>2020</v>
      </c>
      <c r="B12" s="2">
        <v>3</v>
      </c>
      <c r="C12" s="2">
        <v>49.573869385726198</v>
      </c>
      <c r="D12" s="2">
        <v>-75.142067411602071</v>
      </c>
      <c r="E12" s="2">
        <v>33.332296222183928</v>
      </c>
      <c r="F12" s="2">
        <v>5879.28</v>
      </c>
      <c r="G12" s="2">
        <v>-82.32512052256709</v>
      </c>
      <c r="H12" s="2">
        <v>241.7969771367213</v>
      </c>
    </row>
    <row r="13" spans="1:8" x14ac:dyDescent="0.3">
      <c r="A13" s="1">
        <v>2020</v>
      </c>
      <c r="B13" s="2">
        <v>4</v>
      </c>
      <c r="C13" s="2">
        <v>14.899192567919101</v>
      </c>
      <c r="D13" s="2">
        <v>-69.043957485989111</v>
      </c>
      <c r="E13" s="2">
        <v>38.216820372337828</v>
      </c>
      <c r="F13" s="2">
        <v>2043.28</v>
      </c>
      <c r="G13" s="2">
        <v>-88.892814858866203</v>
      </c>
      <c r="H13" s="2">
        <v>259.39838178792604</v>
      </c>
    </row>
    <row r="14" spans="1:8" x14ac:dyDescent="0.3">
      <c r="A14" s="1">
        <v>2021</v>
      </c>
      <c r="B14" s="2">
        <v>1</v>
      </c>
      <c r="C14" s="2">
        <v>6.4217446105582292</v>
      </c>
      <c r="D14" s="2">
        <v>-63.945422390257413</v>
      </c>
      <c r="E14" s="2">
        <v>43.163264252106266</v>
      </c>
      <c r="F14" s="2">
        <v>1325.1399999999999</v>
      </c>
      <c r="G14" s="2">
        <v>-88.703301612145609</v>
      </c>
      <c r="H14" s="2">
        <v>274.12387071449541</v>
      </c>
    </row>
    <row r="15" spans="1:8" x14ac:dyDescent="0.3">
      <c r="A15" s="1">
        <v>2021</v>
      </c>
      <c r="B15" s="2">
        <v>2</v>
      </c>
      <c r="C15" s="2">
        <v>28.25876220639897</v>
      </c>
      <c r="D15" s="2">
        <v>0</v>
      </c>
      <c r="E15" s="2">
        <v>47.959330519871692</v>
      </c>
      <c r="F15" s="2">
        <v>4485.8899999999994</v>
      </c>
      <c r="G15" s="2">
        <v>3250.4294570169541</v>
      </c>
      <c r="H15" s="2">
        <v>284.68465851849885</v>
      </c>
    </row>
    <row r="16" spans="1:8" x14ac:dyDescent="0.3">
      <c r="A16" s="1">
        <v>2021</v>
      </c>
      <c r="B16" s="2">
        <v>3</v>
      </c>
      <c r="C16" s="2">
        <v>77.834351452823896</v>
      </c>
      <c r="D16" s="2">
        <v>57.006811082684486</v>
      </c>
      <c r="E16" s="2">
        <v>52.325778904865075</v>
      </c>
      <c r="F16" s="2">
        <v>16187.970000000001</v>
      </c>
      <c r="G16" s="2">
        <v>175.33932726456305</v>
      </c>
      <c r="H16" s="2">
        <v>289.56519281930161</v>
      </c>
    </row>
    <row r="17" spans="1:8" x14ac:dyDescent="0.3">
      <c r="A17" s="1">
        <v>2021</v>
      </c>
      <c r="B17" s="2">
        <v>4</v>
      </c>
      <c r="C17" s="2">
        <v>52.097532905893402</v>
      </c>
      <c r="D17" s="2">
        <v>249.6668203219929</v>
      </c>
      <c r="E17" s="2">
        <v>55.953394554742466</v>
      </c>
      <c r="F17" s="2">
        <v>12904.380000000001</v>
      </c>
      <c r="G17" s="2">
        <v>531.55221017188057</v>
      </c>
      <c r="H17" s="2">
        <v>289.10351173533053</v>
      </c>
    </row>
    <row r="18" spans="1:8" x14ac:dyDescent="0.3">
      <c r="A18" s="1">
        <v>2022</v>
      </c>
      <c r="B18" s="2">
        <v>1</v>
      </c>
      <c r="C18" s="2">
        <v>34.361660418196422</v>
      </c>
      <c r="D18" s="2">
        <v>435.08294866944937</v>
      </c>
      <c r="E18" s="2">
        <v>58.535888262271065</v>
      </c>
      <c r="F18" s="2">
        <v>11891.92</v>
      </c>
      <c r="G18" s="2">
        <v>797.40857569766229</v>
      </c>
      <c r="H18" s="2">
        <v>283.56626221904077</v>
      </c>
    </row>
    <row r="19" spans="1:8" x14ac:dyDescent="0.3">
      <c r="A19" s="1">
        <v>2022</v>
      </c>
      <c r="B19" s="2">
        <v>2</v>
      </c>
      <c r="C19" s="2">
        <v>73.313385768168487</v>
      </c>
      <c r="D19" s="2">
        <v>159.43594143542234</v>
      </c>
      <c r="E19" s="2">
        <v>59.8880417113226</v>
      </c>
      <c r="F19" s="2">
        <v>23982.69</v>
      </c>
      <c r="G19" s="2">
        <v>434.62501309662082</v>
      </c>
      <c r="H19" s="2">
        <v>273.37162165941032</v>
      </c>
    </row>
    <row r="20" spans="1:8" x14ac:dyDescent="0.3">
      <c r="A20" s="1">
        <v>2022</v>
      </c>
      <c r="B20" s="2">
        <v>3</v>
      </c>
      <c r="C20" s="2">
        <v>162.87702368662568</v>
      </c>
      <c r="D20" s="2">
        <v>109.26110470047009</v>
      </c>
      <c r="E20" s="2">
        <v>60.0599784985233</v>
      </c>
      <c r="F20" s="2">
        <v>32331.61</v>
      </c>
      <c r="G20" s="2">
        <v>99.726154669177163</v>
      </c>
      <c r="H20" s="2">
        <v>259.25891889134141</v>
      </c>
    </row>
    <row r="21" spans="1:8" x14ac:dyDescent="0.3">
      <c r="A21" s="1">
        <v>2022</v>
      </c>
      <c r="B21" s="2">
        <v>4</v>
      </c>
      <c r="C21" s="2">
        <v>85.200849304212895</v>
      </c>
      <c r="D21" s="2">
        <v>63.541044175960891</v>
      </c>
      <c r="E21" s="2">
        <v>59.16403965782694</v>
      </c>
      <c r="F21" s="2">
        <v>18931.97</v>
      </c>
      <c r="G21" s="2">
        <v>46.70964432231537</v>
      </c>
      <c r="H21" s="2">
        <v>242.06826611938439</v>
      </c>
    </row>
    <row r="22" spans="1:8" x14ac:dyDescent="0.3">
      <c r="A22" s="1">
        <v>2023</v>
      </c>
      <c r="B22" s="2">
        <v>1</v>
      </c>
      <c r="C22" s="2">
        <v>58.073974580275191</v>
      </c>
      <c r="D22" s="2">
        <v>69.008056867711119</v>
      </c>
      <c r="E22" s="2">
        <v>57.343316927063505</v>
      </c>
      <c r="F22" s="2">
        <v>17249.14</v>
      </c>
      <c r="G22" s="2">
        <v>45.049243519969863</v>
      </c>
      <c r="H22" s="2">
        <v>222.54006757045076</v>
      </c>
    </row>
    <row r="23" spans="1:8" x14ac:dyDescent="0.3">
      <c r="A23" s="1">
        <v>2023</v>
      </c>
      <c r="B23" s="2">
        <v>2</v>
      </c>
      <c r="C23" s="2">
        <v>106.6685099483102</v>
      </c>
      <c r="D23" s="2">
        <v>45.496635888045404</v>
      </c>
      <c r="E23" s="2">
        <v>54.743637671886809</v>
      </c>
      <c r="F23" s="2">
        <v>28829.43</v>
      </c>
      <c r="G23" s="2">
        <v>20.209325976360446</v>
      </c>
      <c r="H23" s="2">
        <v>201.29262833282883</v>
      </c>
    </row>
    <row r="24" spans="1:8" x14ac:dyDescent="0.3">
      <c r="A24" s="1">
        <v>2023</v>
      </c>
      <c r="B24" s="2">
        <v>3</v>
      </c>
      <c r="C24" s="2">
        <v>217.42850844727272</v>
      </c>
      <c r="D24" s="2">
        <v>33.49243713195775</v>
      </c>
      <c r="E24" s="2">
        <v>51.518119720413573</v>
      </c>
      <c r="F24" s="2">
        <v>38673.81</v>
      </c>
      <c r="G24" s="2">
        <v>19.61609706414249</v>
      </c>
      <c r="H24" s="2">
        <v>178.83332172977538</v>
      </c>
    </row>
    <row r="25" spans="1:8" x14ac:dyDescent="0.3">
      <c r="A25" s="1">
        <v>2023</v>
      </c>
      <c r="B25" s="2">
        <v>4</v>
      </c>
      <c r="C25" s="2">
        <v>125.63515962904563</v>
      </c>
      <c r="D25" s="2">
        <v>47.457637635113812</v>
      </c>
      <c r="E25" s="2">
        <v>47.814101524645615</v>
      </c>
      <c r="F25" s="2">
        <v>24037.040000000001</v>
      </c>
      <c r="G25" s="2">
        <v>26.965339581670577</v>
      </c>
      <c r="H25" s="2">
        <v>155.55634402057436</v>
      </c>
    </row>
    <row r="26" spans="1:8" x14ac:dyDescent="0.3">
      <c r="A26" s="1">
        <v>2024</v>
      </c>
      <c r="B26" s="2">
        <v>1</v>
      </c>
      <c r="C26" s="2">
        <v>71.197722513608397</v>
      </c>
      <c r="D26" s="2">
        <v>22.598329162389863</v>
      </c>
      <c r="E26" s="2">
        <v>43.767655484966973</v>
      </c>
      <c r="F26" s="2">
        <v>21923.97</v>
      </c>
      <c r="G26" s="2">
        <v>27.101814931063252</v>
      </c>
      <c r="H26" s="2">
        <v>131.75638069909374</v>
      </c>
    </row>
    <row r="27" spans="1:8" x14ac:dyDescent="0.3">
      <c r="A27" s="1">
        <v>2024</v>
      </c>
      <c r="B27" s="2">
        <v>2</v>
      </c>
      <c r="C27" s="2">
        <v>149.00558764189381</v>
      </c>
      <c r="D27" s="2">
        <v>39.690324458548702</v>
      </c>
      <c r="E27" s="2">
        <v>39.514631211830725</v>
      </c>
      <c r="F27" s="2">
        <v>33531.79</v>
      </c>
      <c r="G27" s="2">
        <v>16.310971115280459</v>
      </c>
      <c r="H27" s="2">
        <v>107.64774788142716</v>
      </c>
    </row>
    <row r="28" spans="1:8" x14ac:dyDescent="0.3">
      <c r="A28" s="1">
        <v>2024</v>
      </c>
      <c r="B28" s="2">
        <v>3</v>
      </c>
      <c r="C28" s="2">
        <v>214.07420469631339</v>
      </c>
      <c r="D28" s="2">
        <v>-1.5427157068378494</v>
      </c>
      <c r="E28" s="2">
        <v>35.177647486738344</v>
      </c>
      <c r="F28" s="2">
        <v>43490.759999999995</v>
      </c>
      <c r="G28" s="2">
        <v>12.455328295815683</v>
      </c>
      <c r="H28" s="2">
        <v>83.379352580063298</v>
      </c>
    </row>
    <row r="29" spans="1:8" x14ac:dyDescent="0.3">
      <c r="A29" s="1">
        <v>2024</v>
      </c>
      <c r="B29" s="2">
        <v>4</v>
      </c>
      <c r="C29" s="2">
        <v>126.789349010828</v>
      </c>
      <c r="D29" s="2">
        <v>0.91868342046148577</v>
      </c>
      <c r="E29" s="2">
        <v>30.879432899470512</v>
      </c>
      <c r="F29" s="2">
        <v>27196.710000000003</v>
      </c>
      <c r="G29" s="2">
        <v>13.145004542988659</v>
      </c>
      <c r="H29" s="2">
        <v>59.043016322011972</v>
      </c>
    </row>
    <row r="30" spans="1:8" x14ac:dyDescent="0.3">
      <c r="A30" s="1">
        <v>2025</v>
      </c>
      <c r="B30" s="2">
        <v>1</v>
      </c>
      <c r="C30" s="2">
        <v>67.8474216531108</v>
      </c>
      <c r="D30" s="2">
        <v>-4.7056292564094822</v>
      </c>
      <c r="E30" s="2">
        <v>26.719765812811914</v>
      </c>
      <c r="F30" s="2">
        <v>23506.120000000003</v>
      </c>
      <c r="G30" s="2">
        <v>7.2165305827366133</v>
      </c>
      <c r="H30" s="2">
        <v>34.686233119105339</v>
      </c>
    </row>
    <row r="31" spans="1:8" x14ac:dyDescent="0.3">
      <c r="A31" s="1">
        <v>2025</v>
      </c>
      <c r="B31" s="2">
        <v>2</v>
      </c>
      <c r="C31" s="2">
        <v>97.168319924456398</v>
      </c>
      <c r="D31" s="2">
        <v>-34.788807948610824</v>
      </c>
      <c r="E31" s="2">
        <v>22.77969912112286</v>
      </c>
      <c r="F31" s="2">
        <v>36115.449999999997</v>
      </c>
      <c r="G31" s="2">
        <v>7.705106109754345</v>
      </c>
      <c r="H31" s="2">
        <v>10.327810725813666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B33" s="2"/>
      <c r="C33" s="2"/>
      <c r="D33" s="2"/>
      <c r="E33" s="2"/>
      <c r="F33" s="2"/>
      <c r="G33" s="2"/>
      <c r="H33" s="2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abSelected="1" topLeftCell="A22" workbookViewId="0">
      <selection activeCell="C43" sqref="C43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3" width="16.28515625" style="1" customWidth="1"/>
    <col min="4" max="4" width="17.5703125" style="1" customWidth="1"/>
    <col min="5" max="5" width="15.28515625" style="1" customWidth="1"/>
    <col min="6" max="6" width="11.140625" style="1" bestFit="1" customWidth="1"/>
    <col min="7" max="7" width="18.28515625" style="1" bestFit="1" customWidth="1"/>
    <col min="8" max="8" width="18" style="1" bestFit="1" customWidth="1"/>
    <col min="9" max="16384" width="11.42578125" style="1"/>
  </cols>
  <sheetData>
    <row r="1" spans="1:8" s="3" customFormat="1" ht="54" x14ac:dyDescent="0.25">
      <c r="A1" s="3" t="s">
        <v>2</v>
      </c>
      <c r="B1" s="3" t="s">
        <v>0</v>
      </c>
      <c r="C1" s="3" t="s">
        <v>63</v>
      </c>
      <c r="D1" s="3" t="s">
        <v>64</v>
      </c>
      <c r="E1" s="3" t="s">
        <v>65</v>
      </c>
      <c r="F1" s="3" t="s">
        <v>66</v>
      </c>
      <c r="G1" s="3" t="s">
        <v>67</v>
      </c>
      <c r="H1" s="3" t="s">
        <v>68</v>
      </c>
    </row>
    <row r="2" spans="1:8" x14ac:dyDescent="0.3">
      <c r="A2" s="1">
        <v>2018</v>
      </c>
      <c r="B2" s="1">
        <v>1</v>
      </c>
      <c r="C2" s="4">
        <v>41106</v>
      </c>
      <c r="D2" s="4">
        <v>-13.5556864064603</v>
      </c>
      <c r="E2" s="4">
        <v>1.7717375720789617</v>
      </c>
      <c r="F2" s="4">
        <v>13717834</v>
      </c>
      <c r="G2" s="4">
        <v>6.0207827362256383</v>
      </c>
      <c r="H2" s="4">
        <v>38.379558733008054</v>
      </c>
    </row>
    <row r="3" spans="1:8" x14ac:dyDescent="0.3">
      <c r="A3" s="1">
        <v>2018</v>
      </c>
      <c r="B3" s="1">
        <v>2</v>
      </c>
      <c r="C3" s="4">
        <v>106743</v>
      </c>
      <c r="D3" s="4">
        <v>9.0895154779302878</v>
      </c>
      <c r="E3" s="4">
        <v>2.7950396803988915</v>
      </c>
      <c r="F3" s="4">
        <v>23420732</v>
      </c>
      <c r="G3" s="4">
        <v>-0.40603894750588232</v>
      </c>
      <c r="H3" s="4">
        <v>46.820210279875006</v>
      </c>
    </row>
    <row r="4" spans="1:8" x14ac:dyDescent="0.3">
      <c r="A4" s="1">
        <v>2018</v>
      </c>
      <c r="B4" s="1">
        <v>3</v>
      </c>
      <c r="C4" s="4">
        <v>180029</v>
      </c>
      <c r="D4" s="4">
        <v>-13.820900809474345</v>
      </c>
      <c r="E4" s="4">
        <v>4.1437705657370687</v>
      </c>
      <c r="F4" s="4">
        <v>29128315</v>
      </c>
      <c r="G4" s="4">
        <v>-2.1503905493510223</v>
      </c>
      <c r="H4" s="4">
        <v>56.301534513872376</v>
      </c>
    </row>
    <row r="5" spans="1:8" x14ac:dyDescent="0.3">
      <c r="A5" s="1">
        <v>2018</v>
      </c>
      <c r="B5" s="1">
        <v>4</v>
      </c>
      <c r="C5" s="4">
        <v>53301</v>
      </c>
      <c r="D5" s="4">
        <v>-11.443951552609278</v>
      </c>
      <c r="E5" s="4">
        <v>5.8500783724900876</v>
      </c>
      <c r="F5" s="4">
        <v>16541531</v>
      </c>
      <c r="G5" s="4">
        <v>5.7302201158246024</v>
      </c>
      <c r="H5" s="4">
        <v>66.816213804823533</v>
      </c>
    </row>
    <row r="6" spans="1:8" x14ac:dyDescent="0.3">
      <c r="A6" s="1">
        <v>2019</v>
      </c>
      <c r="B6" s="1">
        <v>1</v>
      </c>
      <c r="C6" s="4">
        <v>44018</v>
      </c>
      <c r="D6" s="4">
        <v>7.0841239721695093</v>
      </c>
      <c r="E6" s="4">
        <v>7.9348833254450346</v>
      </c>
      <c r="F6" s="4">
        <v>14225722</v>
      </c>
      <c r="G6" s="4">
        <v>3.7023920831816381</v>
      </c>
      <c r="H6" s="4">
        <v>78.320398069387338</v>
      </c>
    </row>
    <row r="7" spans="1:8" x14ac:dyDescent="0.3">
      <c r="A7" s="1">
        <v>2019</v>
      </c>
      <c r="B7" s="1">
        <v>2</v>
      </c>
      <c r="C7" s="4">
        <v>87028</v>
      </c>
      <c r="D7" s="4">
        <v>-18.469595195937906</v>
      </c>
      <c r="E7" s="4">
        <v>10.408296880685809</v>
      </c>
      <c r="F7" s="4">
        <v>23899130</v>
      </c>
      <c r="G7" s="4">
        <v>2.0426261655698941</v>
      </c>
      <c r="H7" s="4">
        <v>90.732058478167048</v>
      </c>
    </row>
    <row r="8" spans="1:8" x14ac:dyDescent="0.3">
      <c r="A8" s="1">
        <v>2019</v>
      </c>
      <c r="B8" s="1">
        <v>3</v>
      </c>
      <c r="C8" s="4">
        <v>195932</v>
      </c>
      <c r="D8" s="4">
        <v>8.8335768126246208</v>
      </c>
      <c r="E8" s="4">
        <v>13.279898769700511</v>
      </c>
      <c r="F8" s="4">
        <v>28836788</v>
      </c>
      <c r="G8" s="4">
        <v>-1.0008371579337871</v>
      </c>
      <c r="H8" s="4">
        <v>103.92252994802455</v>
      </c>
    </row>
    <row r="9" spans="1:8" x14ac:dyDescent="0.3">
      <c r="A9" s="1">
        <v>2019</v>
      </c>
      <c r="B9" s="1">
        <v>4</v>
      </c>
      <c r="C9" s="4">
        <v>65539</v>
      </c>
      <c r="D9" s="4">
        <v>22.960169602821701</v>
      </c>
      <c r="E9" s="4">
        <v>16.541220041429355</v>
      </c>
      <c r="F9" s="4">
        <v>16547511</v>
      </c>
      <c r="G9" s="4">
        <v>3.6151429997621776E-2</v>
      </c>
      <c r="H9" s="4">
        <v>117.70771650062633</v>
      </c>
    </row>
    <row r="10" spans="1:8" x14ac:dyDescent="0.3">
      <c r="A10" s="1">
        <v>2020</v>
      </c>
      <c r="B10" s="1">
        <v>1</v>
      </c>
      <c r="C10" s="4">
        <v>19505.209346095799</v>
      </c>
      <c r="D10" s="4">
        <v>-55.688106351729296</v>
      </c>
      <c r="E10" s="4">
        <v>20.181012793589382</v>
      </c>
      <c r="F10" s="4">
        <v>10557630</v>
      </c>
      <c r="G10" s="4">
        <v>-25.78492676856753</v>
      </c>
      <c r="H10" s="4">
        <v>131.8379450531977</v>
      </c>
    </row>
    <row r="11" spans="1:8" x14ac:dyDescent="0.3">
      <c r="A11" s="1">
        <v>2020</v>
      </c>
      <c r="B11" s="1">
        <v>2</v>
      </c>
      <c r="C11" s="4">
        <v>0</v>
      </c>
      <c r="D11" s="4">
        <v>0</v>
      </c>
      <c r="E11" s="4">
        <v>24.192040967373504</v>
      </c>
      <c r="F11" s="4">
        <v>204272</v>
      </c>
      <c r="G11" s="4">
        <v>-99.145274325885495</v>
      </c>
      <c r="H11" s="4">
        <v>145.98999779479479</v>
      </c>
    </row>
    <row r="12" spans="1:8" x14ac:dyDescent="0.3">
      <c r="A12" s="1">
        <v>2020</v>
      </c>
      <c r="B12" s="1">
        <v>3</v>
      </c>
      <c r="C12" s="4">
        <v>67392</v>
      </c>
      <c r="D12" s="4">
        <v>-65.604393360961964</v>
      </c>
      <c r="E12" s="4">
        <v>28.519650304508811</v>
      </c>
      <c r="F12" s="4">
        <v>6044625</v>
      </c>
      <c r="G12" s="4">
        <v>-79.038494162387295</v>
      </c>
      <c r="H12" s="4">
        <v>159.74214261958514</v>
      </c>
    </row>
    <row r="13" spans="1:8" x14ac:dyDescent="0.3">
      <c r="A13" s="1">
        <v>2020</v>
      </c>
      <c r="B13" s="1">
        <v>4</v>
      </c>
      <c r="C13" s="4">
        <v>17313</v>
      </c>
      <c r="D13" s="4">
        <v>-73.583667739819035</v>
      </c>
      <c r="E13" s="4">
        <v>33.094066521117789</v>
      </c>
      <c r="F13" s="4">
        <v>2126576</v>
      </c>
      <c r="G13" s="4">
        <v>-87.148665439775201</v>
      </c>
      <c r="H13" s="4">
        <v>172.51943787666087</v>
      </c>
    </row>
    <row r="14" spans="1:8" x14ac:dyDescent="0.3">
      <c r="A14" s="1">
        <v>2021</v>
      </c>
      <c r="B14" s="1">
        <v>1</v>
      </c>
      <c r="C14" s="4">
        <v>5548.6834651546005</v>
      </c>
      <c r="D14" s="4">
        <v>-71.552812550226562</v>
      </c>
      <c r="E14" s="4">
        <v>37.786687806031999</v>
      </c>
      <c r="F14" s="4">
        <v>1214374</v>
      </c>
      <c r="G14" s="4">
        <v>-88.497664722101462</v>
      </c>
      <c r="H14" s="4">
        <v>183.59770401712541</v>
      </c>
    </row>
    <row r="15" spans="1:8" x14ac:dyDescent="0.3">
      <c r="A15" s="1">
        <v>2021</v>
      </c>
      <c r="B15" s="1">
        <v>2</v>
      </c>
      <c r="C15" s="4">
        <v>24865</v>
      </c>
      <c r="D15" s="4">
        <v>0</v>
      </c>
      <c r="E15" s="4">
        <v>42.402238764169915</v>
      </c>
      <c r="F15" s="4">
        <v>4208726</v>
      </c>
      <c r="G15" s="4">
        <v>1960.3538419362419</v>
      </c>
      <c r="H15" s="4">
        <v>192.09046892750936</v>
      </c>
    </row>
    <row r="16" spans="1:8" x14ac:dyDescent="0.3">
      <c r="A16" s="1">
        <v>2021</v>
      </c>
      <c r="B16" s="1">
        <v>3</v>
      </c>
      <c r="C16" s="4">
        <v>83119</v>
      </c>
      <c r="D16" s="4">
        <v>23.336597815764492</v>
      </c>
      <c r="E16" s="4">
        <v>46.677106812727359</v>
      </c>
      <c r="F16" s="4">
        <v>14299445</v>
      </c>
      <c r="G16" s="4">
        <v>136.56463386893316</v>
      </c>
      <c r="H16" s="4">
        <v>196.94120088888135</v>
      </c>
    </row>
    <row r="17" spans="1:8" x14ac:dyDescent="0.3">
      <c r="A17" s="1">
        <v>2021</v>
      </c>
      <c r="B17" s="1">
        <v>4</v>
      </c>
      <c r="C17" s="4">
        <v>46428</v>
      </c>
      <c r="D17" s="4">
        <v>168.16842834863976</v>
      </c>
      <c r="E17" s="4">
        <v>50.321177969672547</v>
      </c>
      <c r="F17" s="4">
        <v>11458258</v>
      </c>
      <c r="G17" s="4">
        <v>438.81253244652436</v>
      </c>
      <c r="H17" s="4">
        <v>198.19853279044042</v>
      </c>
    </row>
    <row r="18" spans="1:8" x14ac:dyDescent="0.3">
      <c r="A18" s="1">
        <v>2022</v>
      </c>
      <c r="B18" s="1">
        <v>1</v>
      </c>
      <c r="C18" s="4">
        <v>31131</v>
      </c>
      <c r="D18" s="4">
        <v>461.05200802137682</v>
      </c>
      <c r="E18" s="4">
        <v>53.029750434850584</v>
      </c>
      <c r="F18" s="4">
        <v>9720263</v>
      </c>
      <c r="G18" s="4">
        <v>700.43405079489514</v>
      </c>
      <c r="H18" s="4">
        <v>195.87336216699822</v>
      </c>
    </row>
    <row r="19" spans="1:8" x14ac:dyDescent="0.3">
      <c r="A19" s="1">
        <v>2022</v>
      </c>
      <c r="B19" s="1">
        <v>2</v>
      </c>
      <c r="C19" s="4">
        <v>75390</v>
      </c>
      <c r="D19" s="4">
        <v>203.19726523225418</v>
      </c>
      <c r="E19" s="4">
        <v>54.571776939593434</v>
      </c>
      <c r="F19" s="4">
        <v>20592825</v>
      </c>
      <c r="G19" s="4">
        <v>389.28880140926259</v>
      </c>
      <c r="H19" s="4">
        <v>190.12697030315144</v>
      </c>
    </row>
    <row r="20" spans="1:8" x14ac:dyDescent="0.3">
      <c r="A20" s="1">
        <v>2022</v>
      </c>
      <c r="B20" s="1">
        <v>3</v>
      </c>
      <c r="C20" s="4">
        <v>154391</v>
      </c>
      <c r="D20" s="4">
        <v>85.746941132593022</v>
      </c>
      <c r="E20" s="4">
        <v>54.971224126224641</v>
      </c>
      <c r="F20" s="4">
        <v>25707266</v>
      </c>
      <c r="G20" s="4">
        <v>79.778068309644183</v>
      </c>
      <c r="H20" s="4">
        <v>181.43598891388919</v>
      </c>
    </row>
    <row r="21" spans="1:8" x14ac:dyDescent="0.3">
      <c r="A21" s="1">
        <v>2022</v>
      </c>
      <c r="B21" s="1">
        <v>4</v>
      </c>
      <c r="C21" s="4">
        <v>62785</v>
      </c>
      <c r="D21" s="4">
        <v>35.230895149478769</v>
      </c>
      <c r="E21" s="4">
        <v>54.344949567250652</v>
      </c>
      <c r="F21" s="4">
        <v>15638928</v>
      </c>
      <c r="G21" s="4">
        <v>36.486087152165702</v>
      </c>
      <c r="H21" s="4">
        <v>170.40152585864195</v>
      </c>
    </row>
    <row r="22" spans="1:8" x14ac:dyDescent="0.3">
      <c r="A22" s="1">
        <v>2023</v>
      </c>
      <c r="B22" s="1">
        <v>1</v>
      </c>
      <c r="C22" s="4">
        <v>57443.522755329803</v>
      </c>
      <c r="D22" s="4">
        <v>84.521932335388541</v>
      </c>
      <c r="E22" s="4">
        <v>52.829045658306896</v>
      </c>
      <c r="F22" s="4">
        <v>13703001</v>
      </c>
      <c r="G22" s="4">
        <v>40.973562135098618</v>
      </c>
      <c r="H22" s="4">
        <v>157.56115279646244</v>
      </c>
    </row>
    <row r="23" spans="1:8" x14ac:dyDescent="0.3">
      <c r="A23" s="1">
        <v>2023</v>
      </c>
      <c r="B23" s="1">
        <v>2</v>
      </c>
      <c r="C23" s="4">
        <v>107210.5339906578</v>
      </c>
      <c r="D23" s="4">
        <v>42.207897586759245</v>
      </c>
      <c r="E23" s="4">
        <v>50.547658511017708</v>
      </c>
      <c r="F23" s="4">
        <v>23835938</v>
      </c>
      <c r="G23" s="4">
        <v>15.748752296006007</v>
      </c>
      <c r="H23" s="4">
        <v>143.36874423721187</v>
      </c>
    </row>
    <row r="24" spans="1:8" x14ac:dyDescent="0.3">
      <c r="A24" s="1">
        <v>2023</v>
      </c>
      <c r="B24" s="1">
        <v>3</v>
      </c>
      <c r="C24" s="4">
        <v>202121.64731923791</v>
      </c>
      <c r="D24" s="4">
        <v>30.915433748882968</v>
      </c>
      <c r="E24" s="4">
        <v>47.644742291180613</v>
      </c>
      <c r="F24" s="4">
        <v>29098504</v>
      </c>
      <c r="G24" s="4">
        <v>13.191748978673967</v>
      </c>
      <c r="H24" s="4">
        <v>128.20530744658808</v>
      </c>
    </row>
    <row r="25" spans="1:8" x14ac:dyDescent="0.3">
      <c r="A25" s="1">
        <v>2023</v>
      </c>
      <c r="B25" s="1">
        <v>4</v>
      </c>
      <c r="C25" s="4">
        <v>67334.354247006209</v>
      </c>
      <c r="D25" s="4">
        <v>7.2459253754976638</v>
      </c>
      <c r="E25" s="4">
        <v>44.259038814015462</v>
      </c>
      <c r="F25" s="4">
        <v>18531605</v>
      </c>
      <c r="G25" s="4">
        <v>18.496645038585768</v>
      </c>
      <c r="H25" s="4">
        <v>112.37208719532565</v>
      </c>
    </row>
    <row r="26" spans="1:8" x14ac:dyDescent="0.3">
      <c r="A26" s="1">
        <v>2024</v>
      </c>
      <c r="B26" s="1">
        <v>1</v>
      </c>
      <c r="C26" s="4">
        <v>54221.959873424596</v>
      </c>
      <c r="D26" s="4">
        <v>-5.6082265282142663</v>
      </c>
      <c r="E26" s="4">
        <v>40.518834076903175</v>
      </c>
      <c r="F26" s="4">
        <v>16139517</v>
      </c>
      <c r="G26" s="4">
        <v>17.78089339700113</v>
      </c>
      <c r="H26" s="4">
        <v>96.098444780116736</v>
      </c>
    </row>
    <row r="27" spans="1:8" x14ac:dyDescent="0.3">
      <c r="A27" s="1">
        <v>2024</v>
      </c>
      <c r="B27" s="1">
        <v>2</v>
      </c>
      <c r="C27" s="4">
        <v>126423.88040502541</v>
      </c>
      <c r="D27" s="4">
        <v>17.921136756992407</v>
      </c>
      <c r="E27" s="4">
        <v>36.529280881325597</v>
      </c>
      <c r="F27" s="4">
        <v>26339309</v>
      </c>
      <c r="G27" s="4">
        <v>10.502506761009368</v>
      </c>
      <c r="H27" s="4">
        <v>79.55506934630553</v>
      </c>
    </row>
    <row r="28" spans="1:8" x14ac:dyDescent="0.3">
      <c r="A28" s="1">
        <v>2024</v>
      </c>
      <c r="B28" s="1">
        <v>3</v>
      </c>
      <c r="C28" s="4">
        <v>213327.86064779223</v>
      </c>
      <c r="D28" s="4">
        <v>5.5442915081999278</v>
      </c>
      <c r="E28" s="4">
        <v>32.366702615886382</v>
      </c>
      <c r="F28" s="4">
        <v>31383946</v>
      </c>
      <c r="G28" s="4">
        <v>7.8541563511306256</v>
      </c>
      <c r="H28" s="4">
        <v>62.863701569621782</v>
      </c>
    </row>
    <row r="29" spans="1:8" x14ac:dyDescent="0.3">
      <c r="A29" s="1">
        <v>2024</v>
      </c>
      <c r="B29" s="1">
        <v>4</v>
      </c>
      <c r="C29" s="4">
        <v>73807.549279918196</v>
      </c>
      <c r="D29" s="4">
        <v>9.6135102286212248</v>
      </c>
      <c r="E29" s="4">
        <v>28.095792579111471</v>
      </c>
      <c r="F29" s="4">
        <v>19896526</v>
      </c>
      <c r="G29" s="4">
        <v>7.3653685150314896</v>
      </c>
      <c r="H29" s="4">
        <v>46.102924274179458</v>
      </c>
    </row>
    <row r="30" spans="1:8" x14ac:dyDescent="0.3">
      <c r="A30" s="1">
        <v>2025</v>
      </c>
      <c r="B30" s="1">
        <v>1</v>
      </c>
      <c r="C30" s="4">
        <v>56390.447490258703</v>
      </c>
      <c r="D30" s="4">
        <v>3.9992792991920822</v>
      </c>
      <c r="E30" s="4">
        <v>23.764480062584514</v>
      </c>
      <c r="F30" s="4">
        <v>17055977</v>
      </c>
      <c r="G30" s="4">
        <v>5.6783607588752449</v>
      </c>
      <c r="H30" s="4">
        <v>29.316939318330949</v>
      </c>
    </row>
    <row r="31" spans="1:8" x14ac:dyDescent="0.3">
      <c r="A31" s="1">
        <v>2025</v>
      </c>
      <c r="B31" s="1">
        <v>2</v>
      </c>
      <c r="C31" s="4">
        <v>102365.1119290333</v>
      </c>
      <c r="D31" s="4">
        <v>-19.030240488517514</v>
      </c>
      <c r="E31" s="4">
        <v>19.409142931420096</v>
      </c>
      <c r="F31" s="4">
        <v>27440002</v>
      </c>
      <c r="G31" s="4">
        <v>4.1788985428585113</v>
      </c>
      <c r="H31" s="4">
        <v>12.525737588079176</v>
      </c>
    </row>
    <row r="32" spans="1:8" x14ac:dyDescent="0.3">
      <c r="C32" s="4"/>
      <c r="D32" s="4"/>
      <c r="E32" s="4"/>
      <c r="F32" s="4"/>
      <c r="G32" s="4"/>
      <c r="H32" s="4"/>
    </row>
    <row r="33" spans="1:8" x14ac:dyDescent="0.3">
      <c r="C33" s="4"/>
      <c r="D33" s="4"/>
      <c r="E33" s="4"/>
      <c r="F33" s="4"/>
      <c r="G33" s="4"/>
      <c r="H33" s="4"/>
    </row>
    <row r="34" spans="1:8" x14ac:dyDescent="0.3">
      <c r="A34" s="1" t="str">
        <f t="shared" ref="A34:A54" si="0">IF(C34="","",A33)</f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19" workbookViewId="0">
      <selection activeCell="D26" sqref="D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2.28515625" style="1" customWidth="1"/>
    <col min="9" max="16384" width="11.42578125" style="1"/>
  </cols>
  <sheetData>
    <row r="1" spans="1:8" s="3" customFormat="1" ht="94.5" x14ac:dyDescent="0.25">
      <c r="A1" s="3" t="s">
        <v>2</v>
      </c>
      <c r="B1" s="3" t="s">
        <v>0</v>
      </c>
      <c r="C1" s="3" t="s">
        <v>69</v>
      </c>
      <c r="D1" s="3" t="s">
        <v>70</v>
      </c>
      <c r="E1" s="3" t="s">
        <v>71</v>
      </c>
      <c r="F1" s="3" t="s">
        <v>72</v>
      </c>
      <c r="G1" s="3" t="s">
        <v>73</v>
      </c>
      <c r="H1" s="3" t="s">
        <v>74</v>
      </c>
    </row>
    <row r="2" spans="1:8" x14ac:dyDescent="0.3">
      <c r="A2" s="1">
        <v>2018</v>
      </c>
      <c r="B2" s="2">
        <v>1</v>
      </c>
      <c r="C2" s="2">
        <v>1751024</v>
      </c>
      <c r="D2" s="2">
        <v>-7.1182218714228256</v>
      </c>
      <c r="E2" s="2">
        <v>6.5667699599487532</v>
      </c>
      <c r="F2" s="2">
        <v>125529721</v>
      </c>
      <c r="G2" s="2">
        <v>9.1727100979684728</v>
      </c>
      <c r="H2" s="2">
        <v>1.1263156894578825</v>
      </c>
    </row>
    <row r="3" spans="1:8" x14ac:dyDescent="0.3">
      <c r="A3" s="1">
        <v>2018</v>
      </c>
      <c r="B3" s="2">
        <v>2</v>
      </c>
      <c r="C3" s="2">
        <v>3473305</v>
      </c>
      <c r="D3" s="2">
        <v>-7.3458449474307912</v>
      </c>
      <c r="E3" s="2">
        <v>6.053003855567046</v>
      </c>
      <c r="F3" s="2">
        <v>156459570</v>
      </c>
      <c r="G3" s="2">
        <v>-0.42320698845422777</v>
      </c>
      <c r="H3" s="2">
        <v>1.2281163778424578</v>
      </c>
    </row>
    <row r="4" spans="1:8" x14ac:dyDescent="0.3">
      <c r="A4" s="1">
        <v>2018</v>
      </c>
      <c r="B4" s="2">
        <v>3</v>
      </c>
      <c r="C4" s="2">
        <v>10507477</v>
      </c>
      <c r="D4" s="2">
        <v>-11.876513963965362</v>
      </c>
      <c r="E4" s="2">
        <v>5.7742193697131654</v>
      </c>
      <c r="F4" s="2">
        <v>385672944</v>
      </c>
      <c r="G4" s="2">
        <v>-3.8516507337941319</v>
      </c>
      <c r="H4" s="2">
        <v>1.4359939779345277</v>
      </c>
    </row>
    <row r="5" spans="1:8" x14ac:dyDescent="0.3">
      <c r="A5" s="1">
        <v>2018</v>
      </c>
      <c r="B5" s="2">
        <v>4</v>
      </c>
      <c r="C5" s="2">
        <v>2135362</v>
      </c>
      <c r="D5" s="2">
        <v>-6.5687036778562469</v>
      </c>
      <c r="E5" s="2">
        <v>5.7595932305695827</v>
      </c>
      <c r="F5" s="2">
        <v>128477002</v>
      </c>
      <c r="G5" s="2">
        <v>-0.18786917919737522</v>
      </c>
      <c r="H5" s="2">
        <v>1.7682014040119602</v>
      </c>
    </row>
    <row r="6" spans="1:8" x14ac:dyDescent="0.3">
      <c r="A6" s="1">
        <v>2019</v>
      </c>
      <c r="B6" s="2">
        <v>1</v>
      </c>
      <c r="C6" s="2">
        <v>1829535</v>
      </c>
      <c r="D6" s="2">
        <v>4.4837192408556437</v>
      </c>
      <c r="E6" s="2">
        <v>6.0272704579852192</v>
      </c>
      <c r="F6" s="2">
        <v>129153915</v>
      </c>
      <c r="G6" s="2">
        <v>2.8871202541747021</v>
      </c>
      <c r="H6" s="2">
        <v>2.239686792407793</v>
      </c>
    </row>
    <row r="7" spans="1:8" x14ac:dyDescent="0.3">
      <c r="A7" s="1">
        <v>2019</v>
      </c>
      <c r="B7" s="2">
        <v>2</v>
      </c>
      <c r="C7" s="2">
        <v>3436493</v>
      </c>
      <c r="D7" s="2">
        <v>-1.0598550947872432</v>
      </c>
      <c r="E7" s="2">
        <v>6.58769088624123</v>
      </c>
      <c r="F7" s="2">
        <v>158627230</v>
      </c>
      <c r="G7" s="2">
        <v>1.3854441757701341</v>
      </c>
      <c r="H7" s="2">
        <v>2.8641757353405572</v>
      </c>
    </row>
    <row r="8" spans="1:8" x14ac:dyDescent="0.3">
      <c r="A8" s="1">
        <v>2019</v>
      </c>
      <c r="B8" s="2">
        <v>3</v>
      </c>
      <c r="C8" s="2">
        <v>9020221</v>
      </c>
      <c r="D8" s="2">
        <v>-14.154263673382294</v>
      </c>
      <c r="E8" s="2">
        <v>7.4503296301080644</v>
      </c>
      <c r="F8" s="2">
        <v>378888595</v>
      </c>
      <c r="G8" s="2">
        <v>-1.7590938398831524</v>
      </c>
      <c r="H8" s="2">
        <v>3.6557984709423885</v>
      </c>
    </row>
    <row r="9" spans="1:8" x14ac:dyDescent="0.3">
      <c r="A9" s="1">
        <v>2019</v>
      </c>
      <c r="B9" s="2">
        <v>4</v>
      </c>
      <c r="C9" s="2">
        <v>1873698</v>
      </c>
      <c r="D9" s="2">
        <v>-12.253847357028924</v>
      </c>
      <c r="E9" s="2">
        <v>8.6198820881180289</v>
      </c>
      <c r="F9" s="2">
        <v>127238397</v>
      </c>
      <c r="G9" s="2">
        <v>-0.96406748345513327</v>
      </c>
      <c r="H9" s="2">
        <v>4.6277610301206913</v>
      </c>
    </row>
    <row r="10" spans="1:8" x14ac:dyDescent="0.3">
      <c r="A10" s="1">
        <v>2020</v>
      </c>
      <c r="B10" s="2">
        <v>1</v>
      </c>
      <c r="C10" s="2">
        <v>1191753</v>
      </c>
      <c r="D10" s="2">
        <v>-34.860333363395611</v>
      </c>
      <c r="E10" s="2">
        <v>10.087540787988749</v>
      </c>
      <c r="F10" s="2">
        <v>100295749</v>
      </c>
      <c r="G10" s="2">
        <v>-22.344011793990138</v>
      </c>
      <c r="H10" s="2">
        <v>5.7898851360886043</v>
      </c>
    </row>
    <row r="11" spans="1:8" x14ac:dyDescent="0.3">
      <c r="A11" s="1">
        <v>2020</v>
      </c>
      <c r="B11" s="2">
        <v>2</v>
      </c>
      <c r="C11" s="2">
        <v>605612</v>
      </c>
      <c r="D11" s="2">
        <v>-82.377033795791235</v>
      </c>
      <c r="E11" s="2">
        <v>11.831452176534633</v>
      </c>
      <c r="F11" s="2">
        <v>37014146</v>
      </c>
      <c r="G11" s="2">
        <v>-76.665957036506285</v>
      </c>
      <c r="H11" s="2">
        <v>7.148497619238281</v>
      </c>
    </row>
    <row r="12" spans="1:8" x14ac:dyDescent="0.3">
      <c r="A12" s="1">
        <v>2020</v>
      </c>
      <c r="B12" s="2">
        <v>3</v>
      </c>
      <c r="C12" s="2">
        <v>9300005</v>
      </c>
      <c r="D12" s="2">
        <v>3.1017421856958993</v>
      </c>
      <c r="E12" s="2">
        <v>13.801670279225473</v>
      </c>
      <c r="F12" s="2">
        <v>293170232</v>
      </c>
      <c r="G12" s="2">
        <v>-22.623632416277928</v>
      </c>
      <c r="H12" s="2">
        <v>8.6923416243805747</v>
      </c>
    </row>
    <row r="13" spans="1:8" x14ac:dyDescent="0.3">
      <c r="A13" s="1">
        <v>2020</v>
      </c>
      <c r="B13" s="2">
        <v>4</v>
      </c>
      <c r="C13" s="2">
        <v>630824</v>
      </c>
      <c r="D13" s="2">
        <v>-66.332674742674641</v>
      </c>
      <c r="E13" s="2">
        <v>15.889368817798355</v>
      </c>
      <c r="F13" s="2">
        <v>62929097</v>
      </c>
      <c r="G13" s="2">
        <v>-50.54236890456896</v>
      </c>
      <c r="H13" s="2">
        <v>10.357776262166498</v>
      </c>
    </row>
    <row r="14" spans="1:8" x14ac:dyDescent="0.3">
      <c r="A14" s="1">
        <v>2021</v>
      </c>
      <c r="B14" s="2">
        <v>1</v>
      </c>
      <c r="C14" s="2">
        <v>736233</v>
      </c>
      <c r="D14" s="2">
        <v>-38.222685405448956</v>
      </c>
      <c r="E14" s="2">
        <v>17.979034058931905</v>
      </c>
      <c r="F14" s="2">
        <v>51693146</v>
      </c>
      <c r="G14" s="2">
        <v>-48.459285148765375</v>
      </c>
      <c r="H14" s="2">
        <v>12.061588159471649</v>
      </c>
    </row>
    <row r="15" spans="1:8" x14ac:dyDescent="0.3">
      <c r="A15" s="1">
        <v>2021</v>
      </c>
      <c r="B15" s="2">
        <v>2</v>
      </c>
      <c r="C15" s="2">
        <v>1960269</v>
      </c>
      <c r="D15" s="2">
        <v>223.6839758789456</v>
      </c>
      <c r="E15" s="2">
        <v>19.903763492079459</v>
      </c>
      <c r="F15" s="2">
        <v>96645786</v>
      </c>
      <c r="G15" s="2">
        <v>161.10500023423478</v>
      </c>
      <c r="H15" s="2">
        <v>13.682501352442419</v>
      </c>
    </row>
    <row r="16" spans="1:8" x14ac:dyDescent="0.3">
      <c r="A16" s="1">
        <v>2021</v>
      </c>
      <c r="B16" s="2">
        <v>3</v>
      </c>
      <c r="C16" s="2">
        <v>10012746</v>
      </c>
      <c r="D16" s="2">
        <v>7.663877600065816</v>
      </c>
      <c r="E16" s="2">
        <v>21.461528532029114</v>
      </c>
      <c r="F16" s="2">
        <v>359950312</v>
      </c>
      <c r="G16" s="2">
        <v>22.778601887520409</v>
      </c>
      <c r="H16" s="2">
        <v>15.061414331407549</v>
      </c>
    </row>
    <row r="17" spans="1:8" x14ac:dyDescent="0.3">
      <c r="A17" s="1">
        <v>2021</v>
      </c>
      <c r="B17" s="2">
        <v>4</v>
      </c>
      <c r="C17" s="2">
        <v>1953365</v>
      </c>
      <c r="D17" s="2">
        <v>209.65293013582234</v>
      </c>
      <c r="E17" s="2">
        <v>22.577663226310754</v>
      </c>
      <c r="F17" s="2">
        <v>117883145</v>
      </c>
      <c r="G17" s="2">
        <v>87.326929226395862</v>
      </c>
      <c r="H17" s="2">
        <v>16.131364648496902</v>
      </c>
    </row>
    <row r="18" spans="1:8" x14ac:dyDescent="0.3">
      <c r="A18" s="1">
        <v>2022</v>
      </c>
      <c r="B18" s="2">
        <v>1</v>
      </c>
      <c r="C18" s="2">
        <v>1257739</v>
      </c>
      <c r="D18" s="2">
        <v>70.834369010897376</v>
      </c>
      <c r="E18" s="2">
        <v>23.168878090621792</v>
      </c>
      <c r="F18" s="2">
        <v>102560633</v>
      </c>
      <c r="G18" s="2">
        <v>98.402768908667298</v>
      </c>
      <c r="H18" s="2">
        <v>16.830213098062909</v>
      </c>
    </row>
    <row r="19" spans="1:8" x14ac:dyDescent="0.3">
      <c r="A19" s="1">
        <v>2022</v>
      </c>
      <c r="B19" s="2">
        <v>2</v>
      </c>
      <c r="C19" s="2">
        <v>2606854</v>
      </c>
      <c r="D19" s="2">
        <v>32.984503657406194</v>
      </c>
      <c r="E19" s="2">
        <v>23.268805682478085</v>
      </c>
      <c r="F19" s="2">
        <v>149802200</v>
      </c>
      <c r="G19" s="2">
        <v>55.001274447703288</v>
      </c>
      <c r="H19" s="2">
        <v>17.140317702319198</v>
      </c>
    </row>
    <row r="20" spans="1:8" x14ac:dyDescent="0.3">
      <c r="A20" s="1">
        <v>2022</v>
      </c>
      <c r="B20" s="2">
        <v>3</v>
      </c>
      <c r="C20" s="2">
        <v>8981415</v>
      </c>
      <c r="D20" s="2">
        <v>-10.300181388801832</v>
      </c>
      <c r="E20" s="2">
        <v>22.940869491220667</v>
      </c>
      <c r="F20" s="2">
        <v>367155879</v>
      </c>
      <c r="G20" s="2">
        <v>2.0018226849043641</v>
      </c>
      <c r="H20" s="2">
        <v>17.095019330861017</v>
      </c>
    </row>
    <row r="21" spans="1:8" x14ac:dyDescent="0.3">
      <c r="A21" s="1">
        <v>2022</v>
      </c>
      <c r="B21" s="2">
        <v>4</v>
      </c>
      <c r="C21" s="2">
        <v>1866044</v>
      </c>
      <c r="D21" s="2">
        <v>-4.4702858912696763</v>
      </c>
      <c r="E21" s="2">
        <v>22.254565317424898</v>
      </c>
      <c r="F21" s="2">
        <v>126303148</v>
      </c>
      <c r="G21" s="2">
        <v>7.14266912373267</v>
      </c>
      <c r="H21" s="2">
        <v>16.751321951249484</v>
      </c>
    </row>
    <row r="22" spans="1:8" x14ac:dyDescent="0.3">
      <c r="A22" s="1">
        <v>2023</v>
      </c>
      <c r="B22" s="2">
        <v>1</v>
      </c>
      <c r="C22" s="2">
        <v>1205884</v>
      </c>
      <c r="D22" s="2">
        <v>-4.122874459645443</v>
      </c>
      <c r="E22" s="2">
        <v>21.258613304866131</v>
      </c>
      <c r="F22" s="2">
        <v>117734683</v>
      </c>
      <c r="G22" s="2">
        <v>14.795199245698875</v>
      </c>
      <c r="H22" s="2">
        <v>16.156796283141993</v>
      </c>
    </row>
    <row r="23" spans="1:8" x14ac:dyDescent="0.3">
      <c r="A23" s="1">
        <v>2023</v>
      </c>
      <c r="B23" s="2">
        <v>2</v>
      </c>
      <c r="C23" s="2">
        <v>3475980</v>
      </c>
      <c r="D23" s="2">
        <v>33.340033619067277</v>
      </c>
      <c r="E23" s="2">
        <v>19.985030565314279</v>
      </c>
      <c r="F23" s="2">
        <v>159467479</v>
      </c>
      <c r="G23" s="2">
        <v>6.4520274068071037</v>
      </c>
      <c r="H23" s="2">
        <v>15.353007638178742</v>
      </c>
    </row>
    <row r="24" spans="1:8" x14ac:dyDescent="0.3">
      <c r="A24" s="1">
        <v>2023</v>
      </c>
      <c r="B24" s="2">
        <v>3</v>
      </c>
      <c r="C24" s="2">
        <v>11020048</v>
      </c>
      <c r="D24" s="2">
        <v>22.698349870259872</v>
      </c>
      <c r="E24" s="2">
        <v>18.449970780686439</v>
      </c>
      <c r="F24" s="2">
        <v>383216515</v>
      </c>
      <c r="G24" s="2">
        <v>4.3743371463214498</v>
      </c>
      <c r="H24" s="2">
        <v>14.380670329851521</v>
      </c>
    </row>
    <row r="25" spans="1:8" x14ac:dyDescent="0.3">
      <c r="A25" s="1">
        <v>2023</v>
      </c>
      <c r="B25" s="2">
        <v>4</v>
      </c>
      <c r="C25" s="2">
        <v>2645231</v>
      </c>
      <c r="D25" s="2">
        <v>41.756089352662642</v>
      </c>
      <c r="E25" s="2">
        <v>16.677934509808303</v>
      </c>
      <c r="F25" s="2">
        <v>141664497</v>
      </c>
      <c r="G25" s="2">
        <v>12.162285139559614</v>
      </c>
      <c r="H25" s="2">
        <v>13.274935559007522</v>
      </c>
    </row>
    <row r="26" spans="1:8" x14ac:dyDescent="0.3">
      <c r="A26" s="1">
        <v>2024</v>
      </c>
      <c r="B26" s="2">
        <v>1</v>
      </c>
      <c r="C26" s="2">
        <v>1912311</v>
      </c>
      <c r="D26" s="2">
        <v>58.581671205522248</v>
      </c>
      <c r="E26" s="2">
        <v>14.696077548436548</v>
      </c>
      <c r="F26" s="2">
        <v>142177115</v>
      </c>
      <c r="G26" s="2">
        <v>20.760604587519893</v>
      </c>
      <c r="H26" s="2">
        <v>12.064700568254226</v>
      </c>
    </row>
    <row r="27" spans="1:8" x14ac:dyDescent="0.3">
      <c r="A27" s="1">
        <v>2024</v>
      </c>
      <c r="B27" s="2">
        <v>2</v>
      </c>
      <c r="C27" s="2">
        <v>2656633</v>
      </c>
      <c r="D27" s="2">
        <v>-23.571683381377341</v>
      </c>
      <c r="E27" s="2">
        <v>12.547229539104636</v>
      </c>
      <c r="F27" s="2">
        <v>147146989</v>
      </c>
      <c r="G27" s="2">
        <v>-7.7260204257696969</v>
      </c>
      <c r="H27" s="2">
        <v>10.77816719368696</v>
      </c>
    </row>
    <row r="28" spans="1:8" x14ac:dyDescent="0.3">
      <c r="A28" s="1">
        <v>2024</v>
      </c>
      <c r="B28" s="2">
        <v>3</v>
      </c>
      <c r="C28" s="2">
        <v>10339087</v>
      </c>
      <c r="D28" s="2">
        <v>-6.1792925039890978</v>
      </c>
      <c r="E28" s="2">
        <v>10.301648620381703</v>
      </c>
      <c r="F28" s="2">
        <v>393345364</v>
      </c>
      <c r="G28" s="2">
        <v>2.6431139065079101</v>
      </c>
      <c r="H28" s="2">
        <v>9.4489722114130892</v>
      </c>
    </row>
    <row r="29" spans="1:8" x14ac:dyDescent="0.3">
      <c r="A29" s="1">
        <v>2024</v>
      </c>
      <c r="B29" s="2">
        <v>4</v>
      </c>
      <c r="C29" s="2">
        <v>1967160</v>
      </c>
      <c r="D29" s="2">
        <v>-25.633715921218226</v>
      </c>
      <c r="E29" s="2">
        <v>8.0070186102615857</v>
      </c>
      <c r="F29" s="2">
        <v>128511406</v>
      </c>
      <c r="G29" s="2">
        <v>-9.2846770210887719</v>
      </c>
      <c r="H29" s="2">
        <v>8.0991872802778211</v>
      </c>
    </row>
    <row r="30" spans="1:8" x14ac:dyDescent="0.3">
      <c r="A30" s="1">
        <v>2025</v>
      </c>
      <c r="B30" s="2">
        <v>1</v>
      </c>
      <c r="C30" s="2">
        <v>1377270</v>
      </c>
      <c r="D30" s="2">
        <v>-27.978764960301959</v>
      </c>
      <c r="E30" s="2">
        <v>5.7007227385353865</v>
      </c>
      <c r="F30" s="2">
        <v>126440795</v>
      </c>
      <c r="G30" s="2">
        <v>-11.068110363612316</v>
      </c>
      <c r="H30" s="2">
        <v>6.746630397685796</v>
      </c>
    </row>
    <row r="31" spans="1:8" x14ac:dyDescent="0.3">
      <c r="A31" s="1">
        <v>2025</v>
      </c>
      <c r="B31" s="2">
        <v>2</v>
      </c>
      <c r="C31" s="2">
        <v>2946370</v>
      </c>
      <c r="D31" s="2">
        <v>10.906173340465175</v>
      </c>
      <c r="E31" s="2">
        <v>3.3991187759120334</v>
      </c>
      <c r="F31" s="2">
        <v>164934211</v>
      </c>
      <c r="G31" s="2">
        <v>12.088063861096066</v>
      </c>
      <c r="H31" s="2">
        <v>5.3982546458532967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C27" sqref="C27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3.7109375" style="1" customWidth="1"/>
    <col min="9" max="16384" width="11.42578125" style="1"/>
  </cols>
  <sheetData>
    <row r="1" spans="1:8" s="3" customFormat="1" ht="67.5" x14ac:dyDescent="0.25">
      <c r="A1" s="3" t="s">
        <v>2</v>
      </c>
      <c r="B1" s="3" t="s">
        <v>0</v>
      </c>
      <c r="C1" s="3" t="s">
        <v>75</v>
      </c>
      <c r="D1" s="3" t="s">
        <v>76</v>
      </c>
      <c r="E1" s="3" t="s">
        <v>77</v>
      </c>
      <c r="F1" s="3" t="s">
        <v>78</v>
      </c>
      <c r="G1" s="3" t="s">
        <v>79</v>
      </c>
      <c r="H1" s="3" t="s">
        <v>80</v>
      </c>
    </row>
    <row r="2" spans="1:8" x14ac:dyDescent="0.3">
      <c r="A2" s="1">
        <v>2018</v>
      </c>
      <c r="B2" s="2">
        <v>1</v>
      </c>
      <c r="C2" s="2">
        <v>80590.98</v>
      </c>
      <c r="D2" s="2">
        <v>11.200035102301676</v>
      </c>
      <c r="E2" s="2">
        <v>12.329012854460268</v>
      </c>
      <c r="F2" s="2">
        <v>7965303.0300000003</v>
      </c>
      <c r="G2" s="2">
        <v>11.266686970679274</v>
      </c>
      <c r="H2" s="2">
        <v>8.0117036426187624</v>
      </c>
    </row>
    <row r="3" spans="1:8" x14ac:dyDescent="0.3">
      <c r="A3" s="1">
        <v>2018</v>
      </c>
      <c r="B3" s="2">
        <v>2</v>
      </c>
      <c r="C3" s="2">
        <v>173533.86</v>
      </c>
      <c r="D3" s="2">
        <v>1.9144969721443639</v>
      </c>
      <c r="E3" s="2">
        <v>12.66076409482141</v>
      </c>
      <c r="F3" s="2">
        <v>11097516.369999999</v>
      </c>
      <c r="G3" s="2">
        <v>8.1434501674888295</v>
      </c>
      <c r="H3" s="2">
        <v>9.2735736470495471</v>
      </c>
    </row>
    <row r="4" spans="1:8" x14ac:dyDescent="0.3">
      <c r="A4" s="1">
        <v>2018</v>
      </c>
      <c r="B4" s="2">
        <v>3</v>
      </c>
      <c r="C4" s="2">
        <v>406595.88</v>
      </c>
      <c r="D4" s="2">
        <v>-3.9400477762533526</v>
      </c>
      <c r="E4" s="2">
        <v>13.297916906002895</v>
      </c>
      <c r="F4" s="2">
        <v>18941756.390000001</v>
      </c>
      <c r="G4" s="2">
        <v>3.9781532031210487</v>
      </c>
      <c r="H4" s="2">
        <v>10.738623492040862</v>
      </c>
    </row>
    <row r="5" spans="1:8" x14ac:dyDescent="0.3">
      <c r="A5" s="1">
        <v>2018</v>
      </c>
      <c r="B5" s="2">
        <v>4</v>
      </c>
      <c r="C5" s="2">
        <v>102948.7</v>
      </c>
      <c r="D5" s="2">
        <v>-1.7504670848456305</v>
      </c>
      <c r="E5" s="2">
        <v>14.265017668584113</v>
      </c>
      <c r="F5" s="2">
        <v>8938381.8200000003</v>
      </c>
      <c r="G5" s="2">
        <v>3.9941556524567989</v>
      </c>
      <c r="H5" s="2">
        <v>12.433323283301633</v>
      </c>
    </row>
    <row r="6" spans="1:8" x14ac:dyDescent="0.3">
      <c r="A6" s="1">
        <v>2019</v>
      </c>
      <c r="B6" s="2">
        <v>1</v>
      </c>
      <c r="C6" s="2">
        <v>82903.25</v>
      </c>
      <c r="D6" s="2">
        <v>2.8691424276017008</v>
      </c>
      <c r="E6" s="2">
        <v>15.575839035218042</v>
      </c>
      <c r="F6" s="2">
        <v>8317465.4100000001</v>
      </c>
      <c r="G6" s="2">
        <v>4.4212050523833035</v>
      </c>
      <c r="H6" s="2">
        <v>14.379917832610207</v>
      </c>
    </row>
    <row r="7" spans="1:8" x14ac:dyDescent="0.3">
      <c r="A7" s="1">
        <v>2019</v>
      </c>
      <c r="B7" s="2">
        <v>2</v>
      </c>
      <c r="C7" s="2">
        <v>183948.78</v>
      </c>
      <c r="D7" s="2">
        <v>6.0016644590283441</v>
      </c>
      <c r="E7" s="2">
        <v>17.234143980586765</v>
      </c>
      <c r="F7" s="2">
        <v>11429924.810000001</v>
      </c>
      <c r="G7" s="2">
        <v>2.9953408394927328</v>
      </c>
      <c r="H7" s="2">
        <v>16.595377471975656</v>
      </c>
    </row>
    <row r="8" spans="1:8" x14ac:dyDescent="0.3">
      <c r="A8" s="1">
        <v>2019</v>
      </c>
      <c r="B8" s="2">
        <v>3</v>
      </c>
      <c r="C8" s="2">
        <v>375481.66</v>
      </c>
      <c r="D8" s="2">
        <v>-7.6523697190438948</v>
      </c>
      <c r="E8" s="2">
        <v>19.235753793992604</v>
      </c>
      <c r="F8" s="2">
        <v>19296877.260000002</v>
      </c>
      <c r="G8" s="2">
        <v>1.874804335396707</v>
      </c>
      <c r="H8" s="2">
        <v>19.090448337919405</v>
      </c>
    </row>
    <row r="9" spans="1:8" x14ac:dyDescent="0.3">
      <c r="A9" s="1">
        <v>2019</v>
      </c>
      <c r="B9" s="2">
        <v>4</v>
      </c>
      <c r="C9" s="2">
        <v>101355.15</v>
      </c>
      <c r="D9" s="2">
        <v>-1.5479068701207521</v>
      </c>
      <c r="E9" s="2">
        <v>21.569469465036907</v>
      </c>
      <c r="F9" s="2">
        <v>9021576.2200000007</v>
      </c>
      <c r="G9" s="2">
        <v>0.93075460050104919</v>
      </c>
      <c r="H9" s="2">
        <v>21.867376544067582</v>
      </c>
    </row>
    <row r="10" spans="1:8" x14ac:dyDescent="0.3">
      <c r="A10" s="1">
        <v>2020</v>
      </c>
      <c r="B10" s="2">
        <v>1</v>
      </c>
      <c r="C10" s="2">
        <v>56222.92</v>
      </c>
      <c r="D10" s="2">
        <v>-32.182489830012692</v>
      </c>
      <c r="E10" s="2">
        <v>24.207286906125375</v>
      </c>
      <c r="F10" s="2">
        <v>6440847.5199999996</v>
      </c>
      <c r="G10" s="2">
        <v>-22.562376847924881</v>
      </c>
      <c r="H10" s="2">
        <v>24.917648426544737</v>
      </c>
    </row>
    <row r="11" spans="1:8" x14ac:dyDescent="0.3">
      <c r="A11" s="1">
        <v>2020</v>
      </c>
      <c r="B11" s="2">
        <v>2</v>
      </c>
      <c r="C11" s="2">
        <v>21659.33</v>
      </c>
      <c r="D11" s="2">
        <v>-88.225347295045935</v>
      </c>
      <c r="E11" s="2">
        <v>27.106753669454239</v>
      </c>
      <c r="F11" s="2">
        <v>1261489.28</v>
      </c>
      <c r="G11" s="2">
        <v>-88.96327577853944</v>
      </c>
      <c r="H11" s="2">
        <v>28.219664932760693</v>
      </c>
    </row>
    <row r="12" spans="1:8" x14ac:dyDescent="0.3">
      <c r="A12" s="1">
        <v>2020</v>
      </c>
      <c r="B12" s="2">
        <v>3</v>
      </c>
      <c r="C12" s="2">
        <v>407764.87</v>
      </c>
      <c r="D12" s="2">
        <v>8.5978127400417002</v>
      </c>
      <c r="E12" s="2">
        <v>30.190173696759636</v>
      </c>
      <c r="F12" s="2">
        <v>10782999.890000001</v>
      </c>
      <c r="G12" s="2">
        <v>-44.120492944463074</v>
      </c>
      <c r="H12" s="2">
        <v>31.722151994328723</v>
      </c>
    </row>
    <row r="13" spans="1:8" x14ac:dyDescent="0.3">
      <c r="A13" s="1">
        <v>2020</v>
      </c>
      <c r="B13" s="2">
        <v>4</v>
      </c>
      <c r="C13" s="2">
        <v>28614.880000000001</v>
      </c>
      <c r="D13" s="2">
        <v>-71.767709879567036</v>
      </c>
      <c r="E13" s="2">
        <v>33.307768366674885</v>
      </c>
      <c r="F13" s="2">
        <v>2649720.09</v>
      </c>
      <c r="G13" s="2">
        <v>-70.629078274306266</v>
      </c>
      <c r="H13" s="2">
        <v>35.300596204917532</v>
      </c>
    </row>
    <row r="14" spans="1:8" x14ac:dyDescent="0.3">
      <c r="A14" s="1">
        <v>2021</v>
      </c>
      <c r="B14" s="2">
        <v>1</v>
      </c>
      <c r="C14" s="2">
        <v>35577.57</v>
      </c>
      <c r="D14" s="2">
        <v>-36.720522519997175</v>
      </c>
      <c r="E14" s="2">
        <v>36.296263832235354</v>
      </c>
      <c r="F14" s="2">
        <v>2259815.7599999998</v>
      </c>
      <c r="G14" s="2">
        <v>-64.914310531605324</v>
      </c>
      <c r="H14" s="2">
        <v>38.783082505109078</v>
      </c>
    </row>
    <row r="15" spans="1:8" x14ac:dyDescent="0.3">
      <c r="A15" s="1">
        <v>2021</v>
      </c>
      <c r="B15" s="2">
        <v>2</v>
      </c>
      <c r="C15" s="2">
        <v>95817.01</v>
      </c>
      <c r="D15" s="2">
        <v>342.38215124844578</v>
      </c>
      <c r="E15" s="2">
        <v>38.926714072572508</v>
      </c>
      <c r="F15" s="2">
        <v>5403894.9100000001</v>
      </c>
      <c r="G15" s="2">
        <v>328.37422367949091</v>
      </c>
      <c r="H15" s="2">
        <v>41.931489788935806</v>
      </c>
    </row>
    <row r="16" spans="1:8" x14ac:dyDescent="0.3">
      <c r="A16" s="1">
        <v>2021</v>
      </c>
      <c r="B16" s="2">
        <v>3</v>
      </c>
      <c r="C16" s="2">
        <v>410693.19</v>
      </c>
      <c r="D16" s="2">
        <v>0.71813935320126365</v>
      </c>
      <c r="E16" s="2">
        <v>40.924537575347678</v>
      </c>
      <c r="F16" s="2">
        <v>16718291.619999999</v>
      </c>
      <c r="G16" s="2">
        <v>55.043047301746739</v>
      </c>
      <c r="H16" s="2">
        <v>44.44288607978222</v>
      </c>
    </row>
    <row r="17" spans="1:8" x14ac:dyDescent="0.3">
      <c r="A17" s="1">
        <v>2021</v>
      </c>
      <c r="B17" s="2">
        <v>4</v>
      </c>
      <c r="C17" s="2">
        <v>117192.73</v>
      </c>
      <c r="D17" s="2">
        <v>309.55170876131575</v>
      </c>
      <c r="E17" s="2">
        <v>42.204812476457107</v>
      </c>
      <c r="F17" s="2">
        <v>8138682.8600000003</v>
      </c>
      <c r="G17" s="2">
        <v>207.15255134741426</v>
      </c>
      <c r="H17" s="2">
        <v>46.193366109714411</v>
      </c>
    </row>
    <row r="18" spans="1:8" x14ac:dyDescent="0.3">
      <c r="A18" s="1">
        <v>2022</v>
      </c>
      <c r="B18" s="2">
        <v>1</v>
      </c>
      <c r="C18" s="2">
        <v>77533.600000000006</v>
      </c>
      <c r="D18" s="2">
        <v>117.92831831966039</v>
      </c>
      <c r="E18" s="2">
        <v>42.657487912908195</v>
      </c>
      <c r="F18" s="2">
        <v>7045248.0599999996</v>
      </c>
      <c r="G18" s="2">
        <v>211.76205532790871</v>
      </c>
      <c r="H18" s="2">
        <v>47.065649711562202</v>
      </c>
    </row>
    <row r="19" spans="1:8" x14ac:dyDescent="0.3">
      <c r="A19" s="1">
        <v>2022</v>
      </c>
      <c r="B19" s="2">
        <v>2</v>
      </c>
      <c r="C19" s="2">
        <v>151349.46</v>
      </c>
      <c r="D19" s="2">
        <v>57.956776150706446</v>
      </c>
      <c r="E19" s="2">
        <v>42.33960483188639</v>
      </c>
      <c r="F19" s="2">
        <v>11657125.26</v>
      </c>
      <c r="G19" s="2">
        <v>115.71709765170097</v>
      </c>
      <c r="H19" s="2">
        <v>47.043056208928995</v>
      </c>
    </row>
    <row r="20" spans="1:8" x14ac:dyDescent="0.3">
      <c r="A20" s="1">
        <v>2022</v>
      </c>
      <c r="B20" s="2">
        <v>3</v>
      </c>
      <c r="C20" s="2">
        <v>444466.27</v>
      </c>
      <c r="D20" s="2">
        <v>8.2234331667393903</v>
      </c>
      <c r="E20" s="2">
        <v>41.35524844958136</v>
      </c>
      <c r="F20" s="2">
        <v>21026463.140000001</v>
      </c>
      <c r="G20" s="2">
        <v>25.769209067068545</v>
      </c>
      <c r="H20" s="2">
        <v>46.211840178928398</v>
      </c>
    </row>
    <row r="21" spans="1:8" x14ac:dyDescent="0.3">
      <c r="A21" s="1">
        <v>2022</v>
      </c>
      <c r="B21" s="2">
        <v>4</v>
      </c>
      <c r="C21" s="2">
        <v>110633.97</v>
      </c>
      <c r="D21" s="2">
        <v>-5.5965587626467865</v>
      </c>
      <c r="E21" s="2">
        <v>39.81826471425704</v>
      </c>
      <c r="F21" s="2">
        <v>10563173.24</v>
      </c>
      <c r="G21" s="2">
        <v>29.789714401035148</v>
      </c>
      <c r="H21" s="2">
        <v>44.701177474575758</v>
      </c>
    </row>
    <row r="22" spans="1:8" x14ac:dyDescent="0.3">
      <c r="A22" s="1">
        <v>2023</v>
      </c>
      <c r="B22" s="2">
        <v>1</v>
      </c>
      <c r="C22" s="2">
        <v>79721.41</v>
      </c>
      <c r="D22" s="2">
        <v>2.8217572768451271</v>
      </c>
      <c r="E22" s="2">
        <v>37.82179218962559</v>
      </c>
      <c r="F22" s="2">
        <v>9311544.7400000002</v>
      </c>
      <c r="G22" s="2">
        <v>32.167734346602984</v>
      </c>
      <c r="H22" s="2">
        <v>42.627467304441517</v>
      </c>
    </row>
    <row r="23" spans="1:8" x14ac:dyDescent="0.3">
      <c r="A23" s="1">
        <v>2023</v>
      </c>
      <c r="B23" s="2">
        <v>2</v>
      </c>
      <c r="C23" s="2">
        <v>218755.42</v>
      </c>
      <c r="D23" s="2">
        <v>44.536637263192105</v>
      </c>
      <c r="E23" s="2">
        <v>35.430585174726104</v>
      </c>
      <c r="F23" s="2">
        <v>13335353.310000001</v>
      </c>
      <c r="G23" s="2">
        <v>14.396585886905022</v>
      </c>
      <c r="H23" s="2">
        <v>40.097789212675146</v>
      </c>
    </row>
    <row r="24" spans="1:8" x14ac:dyDescent="0.3">
      <c r="A24" s="1">
        <v>2023</v>
      </c>
      <c r="B24" s="2">
        <v>3</v>
      </c>
      <c r="C24" s="2">
        <v>582156.63</v>
      </c>
      <c r="D24" s="2">
        <v>30.978809708102251</v>
      </c>
      <c r="E24" s="2">
        <v>32.687522946777186</v>
      </c>
      <c r="F24" s="2">
        <v>23561140.93</v>
      </c>
      <c r="G24" s="2">
        <v>12.05470350920843</v>
      </c>
      <c r="H24" s="2">
        <v>37.212685410327467</v>
      </c>
    </row>
    <row r="25" spans="1:8" x14ac:dyDescent="0.3">
      <c r="A25" s="1">
        <v>2023</v>
      </c>
      <c r="B25" s="2">
        <v>4</v>
      </c>
      <c r="C25" s="2">
        <v>166979.63</v>
      </c>
      <c r="D25" s="2">
        <v>50.929800313592644</v>
      </c>
      <c r="E25" s="2">
        <v>29.641176065552742</v>
      </c>
      <c r="F25" s="2">
        <v>12541986.689999999</v>
      </c>
      <c r="G25" s="2">
        <v>18.733134495103656</v>
      </c>
      <c r="H25" s="2">
        <v>34.056634856370707</v>
      </c>
    </row>
    <row r="26" spans="1:8" x14ac:dyDescent="0.3">
      <c r="A26" s="1">
        <v>2024</v>
      </c>
      <c r="B26" s="2">
        <v>1</v>
      </c>
      <c r="C26" s="2">
        <v>123407.02</v>
      </c>
      <c r="D26" s="2">
        <v>54.797839125023003</v>
      </c>
      <c r="E26" s="2">
        <v>26.339047145052493</v>
      </c>
      <c r="F26" s="2">
        <v>11678624.99</v>
      </c>
      <c r="G26" s="2">
        <v>25.42091904291275</v>
      </c>
      <c r="H26" s="2">
        <v>30.698392771088884</v>
      </c>
    </row>
    <row r="27" spans="1:8" x14ac:dyDescent="0.3">
      <c r="A27" s="1">
        <v>2024</v>
      </c>
      <c r="B27" s="2">
        <v>2</v>
      </c>
      <c r="C27" s="2">
        <v>200301.75</v>
      </c>
      <c r="D27" s="2">
        <v>-8.435754414679197</v>
      </c>
      <c r="E27" s="2">
        <v>22.841944189431196</v>
      </c>
      <c r="F27" s="2">
        <v>13858416.689999999</v>
      </c>
      <c r="G27" s="2">
        <v>3.9223811161250621</v>
      </c>
      <c r="H27" s="2">
        <v>27.19713718704023</v>
      </c>
    </row>
    <row r="28" spans="1:8" x14ac:dyDescent="0.3">
      <c r="A28" s="1">
        <v>2024</v>
      </c>
      <c r="B28" s="2">
        <v>3</v>
      </c>
      <c r="C28" s="2">
        <v>497636</v>
      </c>
      <c r="D28" s="2">
        <v>-14.518537734423809</v>
      </c>
      <c r="E28" s="2">
        <v>19.228461947831082</v>
      </c>
      <c r="F28" s="2">
        <v>24544442.809999999</v>
      </c>
      <c r="G28" s="2">
        <v>4.1734051968085106</v>
      </c>
      <c r="H28" s="2">
        <v>23.608747715702862</v>
      </c>
    </row>
    <row r="29" spans="1:8" x14ac:dyDescent="0.3">
      <c r="A29" s="1">
        <v>2024</v>
      </c>
      <c r="B29" s="2">
        <v>4</v>
      </c>
      <c r="C29" s="2">
        <v>145106.32</v>
      </c>
      <c r="D29" s="2">
        <v>-13.099388230768028</v>
      </c>
      <c r="E29" s="2">
        <v>15.557646607766811</v>
      </c>
      <c r="F29" s="2">
        <v>12151631.66</v>
      </c>
      <c r="G29" s="2">
        <v>-3.1123859373191509</v>
      </c>
      <c r="H29" s="2">
        <v>19.974557246010569</v>
      </c>
    </row>
    <row r="30" spans="1:8" x14ac:dyDescent="0.3">
      <c r="A30" s="1">
        <v>2025</v>
      </c>
      <c r="B30" s="2">
        <v>1</v>
      </c>
      <c r="C30" s="2">
        <v>97163.01</v>
      </c>
      <c r="D30" s="2">
        <v>-21.26622132193129</v>
      </c>
      <c r="E30" s="2">
        <v>11.867452481951636</v>
      </c>
      <c r="F30" s="2">
        <v>11174972.140000001</v>
      </c>
      <c r="G30" s="2">
        <v>-4.3126040131544645</v>
      </c>
      <c r="H30" s="2">
        <v>16.32375157782284</v>
      </c>
    </row>
    <row r="31" spans="1:8" x14ac:dyDescent="0.3">
      <c r="A31" s="1">
        <v>2025</v>
      </c>
      <c r="B31" s="2">
        <v>2</v>
      </c>
      <c r="C31" s="2">
        <v>218813.1</v>
      </c>
      <c r="D31" s="2">
        <v>9.24173153754273</v>
      </c>
      <c r="E31" s="2">
        <v>8.1779232363247214</v>
      </c>
      <c r="F31" s="2">
        <v>15202282.07</v>
      </c>
      <c r="G31" s="2">
        <v>9.6971061706472739</v>
      </c>
      <c r="H31" s="2">
        <v>12.671087171509573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1:8" x14ac:dyDescent="0.3">
      <c r="A33" s="1" t="str">
        <f t="shared" ref="A33:A54" si="0">IF(C33="","",A32)</f>
        <v/>
      </c>
      <c r="B33" s="1" t="s">
        <v>1</v>
      </c>
      <c r="C33" s="1" t="s">
        <v>1</v>
      </c>
      <c r="D33" s="2" t="s">
        <v>1</v>
      </c>
      <c r="E33" s="2" t="s">
        <v>1</v>
      </c>
      <c r="F33" s="1" t="s">
        <v>1</v>
      </c>
      <c r="G33" s="1" t="s">
        <v>1</v>
      </c>
      <c r="H33" s="2" t="s">
        <v>1</v>
      </c>
    </row>
    <row r="34" spans="1:8" x14ac:dyDescent="0.3">
      <c r="A34" s="1" t="str">
        <f t="shared" si="0"/>
        <v/>
      </c>
      <c r="B34" s="1" t="s">
        <v>1</v>
      </c>
      <c r="C34" s="1" t="s">
        <v>1</v>
      </c>
      <c r="D34" s="2" t="s">
        <v>1</v>
      </c>
      <c r="E34" s="2" t="s">
        <v>1</v>
      </c>
      <c r="F34" s="1" t="s">
        <v>1</v>
      </c>
      <c r="G34" s="1" t="s">
        <v>1</v>
      </c>
      <c r="H34" s="2" t="s">
        <v>1</v>
      </c>
    </row>
    <row r="35" spans="1:8" x14ac:dyDescent="0.3">
      <c r="A35" s="1" t="str">
        <f t="shared" si="0"/>
        <v/>
      </c>
      <c r="B35" s="1" t="s">
        <v>1</v>
      </c>
      <c r="C35" s="1" t="s">
        <v>1</v>
      </c>
      <c r="D35" s="2" t="s">
        <v>1</v>
      </c>
      <c r="E35" s="2" t="s">
        <v>1</v>
      </c>
      <c r="F35" s="1" t="s">
        <v>1</v>
      </c>
      <c r="G35" s="1" t="s">
        <v>1</v>
      </c>
      <c r="H35" s="2" t="s">
        <v>1</v>
      </c>
    </row>
    <row r="36" spans="1:8" x14ac:dyDescent="0.3">
      <c r="A36" s="1" t="str">
        <f t="shared" si="0"/>
        <v/>
      </c>
      <c r="B36" s="1" t="s">
        <v>1</v>
      </c>
      <c r="C36" s="1" t="s">
        <v>1</v>
      </c>
      <c r="D36" s="2" t="s">
        <v>1</v>
      </c>
      <c r="E36" s="2" t="s">
        <v>1</v>
      </c>
      <c r="F36" s="1" t="s">
        <v>1</v>
      </c>
      <c r="G36" s="1" t="s">
        <v>1</v>
      </c>
      <c r="H36" s="2" t="s">
        <v>1</v>
      </c>
    </row>
    <row r="37" spans="1:8" x14ac:dyDescent="0.3">
      <c r="A37" s="1" t="str">
        <f t="shared" si="0"/>
        <v/>
      </c>
      <c r="B37" s="1" t="s">
        <v>1</v>
      </c>
      <c r="C37" s="1" t="s">
        <v>1</v>
      </c>
      <c r="D37" s="2" t="s">
        <v>1</v>
      </c>
      <c r="E37" s="2" t="s">
        <v>1</v>
      </c>
      <c r="F37" s="1" t="s">
        <v>1</v>
      </c>
      <c r="G37" s="1" t="s">
        <v>1</v>
      </c>
      <c r="H37" s="2" t="s">
        <v>1</v>
      </c>
    </row>
    <row r="38" spans="1:8" x14ac:dyDescent="0.3">
      <c r="A38" s="1" t="str">
        <f t="shared" si="0"/>
        <v/>
      </c>
      <c r="B38" s="1" t="s">
        <v>1</v>
      </c>
      <c r="C38" s="1" t="s">
        <v>1</v>
      </c>
      <c r="D38" s="2" t="s">
        <v>1</v>
      </c>
      <c r="E38" s="2" t="s">
        <v>1</v>
      </c>
      <c r="F38" s="1" t="s">
        <v>1</v>
      </c>
      <c r="G38" s="1" t="s">
        <v>1</v>
      </c>
      <c r="H38" s="2" t="s">
        <v>1</v>
      </c>
    </row>
    <row r="39" spans="1:8" x14ac:dyDescent="0.3">
      <c r="A39" s="1" t="str">
        <f t="shared" si="0"/>
        <v/>
      </c>
      <c r="B39" s="1" t="s">
        <v>1</v>
      </c>
      <c r="C39" s="1" t="s">
        <v>1</v>
      </c>
      <c r="D39" s="2" t="s">
        <v>1</v>
      </c>
      <c r="E39" s="2" t="s">
        <v>1</v>
      </c>
      <c r="F39" s="1" t="s">
        <v>1</v>
      </c>
      <c r="G39" s="1" t="s">
        <v>1</v>
      </c>
      <c r="H39" s="2" t="s">
        <v>1</v>
      </c>
    </row>
    <row r="40" spans="1:8" x14ac:dyDescent="0.3">
      <c r="A40" s="1" t="str">
        <f t="shared" si="0"/>
        <v/>
      </c>
      <c r="B40" s="1" t="s">
        <v>1</v>
      </c>
      <c r="C40" s="1" t="s">
        <v>1</v>
      </c>
      <c r="D40" s="2" t="s">
        <v>1</v>
      </c>
      <c r="E40" s="2" t="s">
        <v>1</v>
      </c>
      <c r="F40" s="1" t="s">
        <v>1</v>
      </c>
      <c r="G40" s="1" t="s">
        <v>1</v>
      </c>
      <c r="H40" s="2" t="s">
        <v>1</v>
      </c>
    </row>
    <row r="41" spans="1:8" x14ac:dyDescent="0.3">
      <c r="A41" s="1" t="str">
        <f t="shared" si="0"/>
        <v/>
      </c>
      <c r="B41" s="1" t="s">
        <v>1</v>
      </c>
      <c r="C41" s="1" t="s">
        <v>1</v>
      </c>
      <c r="D41" s="2" t="s">
        <v>1</v>
      </c>
      <c r="E41" s="2" t="s">
        <v>1</v>
      </c>
      <c r="F41" s="1" t="s">
        <v>1</v>
      </c>
      <c r="G41" s="1" t="s">
        <v>1</v>
      </c>
      <c r="H41" s="2" t="s">
        <v>1</v>
      </c>
    </row>
    <row r="42" spans="1:8" x14ac:dyDescent="0.3">
      <c r="A42" s="1" t="str">
        <f t="shared" si="0"/>
        <v/>
      </c>
      <c r="B42" s="1" t="s">
        <v>1</v>
      </c>
      <c r="C42" s="1" t="s">
        <v>1</v>
      </c>
      <c r="D42" s="2" t="s">
        <v>1</v>
      </c>
      <c r="E42" s="2" t="s">
        <v>1</v>
      </c>
      <c r="F42" s="1" t="s">
        <v>1</v>
      </c>
      <c r="G42" s="1" t="s">
        <v>1</v>
      </c>
      <c r="H42" s="2" t="s">
        <v>1</v>
      </c>
    </row>
    <row r="43" spans="1:8" x14ac:dyDescent="0.3">
      <c r="A43" s="1" t="str">
        <f t="shared" si="0"/>
        <v/>
      </c>
      <c r="B43" s="1" t="s">
        <v>1</v>
      </c>
      <c r="C43" s="1" t="s">
        <v>1</v>
      </c>
      <c r="D43" s="2" t="s">
        <v>1</v>
      </c>
      <c r="E43" s="2" t="s">
        <v>1</v>
      </c>
      <c r="F43" s="1" t="s">
        <v>1</v>
      </c>
      <c r="G43" s="1" t="s">
        <v>1</v>
      </c>
      <c r="H43" s="2" t="s">
        <v>1</v>
      </c>
    </row>
    <row r="44" spans="1:8" x14ac:dyDescent="0.3">
      <c r="A44" s="1" t="str">
        <f t="shared" si="0"/>
        <v/>
      </c>
      <c r="B44" s="1" t="s">
        <v>1</v>
      </c>
      <c r="C44" s="1" t="s">
        <v>1</v>
      </c>
      <c r="D44" s="2" t="s">
        <v>1</v>
      </c>
      <c r="E44" s="2" t="s">
        <v>1</v>
      </c>
      <c r="F44" s="1" t="s">
        <v>1</v>
      </c>
      <c r="G44" s="1" t="s">
        <v>1</v>
      </c>
      <c r="H44" s="2" t="s">
        <v>1</v>
      </c>
    </row>
    <row r="45" spans="1:8" x14ac:dyDescent="0.3">
      <c r="A45" s="1" t="str">
        <f t="shared" si="0"/>
        <v/>
      </c>
      <c r="B45" s="1" t="s">
        <v>1</v>
      </c>
      <c r="C45" s="1" t="s">
        <v>1</v>
      </c>
      <c r="D45" s="2" t="s">
        <v>1</v>
      </c>
      <c r="E45" s="2" t="s">
        <v>1</v>
      </c>
      <c r="F45" s="1" t="s">
        <v>1</v>
      </c>
      <c r="G45" s="1" t="s">
        <v>1</v>
      </c>
      <c r="H45" s="2" t="s">
        <v>1</v>
      </c>
    </row>
    <row r="46" spans="1:8" x14ac:dyDescent="0.3">
      <c r="A46" s="1" t="str">
        <f t="shared" si="0"/>
        <v/>
      </c>
      <c r="B46" s="1" t="s">
        <v>1</v>
      </c>
      <c r="C46" s="1" t="s">
        <v>1</v>
      </c>
      <c r="D46" s="2" t="s">
        <v>1</v>
      </c>
      <c r="E46" s="2" t="s">
        <v>1</v>
      </c>
      <c r="F46" s="1" t="s">
        <v>1</v>
      </c>
      <c r="G46" s="1" t="s">
        <v>1</v>
      </c>
      <c r="H46" s="2" t="s">
        <v>1</v>
      </c>
    </row>
    <row r="47" spans="1:8" x14ac:dyDescent="0.3">
      <c r="A47" s="1" t="str">
        <f t="shared" si="0"/>
        <v/>
      </c>
      <c r="B47" s="1" t="s">
        <v>1</v>
      </c>
      <c r="C47" s="1" t="s">
        <v>1</v>
      </c>
      <c r="D47" s="2" t="s">
        <v>1</v>
      </c>
      <c r="E47" s="2" t="s">
        <v>1</v>
      </c>
      <c r="F47" s="1" t="s">
        <v>1</v>
      </c>
      <c r="G47" s="1" t="s">
        <v>1</v>
      </c>
      <c r="H47" s="2" t="s">
        <v>1</v>
      </c>
    </row>
    <row r="48" spans="1:8" x14ac:dyDescent="0.3">
      <c r="A48" s="1" t="str">
        <f t="shared" si="0"/>
        <v/>
      </c>
      <c r="B48" s="1" t="s">
        <v>1</v>
      </c>
      <c r="C48" s="1" t="s">
        <v>1</v>
      </c>
      <c r="D48" s="2" t="s">
        <v>1</v>
      </c>
      <c r="E48" s="2" t="s">
        <v>1</v>
      </c>
      <c r="F48" s="1" t="s">
        <v>1</v>
      </c>
      <c r="G48" s="1" t="s">
        <v>1</v>
      </c>
      <c r="H48" s="2" t="s">
        <v>1</v>
      </c>
    </row>
    <row r="49" spans="1:8" x14ac:dyDescent="0.3">
      <c r="A49" s="1" t="str">
        <f t="shared" si="0"/>
        <v/>
      </c>
      <c r="B49" s="1" t="s">
        <v>1</v>
      </c>
      <c r="C49" s="1" t="s">
        <v>1</v>
      </c>
      <c r="D49" s="2" t="s">
        <v>1</v>
      </c>
      <c r="E49" s="2" t="s">
        <v>1</v>
      </c>
      <c r="F49" s="1" t="s">
        <v>1</v>
      </c>
      <c r="G49" s="1" t="s">
        <v>1</v>
      </c>
      <c r="H49" s="2" t="s">
        <v>1</v>
      </c>
    </row>
    <row r="50" spans="1:8" x14ac:dyDescent="0.3">
      <c r="A50" s="1" t="str">
        <f t="shared" si="0"/>
        <v/>
      </c>
      <c r="B50" s="1" t="s">
        <v>1</v>
      </c>
      <c r="C50" s="1" t="s">
        <v>1</v>
      </c>
      <c r="D50" s="2" t="s">
        <v>1</v>
      </c>
      <c r="E50" s="2" t="s">
        <v>1</v>
      </c>
      <c r="F50" s="1" t="s">
        <v>1</v>
      </c>
      <c r="G50" s="1" t="s">
        <v>1</v>
      </c>
      <c r="H50" s="2" t="s">
        <v>1</v>
      </c>
    </row>
    <row r="51" spans="1:8" x14ac:dyDescent="0.3">
      <c r="A51" s="1" t="str">
        <f t="shared" si="0"/>
        <v/>
      </c>
      <c r="B51" s="1" t="s">
        <v>1</v>
      </c>
      <c r="C51" s="1" t="s">
        <v>1</v>
      </c>
      <c r="D51" s="2" t="s">
        <v>1</v>
      </c>
      <c r="E51" s="2" t="s">
        <v>1</v>
      </c>
      <c r="F51" s="1" t="s">
        <v>1</v>
      </c>
      <c r="G51" s="1" t="s">
        <v>1</v>
      </c>
      <c r="H51" s="2" t="s">
        <v>1</v>
      </c>
    </row>
    <row r="52" spans="1:8" x14ac:dyDescent="0.3">
      <c r="A52" s="1" t="str">
        <f t="shared" si="0"/>
        <v/>
      </c>
      <c r="B52" s="1" t="s">
        <v>1</v>
      </c>
      <c r="C52" s="1" t="s">
        <v>1</v>
      </c>
      <c r="D52" s="2" t="s">
        <v>1</v>
      </c>
      <c r="E52" s="2" t="s">
        <v>1</v>
      </c>
      <c r="F52" s="1" t="s">
        <v>1</v>
      </c>
      <c r="G52" s="1" t="s">
        <v>1</v>
      </c>
      <c r="H52" s="2" t="s">
        <v>1</v>
      </c>
    </row>
    <row r="53" spans="1:8" x14ac:dyDescent="0.3">
      <c r="A53" s="1" t="str">
        <f t="shared" si="0"/>
        <v/>
      </c>
      <c r="B53" s="1" t="s">
        <v>1</v>
      </c>
      <c r="C53" s="1" t="s">
        <v>1</v>
      </c>
      <c r="D53" s="2" t="s">
        <v>1</v>
      </c>
      <c r="E53" s="2" t="s">
        <v>1</v>
      </c>
      <c r="F53" s="1" t="s">
        <v>1</v>
      </c>
      <c r="G53" s="1" t="s">
        <v>1</v>
      </c>
      <c r="H53" s="2" t="s">
        <v>1</v>
      </c>
    </row>
    <row r="54" spans="1:8" x14ac:dyDescent="0.3">
      <c r="A54" s="1" t="str">
        <f t="shared" si="0"/>
        <v/>
      </c>
      <c r="B54" s="1" t="s">
        <v>1</v>
      </c>
      <c r="C54" s="1" t="s">
        <v>1</v>
      </c>
      <c r="D54" s="2" t="s">
        <v>1</v>
      </c>
      <c r="E54" s="2" t="s">
        <v>1</v>
      </c>
      <c r="F54" s="1" t="s">
        <v>1</v>
      </c>
      <c r="G54" s="1" t="s">
        <v>1</v>
      </c>
      <c r="H54" s="2" t="s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H54"/>
  <sheetViews>
    <sheetView topLeftCell="A22" workbookViewId="0">
      <selection activeCell="D26" sqref="D26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86</v>
      </c>
    </row>
    <row r="2" spans="1:8" x14ac:dyDescent="0.3">
      <c r="A2" s="1">
        <v>2018</v>
      </c>
      <c r="B2" s="2">
        <v>1</v>
      </c>
      <c r="C2" s="2">
        <v>7719</v>
      </c>
      <c r="D2" s="2">
        <v>12.554680664916894</v>
      </c>
      <c r="E2" s="2">
        <v>5.150946154004707</v>
      </c>
      <c r="F2" s="2">
        <v>345854.58</v>
      </c>
      <c r="G2" s="2">
        <v>2.6507068128061917</v>
      </c>
      <c r="H2" s="2">
        <v>5.2040958246646767</v>
      </c>
    </row>
    <row r="3" spans="1:8" x14ac:dyDescent="0.3">
      <c r="A3" s="1">
        <v>2018</v>
      </c>
      <c r="B3" s="2">
        <v>2</v>
      </c>
      <c r="C3" s="2">
        <v>8049</v>
      </c>
      <c r="D3" s="2">
        <v>2.7838079427914719</v>
      </c>
      <c r="E3" s="2">
        <v>5.430667724457412</v>
      </c>
      <c r="F3" s="2">
        <v>384972.25</v>
      </c>
      <c r="G3" s="2">
        <v>7.8018821493201163</v>
      </c>
      <c r="H3" s="2">
        <v>5.1042699767739261</v>
      </c>
    </row>
    <row r="4" spans="1:8" x14ac:dyDescent="0.3">
      <c r="A4" s="1">
        <v>2018</v>
      </c>
      <c r="B4" s="2">
        <v>3</v>
      </c>
      <c r="C4" s="2">
        <v>8827</v>
      </c>
      <c r="D4" s="2">
        <v>37.792694349047771</v>
      </c>
      <c r="E4" s="2">
        <v>5.6719962760846823</v>
      </c>
      <c r="F4" s="2">
        <v>369913.39</v>
      </c>
      <c r="G4" s="2">
        <v>5.8318717724629154</v>
      </c>
      <c r="H4" s="2">
        <v>4.9584541400699242</v>
      </c>
    </row>
    <row r="5" spans="1:8" x14ac:dyDescent="0.3">
      <c r="A5" s="1">
        <v>2018</v>
      </c>
      <c r="B5" s="2">
        <v>4</v>
      </c>
      <c r="C5" s="2">
        <v>7415</v>
      </c>
      <c r="D5" s="2">
        <v>10.63861533870487</v>
      </c>
      <c r="E5" s="2">
        <v>5.8516441152152376</v>
      </c>
      <c r="F5" s="2">
        <v>374464.74</v>
      </c>
      <c r="G5" s="2">
        <v>2.2712025571245853</v>
      </c>
      <c r="H5" s="2">
        <v>4.7757756248424821</v>
      </c>
    </row>
    <row r="6" spans="1:8" x14ac:dyDescent="0.3">
      <c r="A6" s="1">
        <v>2019</v>
      </c>
      <c r="B6" s="2">
        <v>1</v>
      </c>
      <c r="C6" s="2">
        <v>10320</v>
      </c>
      <c r="D6" s="2">
        <v>33.696074621064895</v>
      </c>
      <c r="E6" s="2">
        <v>5.9663989844734013</v>
      </c>
      <c r="F6" s="2">
        <v>381850.51</v>
      </c>
      <c r="G6" s="2">
        <v>10.407822270273236</v>
      </c>
      <c r="H6" s="2">
        <v>4.565907627401657</v>
      </c>
    </row>
    <row r="7" spans="1:8" x14ac:dyDescent="0.3">
      <c r="A7" s="1">
        <v>2019</v>
      </c>
      <c r="B7" s="2">
        <v>2</v>
      </c>
      <c r="C7" s="2">
        <v>10035</v>
      </c>
      <c r="D7" s="2">
        <v>24.673872530749151</v>
      </c>
      <c r="E7" s="2">
        <v>6.0160404834981769</v>
      </c>
      <c r="F7" s="2">
        <v>381585.89</v>
      </c>
      <c r="G7" s="2">
        <v>-0.87963742841203896</v>
      </c>
      <c r="H7" s="2">
        <v>4.3369579858901819</v>
      </c>
    </row>
    <row r="8" spans="1:8" x14ac:dyDescent="0.3">
      <c r="A8" s="1">
        <v>2019</v>
      </c>
      <c r="B8" s="2">
        <v>3</v>
      </c>
      <c r="C8" s="2">
        <v>8015</v>
      </c>
      <c r="D8" s="2">
        <v>-9.1990483743061073</v>
      </c>
      <c r="E8" s="2">
        <v>6.0176792592014392</v>
      </c>
      <c r="F8" s="2">
        <v>394503.78</v>
      </c>
      <c r="G8" s="2">
        <v>6.6476074304852917</v>
      </c>
      <c r="H8" s="2">
        <v>4.1006857351025863</v>
      </c>
    </row>
    <row r="9" spans="1:8" x14ac:dyDescent="0.3">
      <c r="A9" s="1">
        <v>2019</v>
      </c>
      <c r="B9" s="2">
        <v>4</v>
      </c>
      <c r="C9" s="2">
        <v>10230</v>
      </c>
      <c r="D9" s="2">
        <v>37.963587322993945</v>
      </c>
      <c r="E9" s="2">
        <v>6.0000871035245931</v>
      </c>
      <c r="F9" s="2">
        <v>384576.87</v>
      </c>
      <c r="G9" s="2">
        <v>2.7004224750239558</v>
      </c>
      <c r="H9" s="2">
        <v>3.8655895376994596</v>
      </c>
    </row>
    <row r="10" spans="1:8" x14ac:dyDescent="0.3">
      <c r="A10" s="1">
        <v>2020</v>
      </c>
      <c r="B10" s="2">
        <v>1</v>
      </c>
      <c r="C10" s="2">
        <v>7980</v>
      </c>
      <c r="D10" s="2">
        <v>-22.674418604651159</v>
      </c>
      <c r="E10" s="2">
        <v>5.9825253536381</v>
      </c>
      <c r="F10" s="2">
        <v>373268.66</v>
      </c>
      <c r="G10" s="2">
        <v>-2.2474370925941733</v>
      </c>
      <c r="H10" s="2">
        <v>3.6417598824010042</v>
      </c>
    </row>
    <row r="11" spans="1:8" x14ac:dyDescent="0.3">
      <c r="A11" s="1">
        <v>2020</v>
      </c>
      <c r="B11" s="2">
        <v>2</v>
      </c>
      <c r="C11" s="2">
        <v>5823</v>
      </c>
      <c r="D11" s="2">
        <v>-41.973094170403591</v>
      </c>
      <c r="E11" s="2">
        <v>6.0042325343495904</v>
      </c>
      <c r="F11" s="2">
        <v>338691.23</v>
      </c>
      <c r="G11" s="2">
        <v>-11.241154645419416</v>
      </c>
      <c r="H11" s="2">
        <v>3.438559028513251</v>
      </c>
    </row>
    <row r="12" spans="1:8" x14ac:dyDescent="0.3">
      <c r="A12" s="1">
        <v>2020</v>
      </c>
      <c r="B12" s="2">
        <v>3</v>
      </c>
      <c r="C12" s="2">
        <v>5699</v>
      </c>
      <c r="D12" s="2">
        <v>-28.895820336868372</v>
      </c>
      <c r="E12" s="2">
        <v>6.0865365804927638</v>
      </c>
      <c r="F12" s="2">
        <v>372503.25</v>
      </c>
      <c r="G12" s="2">
        <v>-5.5767602530956806</v>
      </c>
      <c r="H12" s="2">
        <v>3.2616684872328583</v>
      </c>
    </row>
    <row r="13" spans="1:8" x14ac:dyDescent="0.3">
      <c r="A13" s="1">
        <v>2020</v>
      </c>
      <c r="B13" s="2">
        <v>4</v>
      </c>
      <c r="C13" s="2">
        <v>9870</v>
      </c>
      <c r="D13" s="2">
        <v>-3.5190615835777095</v>
      </c>
      <c r="E13" s="2">
        <v>6.2207795977108491</v>
      </c>
      <c r="F13" s="2">
        <v>383716.96</v>
      </c>
      <c r="G13" s="2">
        <v>-0.22359899075572454</v>
      </c>
      <c r="H13" s="2">
        <v>3.1075949487102763</v>
      </c>
    </row>
    <row r="14" spans="1:8" x14ac:dyDescent="0.3">
      <c r="A14" s="1">
        <v>2021</v>
      </c>
      <c r="B14" s="2">
        <v>1</v>
      </c>
      <c r="C14" s="2">
        <v>8466</v>
      </c>
      <c r="D14" s="2">
        <v>6.090225563909768</v>
      </c>
      <c r="E14" s="2">
        <v>6.3764397185737245</v>
      </c>
      <c r="F14" s="2">
        <v>389778.61</v>
      </c>
      <c r="G14" s="2">
        <v>4.4230742543453827</v>
      </c>
      <c r="H14" s="2">
        <v>2.9673210851332503</v>
      </c>
    </row>
    <row r="15" spans="1:8" x14ac:dyDescent="0.3">
      <c r="A15" s="1">
        <v>2021</v>
      </c>
      <c r="B15" s="2">
        <v>2</v>
      </c>
      <c r="C15" s="2">
        <v>9134</v>
      </c>
      <c r="D15" s="2">
        <v>56.860724712347576</v>
      </c>
      <c r="E15" s="2">
        <v>6.5169076749129626</v>
      </c>
      <c r="F15" s="2">
        <v>429112.69</v>
      </c>
      <c r="G15" s="2">
        <v>26.697313656453403</v>
      </c>
      <c r="H15" s="2">
        <v>2.8297475724773595</v>
      </c>
    </row>
    <row r="16" spans="1:8" x14ac:dyDescent="0.3">
      <c r="A16" s="1">
        <v>2021</v>
      </c>
      <c r="B16" s="2">
        <v>3</v>
      </c>
      <c r="C16" s="2">
        <v>9770</v>
      </c>
      <c r="D16" s="2">
        <v>71.433584839445501</v>
      </c>
      <c r="E16" s="2">
        <v>6.6053953147134727</v>
      </c>
      <c r="F16" s="2">
        <v>407181.9</v>
      </c>
      <c r="G16" s="2">
        <v>9.3096234730837946</v>
      </c>
      <c r="H16" s="2">
        <v>2.6846849324489415</v>
      </c>
    </row>
    <row r="17" spans="1:8" x14ac:dyDescent="0.3">
      <c r="A17" s="1">
        <v>2021</v>
      </c>
      <c r="B17" s="2">
        <v>4</v>
      </c>
      <c r="C17" s="2">
        <v>7803</v>
      </c>
      <c r="D17" s="2">
        <v>-20.94224924012158</v>
      </c>
      <c r="E17" s="2">
        <v>6.6365793716085602</v>
      </c>
      <c r="F17" s="2">
        <v>400744.9</v>
      </c>
      <c r="G17" s="2">
        <v>4.4376302783176502</v>
      </c>
      <c r="H17" s="2">
        <v>2.5368609155568187</v>
      </c>
    </row>
    <row r="18" spans="1:8" x14ac:dyDescent="0.3">
      <c r="A18" s="1">
        <v>2022</v>
      </c>
      <c r="B18" s="2">
        <v>1</v>
      </c>
      <c r="C18" s="2">
        <v>8665</v>
      </c>
      <c r="D18" s="2">
        <v>2.35057878573115</v>
      </c>
      <c r="E18" s="2">
        <v>6.6456541976844878</v>
      </c>
      <c r="F18" s="2">
        <v>375601.94</v>
      </c>
      <c r="G18" s="2">
        <v>-3.6371082548629308</v>
      </c>
      <c r="H18" s="2">
        <v>2.3951438588977099</v>
      </c>
    </row>
    <row r="19" spans="1:8" x14ac:dyDescent="0.3">
      <c r="A19" s="1">
        <v>2022</v>
      </c>
      <c r="B19" s="2">
        <v>2</v>
      </c>
      <c r="C19" s="2">
        <v>8501</v>
      </c>
      <c r="D19" s="2">
        <v>-6.9301510838624907</v>
      </c>
      <c r="E19" s="2">
        <v>6.6505773771451864</v>
      </c>
      <c r="F19" s="2">
        <v>420201.66</v>
      </c>
      <c r="G19" s="2">
        <v>-2.0766176828748706</v>
      </c>
      <c r="H19" s="2">
        <v>2.2695900804200591</v>
      </c>
    </row>
    <row r="20" spans="1:8" x14ac:dyDescent="0.3">
      <c r="A20" s="1">
        <v>2022</v>
      </c>
      <c r="B20" s="2">
        <v>3</v>
      </c>
      <c r="C20" s="2">
        <v>7669</v>
      </c>
      <c r="D20" s="2">
        <v>-21.504605936540433</v>
      </c>
      <c r="E20" s="2">
        <v>6.6666220720621148</v>
      </c>
      <c r="F20" s="2">
        <v>400134.07</v>
      </c>
      <c r="G20" s="2">
        <v>-1.7308799826318499</v>
      </c>
      <c r="H20" s="2">
        <v>2.1664857405012099</v>
      </c>
    </row>
    <row r="21" spans="1:8" x14ac:dyDescent="0.3">
      <c r="A21" s="1">
        <v>2022</v>
      </c>
      <c r="B21" s="2">
        <v>4</v>
      </c>
      <c r="C21" s="2">
        <v>9291</v>
      </c>
      <c r="D21" s="2">
        <v>19.069588619761625</v>
      </c>
      <c r="E21" s="2">
        <v>6.700573489218602</v>
      </c>
      <c r="F21" s="2">
        <v>392253.15</v>
      </c>
      <c r="G21" s="2">
        <v>-2.1189914082499817</v>
      </c>
      <c r="H21" s="2">
        <v>2.0894006196664465</v>
      </c>
    </row>
    <row r="22" spans="1:8" x14ac:dyDescent="0.3">
      <c r="A22" s="1">
        <v>2023</v>
      </c>
      <c r="B22" s="2">
        <v>1</v>
      </c>
      <c r="C22" s="2">
        <v>8234</v>
      </c>
      <c r="D22" s="2">
        <v>-4.9740334679746141</v>
      </c>
      <c r="E22" s="2">
        <v>6.7416098178926021</v>
      </c>
      <c r="F22" s="2">
        <v>417513.65</v>
      </c>
      <c r="G22" s="2">
        <v>11.15854460176644</v>
      </c>
      <c r="H22" s="2">
        <v>2.0394686448640953</v>
      </c>
    </row>
    <row r="23" spans="1:8" x14ac:dyDescent="0.3">
      <c r="A23" s="1">
        <v>2023</v>
      </c>
      <c r="B23" s="2">
        <v>2</v>
      </c>
      <c r="C23" s="2">
        <v>8372</v>
      </c>
      <c r="D23" s="2">
        <v>-1.5174685331137527</v>
      </c>
      <c r="E23" s="2">
        <v>6.7866398818186573</v>
      </c>
      <c r="F23" s="2">
        <v>402102.4</v>
      </c>
      <c r="G23" s="2">
        <v>-4.3072795095573717</v>
      </c>
      <c r="H23" s="2">
        <v>2.015193498025035</v>
      </c>
    </row>
    <row r="24" spans="1:8" x14ac:dyDescent="0.3">
      <c r="A24" s="1">
        <v>2023</v>
      </c>
      <c r="B24" s="2">
        <v>3</v>
      </c>
      <c r="C24" s="2">
        <v>12826</v>
      </c>
      <c r="D24" s="2">
        <v>67.244751597339942</v>
      </c>
      <c r="E24" s="2">
        <v>6.8252502276776452</v>
      </c>
      <c r="F24" s="2">
        <v>387624.57</v>
      </c>
      <c r="G24" s="2">
        <v>-3.1263271333030973</v>
      </c>
      <c r="H24" s="2">
        <v>2.0207782835532084</v>
      </c>
    </row>
    <row r="25" spans="1:8" x14ac:dyDescent="0.3">
      <c r="A25" s="1">
        <v>2023</v>
      </c>
      <c r="B25" s="2">
        <v>4</v>
      </c>
      <c r="C25" s="2">
        <v>7176</v>
      </c>
      <c r="D25" s="2">
        <v>-22.763965127542786</v>
      </c>
      <c r="E25" s="2">
        <v>6.8418373343911094</v>
      </c>
      <c r="F25" s="2">
        <v>394940.47</v>
      </c>
      <c r="G25" s="2">
        <v>0.6850983860805071</v>
      </c>
      <c r="H25" s="2">
        <v>2.0564745602228194</v>
      </c>
    </row>
    <row r="26" spans="1:8" x14ac:dyDescent="0.3">
      <c r="A26" s="1">
        <v>2024</v>
      </c>
      <c r="B26" s="2">
        <v>1</v>
      </c>
      <c r="C26" s="2">
        <v>10106</v>
      </c>
      <c r="D26" s="2">
        <v>22.735001214476558</v>
      </c>
      <c r="E26" s="2">
        <v>6.8585598692366325</v>
      </c>
      <c r="F26" s="2">
        <v>393995.63</v>
      </c>
      <c r="G26" s="2">
        <v>-5.6328745179948019</v>
      </c>
      <c r="H26" s="2">
        <v>2.1193169459225363</v>
      </c>
    </row>
    <row r="27" spans="1:8" x14ac:dyDescent="0.3">
      <c r="A27" s="1">
        <v>2024</v>
      </c>
      <c r="B27" s="2">
        <v>2</v>
      </c>
      <c r="C27" s="2">
        <v>8607</v>
      </c>
      <c r="D27" s="2">
        <v>2.8069756330625806</v>
      </c>
      <c r="E27" s="2">
        <v>6.8790728729530874</v>
      </c>
      <c r="F27" s="2">
        <v>416501.08</v>
      </c>
      <c r="G27" s="2">
        <v>3.5808490573545404</v>
      </c>
      <c r="H27" s="2">
        <v>2.2054829484321887</v>
      </c>
    </row>
    <row r="28" spans="1:8" x14ac:dyDescent="0.3">
      <c r="A28" s="1">
        <v>2024</v>
      </c>
      <c r="B28" s="2">
        <v>3</v>
      </c>
      <c r="C28" s="2">
        <v>8032</v>
      </c>
      <c r="D28" s="2">
        <v>-37.37720255730548</v>
      </c>
      <c r="E28" s="2">
        <v>6.9169541621201205</v>
      </c>
      <c r="F28" s="2">
        <v>417931.35</v>
      </c>
      <c r="G28" s="2">
        <v>7.8185910660926394</v>
      </c>
      <c r="H28" s="2">
        <v>2.3063049558666568</v>
      </c>
    </row>
    <row r="29" spans="1:8" x14ac:dyDescent="0.3">
      <c r="A29" s="1">
        <v>2024</v>
      </c>
      <c r="B29" s="2">
        <v>4</v>
      </c>
      <c r="C29" s="2">
        <v>9739</v>
      </c>
      <c r="D29" s="2">
        <v>35.716276477146039</v>
      </c>
      <c r="E29" s="2">
        <v>6.9832364925424457</v>
      </c>
      <c r="F29" s="2">
        <v>416101.09</v>
      </c>
      <c r="G29" s="2">
        <v>5.3579264743367716</v>
      </c>
      <c r="H29" s="2">
        <v>2.4139749601588973</v>
      </c>
    </row>
    <row r="30" spans="1:8" x14ac:dyDescent="0.3">
      <c r="A30" s="1">
        <v>2025</v>
      </c>
      <c r="B30" s="2">
        <v>1</v>
      </c>
      <c r="C30" s="2">
        <v>8497</v>
      </c>
      <c r="D30" s="2">
        <v>-15.921234909954485</v>
      </c>
      <c r="E30" s="2">
        <v>7.0612687720751364</v>
      </c>
      <c r="F30" s="2">
        <v>420082.13</v>
      </c>
      <c r="G30" s="2">
        <v>6.6210125223977734</v>
      </c>
      <c r="H30" s="2">
        <v>2.5241301320607579</v>
      </c>
    </row>
    <row r="31" spans="1:8" x14ac:dyDescent="0.3">
      <c r="A31" s="1">
        <v>2025</v>
      </c>
      <c r="B31" s="2">
        <v>2</v>
      </c>
      <c r="C31" s="2">
        <v>11020.71</v>
      </c>
      <c r="D31" s="2">
        <v>28.043569187870322</v>
      </c>
      <c r="E31" s="2">
        <v>7.1523580585636441</v>
      </c>
      <c r="F31" s="2">
        <v>427221.57</v>
      </c>
      <c r="G31" s="2">
        <v>2.5739405045480224</v>
      </c>
      <c r="H31" s="2">
        <v>2.6342476120204483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31"/>
  <sheetViews>
    <sheetView topLeftCell="A25" workbookViewId="0">
      <selection activeCell="F27" sqref="F27"/>
    </sheetView>
  </sheetViews>
  <sheetFormatPr baseColWidth="10" defaultColWidth="11.42578125" defaultRowHeight="13.5" x14ac:dyDescent="0.3"/>
  <cols>
    <col min="1" max="1" width="4.42578125" style="1" bestFit="1" customWidth="1"/>
    <col min="2" max="2" width="12" style="1" customWidth="1"/>
    <col min="3" max="8" width="11.710937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87</v>
      </c>
      <c r="D1" s="3" t="s">
        <v>88</v>
      </c>
      <c r="E1" s="3" t="s">
        <v>89</v>
      </c>
      <c r="F1" s="3" t="s">
        <v>90</v>
      </c>
      <c r="G1" s="3" t="s">
        <v>91</v>
      </c>
      <c r="H1" s="3" t="s">
        <v>92</v>
      </c>
    </row>
    <row r="2" spans="1:8" x14ac:dyDescent="0.3">
      <c r="A2" s="1">
        <v>2018</v>
      </c>
      <c r="B2" s="1">
        <v>1</v>
      </c>
      <c r="C2" s="1">
        <v>109.851</v>
      </c>
      <c r="D2" s="1">
        <v>5.7</v>
      </c>
      <c r="E2" s="1">
        <v>3.7680550535918749</v>
      </c>
      <c r="F2" s="1">
        <v>114.994</v>
      </c>
      <c r="G2" s="1">
        <v>6.2</v>
      </c>
      <c r="H2" s="1">
        <v>4.9752133975209558</v>
      </c>
    </row>
    <row r="3" spans="1:8" x14ac:dyDescent="0.3">
      <c r="A3" s="1">
        <v>2018</v>
      </c>
      <c r="B3" s="1">
        <v>2</v>
      </c>
      <c r="C3" s="1">
        <v>113.437</v>
      </c>
      <c r="D3" s="1">
        <v>5.8</v>
      </c>
      <c r="E3" s="1">
        <v>3.9167909167584187</v>
      </c>
      <c r="F3" s="1">
        <v>117.941</v>
      </c>
      <c r="G3" s="1">
        <v>6.8</v>
      </c>
      <c r="H3" s="1">
        <v>5.0823365733549153</v>
      </c>
    </row>
    <row r="4" spans="1:8" x14ac:dyDescent="0.3">
      <c r="A4" s="1">
        <v>2018</v>
      </c>
      <c r="B4" s="1">
        <v>3</v>
      </c>
      <c r="C4" s="1">
        <v>113.896</v>
      </c>
      <c r="D4" s="1">
        <v>5.7</v>
      </c>
      <c r="E4" s="1">
        <v>4.0371952081004316</v>
      </c>
      <c r="F4" s="1">
        <v>120.491</v>
      </c>
      <c r="G4" s="1">
        <v>7.2</v>
      </c>
      <c r="H4" s="1">
        <v>5.1431284247000288</v>
      </c>
    </row>
    <row r="5" spans="1:8" x14ac:dyDescent="0.3">
      <c r="A5" s="1">
        <v>2018</v>
      </c>
      <c r="B5" s="1">
        <v>4</v>
      </c>
      <c r="C5" s="1">
        <v>114.568</v>
      </c>
      <c r="D5" s="1">
        <v>6.2</v>
      </c>
      <c r="E5" s="1">
        <v>4.1351804616565921</v>
      </c>
      <c r="F5" s="1">
        <v>120.95399999999999</v>
      </c>
      <c r="G5" s="1">
        <v>6.6</v>
      </c>
      <c r="H5" s="1">
        <v>5.1638525403176159</v>
      </c>
    </row>
    <row r="6" spans="1:8" x14ac:dyDescent="0.3">
      <c r="A6" s="1">
        <v>2019</v>
      </c>
      <c r="B6" s="1">
        <v>1</v>
      </c>
      <c r="C6" s="1">
        <v>116.10899999999999</v>
      </c>
      <c r="D6" s="1">
        <v>5.7</v>
      </c>
      <c r="E6" s="1">
        <v>4.2176984644605149</v>
      </c>
      <c r="F6" s="1">
        <v>122.758</v>
      </c>
      <c r="G6" s="1">
        <v>6.8</v>
      </c>
      <c r="H6" s="1">
        <v>5.1520580537035583</v>
      </c>
    </row>
    <row r="7" spans="1:8" x14ac:dyDescent="0.3">
      <c r="A7" s="1">
        <v>2019</v>
      </c>
      <c r="B7" s="1">
        <v>2</v>
      </c>
      <c r="C7" s="1">
        <v>115.962</v>
      </c>
      <c r="D7" s="1">
        <v>2.2000000000000002</v>
      </c>
      <c r="E7" s="1">
        <v>4.2929915157572793</v>
      </c>
      <c r="F7" s="1">
        <v>124.175</v>
      </c>
      <c r="G7" s="1">
        <v>5.3</v>
      </c>
      <c r="H7" s="1">
        <v>5.1161916905160396</v>
      </c>
    </row>
    <row r="8" spans="1:8" x14ac:dyDescent="0.3">
      <c r="A8" s="1">
        <v>2019</v>
      </c>
      <c r="B8" s="1">
        <v>3</v>
      </c>
      <c r="C8" s="1">
        <v>116.593</v>
      </c>
      <c r="D8" s="1">
        <v>2.4</v>
      </c>
      <c r="E8" s="1">
        <v>4.3702283532516777</v>
      </c>
      <c r="F8" s="1">
        <v>126.13500000000001</v>
      </c>
      <c r="G8" s="1">
        <v>4.7</v>
      </c>
      <c r="H8" s="1">
        <v>5.0657301401296788</v>
      </c>
    </row>
    <row r="9" spans="1:8" x14ac:dyDescent="0.3">
      <c r="A9" s="1">
        <v>2019</v>
      </c>
      <c r="B9" s="1">
        <v>4</v>
      </c>
      <c r="C9" s="1">
        <v>117.029</v>
      </c>
      <c r="D9" s="1">
        <v>2.1</v>
      </c>
      <c r="E9" s="1">
        <v>4.4572695949511525</v>
      </c>
      <c r="F9" s="1">
        <v>125.32</v>
      </c>
      <c r="G9" s="1">
        <v>3.6</v>
      </c>
      <c r="H9" s="1">
        <v>5.0102649721125214</v>
      </c>
    </row>
    <row r="10" spans="1:8" x14ac:dyDescent="0.3">
      <c r="A10" s="1">
        <v>2020</v>
      </c>
      <c r="B10" s="1">
        <v>1</v>
      </c>
      <c r="C10" s="1">
        <v>117.236</v>
      </c>
      <c r="D10" s="1">
        <v>1</v>
      </c>
      <c r="E10" s="1">
        <v>4.5607444661423644</v>
      </c>
      <c r="F10" s="1">
        <v>126.69499999999999</v>
      </c>
      <c r="G10" s="1">
        <v>3.2</v>
      </c>
      <c r="H10" s="1">
        <v>4.9591591746950314</v>
      </c>
    </row>
    <row r="11" spans="1:8" x14ac:dyDescent="0.3">
      <c r="A11" s="1">
        <v>2020</v>
      </c>
      <c r="B11" s="1">
        <v>2</v>
      </c>
      <c r="C11" s="1">
        <v>117.45699999999999</v>
      </c>
      <c r="D11" s="1">
        <v>1.3</v>
      </c>
      <c r="E11" s="1">
        <v>4.6858088986151314</v>
      </c>
      <c r="F11" s="1">
        <v>126.79900000000001</v>
      </c>
      <c r="G11" s="1">
        <v>2.1</v>
      </c>
      <c r="H11" s="1">
        <v>4.9208943205001052</v>
      </c>
    </row>
    <row r="12" spans="1:8" x14ac:dyDescent="0.3">
      <c r="A12" s="1">
        <v>2020</v>
      </c>
      <c r="B12" s="1">
        <v>3</v>
      </c>
      <c r="C12" s="1">
        <v>118.2</v>
      </c>
      <c r="D12" s="1">
        <v>1.4</v>
      </c>
      <c r="E12" s="1">
        <v>4.8353933588679325</v>
      </c>
      <c r="F12" s="1">
        <v>128.255</v>
      </c>
      <c r="G12" s="1">
        <v>1.7</v>
      </c>
      <c r="H12" s="1">
        <v>4.902852507666454</v>
      </c>
    </row>
    <row r="13" spans="1:8" x14ac:dyDescent="0.3">
      <c r="A13" s="1">
        <v>2020</v>
      </c>
      <c r="B13" s="1">
        <v>4</v>
      </c>
      <c r="C13" s="1">
        <v>118.42400000000001</v>
      </c>
      <c r="D13" s="1">
        <v>1.2</v>
      </c>
      <c r="E13" s="1">
        <v>5.0103121828376116</v>
      </c>
      <c r="F13" s="1">
        <v>127.179</v>
      </c>
      <c r="G13" s="1">
        <v>1.5</v>
      </c>
      <c r="H13" s="1">
        <v>4.9106527753824762</v>
      </c>
    </row>
    <row r="14" spans="1:8" x14ac:dyDescent="0.3">
      <c r="A14" s="1">
        <v>2021</v>
      </c>
      <c r="B14" s="1">
        <v>1</v>
      </c>
      <c r="C14" s="1">
        <v>119.634</v>
      </c>
      <c r="D14" s="1">
        <v>2</v>
      </c>
      <c r="E14" s="1">
        <v>5.209232585611721</v>
      </c>
      <c r="F14" s="1">
        <v>127.831</v>
      </c>
      <c r="G14" s="1">
        <v>0.9</v>
      </c>
      <c r="H14" s="1">
        <v>4.9479123800192797</v>
      </c>
    </row>
    <row r="15" spans="1:8" x14ac:dyDescent="0.3">
      <c r="A15" s="1">
        <v>2021</v>
      </c>
      <c r="B15" s="1">
        <v>2</v>
      </c>
      <c r="C15" s="1">
        <v>123.708</v>
      </c>
      <c r="D15" s="1">
        <v>5.3</v>
      </c>
      <c r="E15" s="1">
        <v>5.428440337163539</v>
      </c>
      <c r="F15" s="1">
        <v>130.93700000000001</v>
      </c>
      <c r="G15" s="1">
        <v>3.3</v>
      </c>
      <c r="H15" s="1">
        <v>5.0161169199633582</v>
      </c>
    </row>
    <row r="16" spans="1:8" x14ac:dyDescent="0.3">
      <c r="A16" s="1">
        <v>2021</v>
      </c>
      <c r="B16" s="1">
        <v>3</v>
      </c>
      <c r="C16" s="1">
        <v>126.327</v>
      </c>
      <c r="D16" s="1">
        <v>6.9</v>
      </c>
      <c r="E16" s="1">
        <v>5.662215437100337</v>
      </c>
      <c r="F16" s="1">
        <v>133.65199999999999</v>
      </c>
      <c r="G16" s="1">
        <v>4.2</v>
      </c>
      <c r="H16" s="1">
        <v>5.1142220483636933</v>
      </c>
    </row>
    <row r="17" spans="1:8" x14ac:dyDescent="0.3">
      <c r="A17" s="1">
        <v>2021</v>
      </c>
      <c r="B17" s="1">
        <v>4</v>
      </c>
      <c r="C17" s="1">
        <v>127.541</v>
      </c>
      <c r="D17" s="1">
        <v>7.7</v>
      </c>
      <c r="E17" s="1">
        <v>5.9047576098186596</v>
      </c>
      <c r="F17" s="1">
        <v>135.291</v>
      </c>
      <c r="G17" s="1">
        <v>6.4</v>
      </c>
      <c r="H17" s="1">
        <v>5.2401108452942902</v>
      </c>
    </row>
    <row r="18" spans="1:8" x14ac:dyDescent="0.3">
      <c r="A18" s="1">
        <v>2022</v>
      </c>
      <c r="B18" s="1">
        <v>1</v>
      </c>
      <c r="C18" s="1">
        <v>132.76</v>
      </c>
      <c r="D18" s="1">
        <v>11</v>
      </c>
      <c r="E18" s="1">
        <v>6.1510401950668641</v>
      </c>
      <c r="F18" s="1">
        <v>138.74199999999999</v>
      </c>
      <c r="G18" s="1">
        <v>8.5</v>
      </c>
      <c r="H18" s="1">
        <v>5.3910950020489272</v>
      </c>
    </row>
    <row r="19" spans="1:8" x14ac:dyDescent="0.3">
      <c r="A19" s="1">
        <v>2022</v>
      </c>
      <c r="B19" s="1">
        <v>2</v>
      </c>
      <c r="C19" s="1">
        <v>136.00700000000001</v>
      </c>
      <c r="D19" s="1">
        <v>9.9</v>
      </c>
      <c r="E19" s="1">
        <v>6.3971585590871713</v>
      </c>
      <c r="F19" s="1">
        <v>141.43299999999999</v>
      </c>
      <c r="G19" s="1">
        <v>8</v>
      </c>
      <c r="H19" s="1">
        <v>5.5652111406430729</v>
      </c>
    </row>
    <row r="20" spans="1:8" x14ac:dyDescent="0.3">
      <c r="A20" s="1">
        <v>2022</v>
      </c>
      <c r="B20" s="1">
        <v>3</v>
      </c>
      <c r="C20" s="1">
        <v>138.12</v>
      </c>
      <c r="D20" s="1">
        <v>9.3000000000000007</v>
      </c>
      <c r="E20" s="1">
        <v>6.6422386679998846</v>
      </c>
      <c r="F20" s="1">
        <v>143.86000000000001</v>
      </c>
      <c r="G20" s="1">
        <v>7.6</v>
      </c>
      <c r="H20" s="1">
        <v>5.7624389487159151</v>
      </c>
    </row>
    <row r="21" spans="1:8" x14ac:dyDescent="0.3">
      <c r="A21" s="1">
        <v>2022</v>
      </c>
      <c r="B21" s="1">
        <v>4</v>
      </c>
      <c r="C21" s="1">
        <v>138.48500000000001</v>
      </c>
      <c r="D21" s="1">
        <v>8.6</v>
      </c>
      <c r="E21" s="1">
        <v>6.8875957638258782</v>
      </c>
      <c r="F21" s="1">
        <v>142.666</v>
      </c>
      <c r="G21" s="1">
        <v>5.5</v>
      </c>
      <c r="H21" s="1">
        <v>5.9842798569437399</v>
      </c>
    </row>
    <row r="22" spans="1:8" x14ac:dyDescent="0.3">
      <c r="A22" s="1">
        <v>2023</v>
      </c>
      <c r="B22" s="1">
        <v>1</v>
      </c>
      <c r="C22" s="1">
        <v>140.17400000000001</v>
      </c>
      <c r="D22" s="1">
        <v>5.6</v>
      </c>
      <c r="E22" s="1">
        <v>7.1362061894185276</v>
      </c>
      <c r="F22" s="1">
        <v>143.58000000000001</v>
      </c>
      <c r="G22" s="1">
        <v>3.5</v>
      </c>
      <c r="H22" s="1">
        <v>6.233383771659887</v>
      </c>
    </row>
    <row r="23" spans="1:8" x14ac:dyDescent="0.3">
      <c r="A23" s="1">
        <v>2023</v>
      </c>
      <c r="B23" s="1">
        <v>2</v>
      </c>
      <c r="C23" s="1">
        <v>142.46700000000001</v>
      </c>
      <c r="D23" s="1">
        <v>4.7</v>
      </c>
      <c r="E23" s="1">
        <v>7.392116540278816</v>
      </c>
      <c r="F23" s="1">
        <v>146.583</v>
      </c>
      <c r="G23" s="1">
        <v>3.6</v>
      </c>
      <c r="H23" s="1">
        <v>6.5120979242871071</v>
      </c>
    </row>
    <row r="24" spans="1:8" x14ac:dyDescent="0.3">
      <c r="A24" s="1">
        <v>2023</v>
      </c>
      <c r="B24" s="1">
        <v>3</v>
      </c>
      <c r="C24" s="1">
        <v>146.30000000000001</v>
      </c>
      <c r="D24" s="1">
        <v>5.92</v>
      </c>
      <c r="E24" s="1">
        <v>7.6584132830393417</v>
      </c>
      <c r="F24" s="1">
        <v>150.27000000000001</v>
      </c>
      <c r="G24" s="1">
        <v>4.46</v>
      </c>
      <c r="H24" s="1">
        <v>6.8210611813908626</v>
      </c>
    </row>
    <row r="25" spans="1:8" x14ac:dyDescent="0.3">
      <c r="A25" s="1">
        <v>2023</v>
      </c>
      <c r="B25" s="1">
        <v>4</v>
      </c>
      <c r="C25" s="1">
        <v>144.49199999999999</v>
      </c>
      <c r="D25" s="1">
        <v>4.3</v>
      </c>
      <c r="E25" s="1">
        <v>7.9365003114950277</v>
      </c>
      <c r="F25" s="1">
        <v>148.69</v>
      </c>
      <c r="G25" s="1">
        <v>4.2</v>
      </c>
      <c r="H25" s="1">
        <v>7.1590923483339362</v>
      </c>
    </row>
    <row r="26" spans="1:8" x14ac:dyDescent="0.3">
      <c r="A26" s="1">
        <v>2024</v>
      </c>
      <c r="B26" s="1">
        <v>1</v>
      </c>
      <c r="C26" s="1">
        <v>149.71600000000001</v>
      </c>
      <c r="D26" s="1">
        <v>6.8</v>
      </c>
      <c r="E26" s="1">
        <v>8.2266950111388955</v>
      </c>
      <c r="F26" s="1">
        <v>152.61799999999999</v>
      </c>
      <c r="G26" s="1">
        <v>6.3</v>
      </c>
      <c r="H26" s="1">
        <v>7.5235345672407403</v>
      </c>
    </row>
    <row r="27" spans="1:8" x14ac:dyDescent="0.3">
      <c r="A27" s="1">
        <v>2024</v>
      </c>
      <c r="B27" s="1">
        <v>2</v>
      </c>
      <c r="C27" s="1">
        <v>154.78200000000001</v>
      </c>
      <c r="D27" s="1">
        <v>8.6</v>
      </c>
      <c r="E27" s="1">
        <v>8.5270419547692828</v>
      </c>
      <c r="F27" s="1">
        <v>158.083</v>
      </c>
      <c r="G27" s="1">
        <v>7.8</v>
      </c>
      <c r="H27" s="1">
        <v>7.9098815475179789</v>
      </c>
    </row>
    <row r="28" spans="1:8" x14ac:dyDescent="0.3">
      <c r="A28" s="1">
        <v>2024</v>
      </c>
      <c r="B28" s="1">
        <v>3</v>
      </c>
      <c r="C28" s="1">
        <v>159.26400000000001</v>
      </c>
      <c r="D28" s="1">
        <v>8.9</v>
      </c>
      <c r="E28" s="1">
        <v>8.8346940308025665</v>
      </c>
      <c r="F28" s="1">
        <v>162.52099999999999</v>
      </c>
      <c r="G28" s="1">
        <v>8.1</v>
      </c>
      <c r="H28" s="1">
        <v>8.3128622894678301</v>
      </c>
    </row>
    <row r="29" spans="1:8" x14ac:dyDescent="0.3">
      <c r="A29" s="1">
        <v>2024</v>
      </c>
      <c r="B29" s="1">
        <v>4</v>
      </c>
      <c r="C29" s="1">
        <v>161.488</v>
      </c>
      <c r="D29" s="1">
        <v>11.8</v>
      </c>
      <c r="E29" s="1">
        <v>9.1468497264333894</v>
      </c>
      <c r="F29" s="1">
        <v>165.43299999999999</v>
      </c>
      <c r="G29" s="1">
        <v>11.3</v>
      </c>
      <c r="H29" s="1">
        <v>8.7271371174252721</v>
      </c>
    </row>
    <row r="30" spans="1:8" x14ac:dyDescent="0.3">
      <c r="A30" s="1">
        <v>2025</v>
      </c>
      <c r="B30" s="1">
        <v>1</v>
      </c>
      <c r="C30" s="1">
        <v>165.005</v>
      </c>
      <c r="D30" s="1">
        <v>10.199999999999999</v>
      </c>
      <c r="E30" s="1">
        <v>9.4607483450871452</v>
      </c>
      <c r="F30" s="1">
        <v>171.29599999999999</v>
      </c>
      <c r="G30" s="1">
        <v>12.2</v>
      </c>
      <c r="H30" s="1">
        <v>9.1472333167943667</v>
      </c>
    </row>
    <row r="31" spans="1:8" x14ac:dyDescent="0.3">
      <c r="A31" s="1">
        <v>2025</v>
      </c>
      <c r="B31" s="1">
        <v>2</v>
      </c>
      <c r="C31" s="1">
        <v>171.52699999999999</v>
      </c>
      <c r="D31" s="1">
        <v>10.8</v>
      </c>
      <c r="E31" s="1">
        <v>9.7752874091102075</v>
      </c>
      <c r="F31" s="1">
        <v>178.184</v>
      </c>
      <c r="G31" s="1">
        <v>12.7</v>
      </c>
      <c r="H31" s="1">
        <v>9.5692862122807849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-0.249977111117893"/>
  </sheetPr>
  <dimension ref="A1:H54"/>
  <sheetViews>
    <sheetView topLeftCell="A22" workbookViewId="0">
      <selection activeCell="G42" sqref="G42"/>
    </sheetView>
  </sheetViews>
  <sheetFormatPr baseColWidth="10" defaultColWidth="11.42578125" defaultRowHeight="13.5" x14ac:dyDescent="0.3"/>
  <cols>
    <col min="1" max="1" width="4.7109375" style="1" bestFit="1" customWidth="1"/>
    <col min="2" max="2" width="12" style="1" customWidth="1"/>
    <col min="3" max="8" width="11.140625" style="1" customWidth="1"/>
    <col min="9" max="16384" width="11.42578125" style="1"/>
  </cols>
  <sheetData>
    <row r="1" spans="1:8" s="3" customFormat="1" ht="81" x14ac:dyDescent="0.25">
      <c r="A1" s="3" t="s">
        <v>2</v>
      </c>
      <c r="B1" s="3" t="s">
        <v>0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</row>
    <row r="2" spans="1:8" x14ac:dyDescent="0.3">
      <c r="A2" s="1">
        <v>2018</v>
      </c>
      <c r="B2" s="2">
        <v>1</v>
      </c>
      <c r="C2" s="2">
        <v>1397</v>
      </c>
      <c r="D2" s="2">
        <v>6.9678407350689087</v>
      </c>
      <c r="E2" s="2">
        <v>14.576340768269324</v>
      </c>
      <c r="F2" s="2">
        <v>135438</v>
      </c>
      <c r="G2" s="2">
        <v>8.5623136362178887</v>
      </c>
      <c r="H2" s="2">
        <v>10.265147769339988</v>
      </c>
    </row>
    <row r="3" spans="1:8" x14ac:dyDescent="0.3">
      <c r="A3" s="1">
        <v>2018</v>
      </c>
      <c r="B3" s="2">
        <v>2</v>
      </c>
      <c r="C3" s="2">
        <v>1920</v>
      </c>
      <c r="D3" s="2">
        <v>13.744075829383885</v>
      </c>
      <c r="E3" s="2">
        <v>14.305888843025251</v>
      </c>
      <c r="F3" s="2">
        <v>161374</v>
      </c>
      <c r="G3" s="2">
        <v>12.251584226598311</v>
      </c>
      <c r="H3" s="2">
        <v>9.9170424319998283</v>
      </c>
    </row>
    <row r="4" spans="1:8" x14ac:dyDescent="0.3">
      <c r="A4" s="1">
        <v>2018</v>
      </c>
      <c r="B4" s="2">
        <v>3</v>
      </c>
      <c r="C4" s="2">
        <v>1782</v>
      </c>
      <c r="D4" s="2">
        <v>16.242661448140904</v>
      </c>
      <c r="E4" s="2">
        <v>14.002085779719962</v>
      </c>
      <c r="F4" s="2">
        <v>131800</v>
      </c>
      <c r="G4" s="2">
        <v>10.605730014601967</v>
      </c>
      <c r="H4" s="2">
        <v>9.575900121700629</v>
      </c>
    </row>
    <row r="5" spans="1:8" x14ac:dyDescent="0.3">
      <c r="A5" s="1">
        <v>2018</v>
      </c>
      <c r="B5" s="2">
        <v>4</v>
      </c>
      <c r="C5" s="2">
        <v>1973</v>
      </c>
      <c r="D5" s="2">
        <v>-6.5371861676930321</v>
      </c>
      <c r="E5" s="2">
        <v>13.692815752226931</v>
      </c>
      <c r="F5" s="2">
        <v>154276</v>
      </c>
      <c r="G5" s="2">
        <v>6.7048456931015021</v>
      </c>
      <c r="H5" s="2">
        <v>9.2643547209991777</v>
      </c>
    </row>
    <row r="6" spans="1:8" x14ac:dyDescent="0.3">
      <c r="A6" s="1">
        <v>2019</v>
      </c>
      <c r="B6" s="2">
        <v>1</v>
      </c>
      <c r="C6" s="2">
        <v>1626</v>
      </c>
      <c r="D6" s="2">
        <v>16.392269148174666</v>
      </c>
      <c r="E6" s="2">
        <v>13.407363294212395</v>
      </c>
      <c r="F6" s="2">
        <v>138374</v>
      </c>
      <c r="G6" s="2">
        <v>2.1677815679499002</v>
      </c>
      <c r="H6" s="2">
        <v>9.0056837561353262</v>
      </c>
    </row>
    <row r="7" spans="1:8" x14ac:dyDescent="0.3">
      <c r="A7" s="1">
        <v>2019</v>
      </c>
      <c r="B7" s="2">
        <v>2</v>
      </c>
      <c r="C7" s="2">
        <v>1899</v>
      </c>
      <c r="D7" s="2">
        <v>-1.0937500000000044</v>
      </c>
      <c r="E7" s="2">
        <v>13.162369188142641</v>
      </c>
      <c r="F7" s="2">
        <v>149600</v>
      </c>
      <c r="G7" s="2">
        <v>-7.2960947860250087</v>
      </c>
      <c r="H7" s="2">
        <v>8.8215650602064901</v>
      </c>
    </row>
    <row r="8" spans="1:8" x14ac:dyDescent="0.3">
      <c r="A8" s="1">
        <v>2019</v>
      </c>
      <c r="B8" s="2">
        <v>3</v>
      </c>
      <c r="C8" s="2">
        <v>1675</v>
      </c>
      <c r="D8" s="2">
        <v>-6.0044893378226716</v>
      </c>
      <c r="E8" s="2">
        <v>12.976339782642684</v>
      </c>
      <c r="F8" s="2">
        <v>123687</v>
      </c>
      <c r="G8" s="2">
        <v>-6.1555386949924129</v>
      </c>
      <c r="H8" s="2">
        <v>8.7294027774424681</v>
      </c>
    </row>
    <row r="9" spans="1:8" x14ac:dyDescent="0.3">
      <c r="A9" s="1">
        <v>2019</v>
      </c>
      <c r="B9" s="2">
        <v>4</v>
      </c>
      <c r="C9" s="2">
        <v>2050</v>
      </c>
      <c r="D9" s="2">
        <v>3.9026862645717086</v>
      </c>
      <c r="E9" s="2">
        <v>12.858871351844952</v>
      </c>
      <c r="F9" s="2">
        <v>158332</v>
      </c>
      <c r="G9" s="2">
        <v>2.6290544219450762</v>
      </c>
      <c r="H9" s="2">
        <v>8.7365275146691648</v>
      </c>
    </row>
    <row r="10" spans="1:8" x14ac:dyDescent="0.3">
      <c r="A10" s="1">
        <v>2020</v>
      </c>
      <c r="B10" s="2">
        <v>1</v>
      </c>
      <c r="C10" s="2">
        <v>1519</v>
      </c>
      <c r="D10" s="2">
        <v>-6.5805658056580558</v>
      </c>
      <c r="E10" s="2">
        <v>12.80769715168158</v>
      </c>
      <c r="F10" s="2">
        <v>116029</v>
      </c>
      <c r="G10" s="2">
        <v>-16.148264847442441</v>
      </c>
      <c r="H10" s="2">
        <v>8.8409667902922173</v>
      </c>
    </row>
    <row r="11" spans="1:8" x14ac:dyDescent="0.3">
      <c r="A11" s="1">
        <v>2020</v>
      </c>
      <c r="B11" s="2">
        <v>2</v>
      </c>
      <c r="C11" s="2">
        <v>1073</v>
      </c>
      <c r="D11" s="2">
        <v>-43.496577145866247</v>
      </c>
      <c r="E11" s="2">
        <v>12.814952822405159</v>
      </c>
      <c r="F11" s="2">
        <v>78918</v>
      </c>
      <c r="G11" s="2">
        <v>-47.247326203208559</v>
      </c>
      <c r="H11" s="2">
        <v>9.0369309520343073</v>
      </c>
    </row>
    <row r="12" spans="1:8" x14ac:dyDescent="0.3">
      <c r="A12" s="1">
        <v>2020</v>
      </c>
      <c r="B12" s="2">
        <v>3</v>
      </c>
      <c r="C12" s="2">
        <v>2003</v>
      </c>
      <c r="D12" s="2">
        <v>19.582089552238813</v>
      </c>
      <c r="E12" s="2">
        <v>12.860656339919942</v>
      </c>
      <c r="F12" s="2">
        <v>132113</v>
      </c>
      <c r="G12" s="2">
        <v>6.8123569979060106</v>
      </c>
      <c r="H12" s="2">
        <v>9.3030120778445298</v>
      </c>
    </row>
    <row r="13" spans="1:8" x14ac:dyDescent="0.3">
      <c r="A13" s="1">
        <v>2020</v>
      </c>
      <c r="B13" s="2">
        <v>4</v>
      </c>
      <c r="C13" s="2">
        <v>2302</v>
      </c>
      <c r="D13" s="2">
        <v>12.292682926829279</v>
      </c>
      <c r="E13" s="2">
        <v>12.88963097390001</v>
      </c>
      <c r="F13" s="2">
        <v>160294</v>
      </c>
      <c r="G13" s="2">
        <v>1.2391683298385692</v>
      </c>
      <c r="H13" s="2">
        <v>9.5826245849499561</v>
      </c>
    </row>
    <row r="14" spans="1:8" x14ac:dyDescent="0.3">
      <c r="A14" s="1">
        <v>2021</v>
      </c>
      <c r="B14" s="2">
        <v>1</v>
      </c>
      <c r="C14" s="2">
        <v>1794</v>
      </c>
      <c r="D14" s="2">
        <v>18.104015799868336</v>
      </c>
      <c r="E14" s="2">
        <v>12.850900889777149</v>
      </c>
      <c r="F14" s="2">
        <v>141851</v>
      </c>
      <c r="G14" s="2">
        <v>22.254781132303126</v>
      </c>
      <c r="H14" s="2">
        <v>9.8176262311526958</v>
      </c>
    </row>
    <row r="15" spans="1:8" x14ac:dyDescent="0.3">
      <c r="A15" s="1">
        <v>2021</v>
      </c>
      <c r="B15" s="2">
        <v>2</v>
      </c>
      <c r="C15" s="2">
        <v>2475</v>
      </c>
      <c r="D15" s="2">
        <v>130.66169617893758</v>
      </c>
      <c r="E15" s="2">
        <v>12.693117160453724</v>
      </c>
      <c r="F15" s="2">
        <v>177997</v>
      </c>
      <c r="G15" s="2">
        <v>125.54677006513089</v>
      </c>
      <c r="H15" s="2">
        <v>9.9446601140954147</v>
      </c>
    </row>
    <row r="16" spans="1:8" x14ac:dyDescent="0.3">
      <c r="A16" s="1">
        <v>2021</v>
      </c>
      <c r="B16" s="2">
        <v>3</v>
      </c>
      <c r="C16" s="2">
        <v>2708</v>
      </c>
      <c r="D16" s="2">
        <v>35.197204193709439</v>
      </c>
      <c r="E16" s="2">
        <v>12.36821405565091</v>
      </c>
      <c r="F16" s="2">
        <v>161300</v>
      </c>
      <c r="G16" s="2">
        <v>22.092451159234905</v>
      </c>
      <c r="H16" s="2">
        <v>9.9081425532339988</v>
      </c>
    </row>
    <row r="17" spans="1:8" x14ac:dyDescent="0.3">
      <c r="A17" s="1">
        <v>2021</v>
      </c>
      <c r="B17" s="2">
        <v>4</v>
      </c>
      <c r="C17" s="2">
        <v>2703</v>
      </c>
      <c r="D17" s="2">
        <v>17.419635099913112</v>
      </c>
      <c r="E17" s="2">
        <v>11.901856206976429</v>
      </c>
      <c r="F17" s="2">
        <v>193101</v>
      </c>
      <c r="G17" s="2">
        <v>20.466767315058586</v>
      </c>
      <c r="H17" s="2">
        <v>9.7247411867437314</v>
      </c>
    </row>
    <row r="18" spans="1:8" x14ac:dyDescent="0.3">
      <c r="A18" s="1">
        <v>2022</v>
      </c>
      <c r="B18" s="2">
        <v>1</v>
      </c>
      <c r="C18" s="2">
        <v>2205</v>
      </c>
      <c r="D18" s="2">
        <v>22.909698996655514</v>
      </c>
      <c r="E18" s="2">
        <v>11.333976364874292</v>
      </c>
      <c r="F18" s="2">
        <v>175383</v>
      </c>
      <c r="G18" s="2">
        <v>23.638888693065251</v>
      </c>
      <c r="H18" s="2">
        <v>9.4187388456786429</v>
      </c>
    </row>
    <row r="19" spans="1:8" x14ac:dyDescent="0.3">
      <c r="A19" s="1">
        <v>2022</v>
      </c>
      <c r="B19" s="2">
        <v>2</v>
      </c>
      <c r="C19" s="2">
        <v>2735</v>
      </c>
      <c r="D19" s="2">
        <v>10.505050505050505</v>
      </c>
      <c r="E19" s="2">
        <v>10.707955891596592</v>
      </c>
      <c r="F19" s="2">
        <v>199578</v>
      </c>
      <c r="G19" s="2">
        <v>12.124361646544601</v>
      </c>
      <c r="H19" s="2">
        <v>9.0211321274229608</v>
      </c>
    </row>
    <row r="20" spans="1:8" x14ac:dyDescent="0.3">
      <c r="A20" s="1">
        <v>2022</v>
      </c>
      <c r="B20" s="2">
        <v>3</v>
      </c>
      <c r="C20" s="2">
        <v>2192</v>
      </c>
      <c r="D20" s="2">
        <v>-19.054652880354507</v>
      </c>
      <c r="E20" s="2">
        <v>10.074410976040287</v>
      </c>
      <c r="F20" s="2">
        <v>168793</v>
      </c>
      <c r="G20" s="2">
        <v>4.6453812771233727</v>
      </c>
      <c r="H20" s="2">
        <v>8.5718052230155291</v>
      </c>
    </row>
    <row r="21" spans="1:8" x14ac:dyDescent="0.3">
      <c r="A21" s="1">
        <v>2022</v>
      </c>
      <c r="B21" s="2">
        <v>4</v>
      </c>
      <c r="C21" s="2">
        <v>2277</v>
      </c>
      <c r="D21" s="2">
        <v>-15.760266370699227</v>
      </c>
      <c r="E21" s="2">
        <v>9.4838309912357417</v>
      </c>
      <c r="F21" s="2">
        <v>173980</v>
      </c>
      <c r="G21" s="2">
        <v>-9.9020719726982236</v>
      </c>
      <c r="H21" s="2">
        <v>8.1125818419446407</v>
      </c>
    </row>
    <row r="22" spans="1:8" x14ac:dyDescent="0.3">
      <c r="A22" s="1">
        <v>2023</v>
      </c>
      <c r="B22" s="2">
        <v>1</v>
      </c>
      <c r="C22" s="2">
        <v>1908</v>
      </c>
      <c r="D22" s="2">
        <v>-13.469387755102035</v>
      </c>
      <c r="E22" s="2">
        <v>8.9684996453030763</v>
      </c>
      <c r="F22" s="2">
        <v>158006</v>
      </c>
      <c r="G22" s="2">
        <v>-9.9080298546609384</v>
      </c>
      <c r="H22" s="2">
        <v>7.6828316787324091</v>
      </c>
    </row>
    <row r="23" spans="1:8" x14ac:dyDescent="0.3">
      <c r="A23" s="1">
        <v>2023</v>
      </c>
      <c r="B23" s="2">
        <v>2</v>
      </c>
      <c r="C23" s="2">
        <v>2332</v>
      </c>
      <c r="D23" s="2">
        <v>-14.734917733089581</v>
      </c>
      <c r="E23" s="2">
        <v>8.5449230855112006</v>
      </c>
      <c r="F23" s="2">
        <v>170564</v>
      </c>
      <c r="G23" s="2">
        <v>-14.537674493180608</v>
      </c>
      <c r="H23" s="2">
        <v>7.3106652692667939</v>
      </c>
    </row>
    <row r="24" spans="1:8" x14ac:dyDescent="0.3">
      <c r="A24" s="1">
        <v>2023</v>
      </c>
      <c r="B24" s="2">
        <v>3</v>
      </c>
      <c r="C24" s="2">
        <v>2076</v>
      </c>
      <c r="D24" s="2">
        <v>-5.2919708029197103</v>
      </c>
      <c r="E24" s="2">
        <v>8.2155837795037741</v>
      </c>
      <c r="F24" s="2">
        <v>142281</v>
      </c>
      <c r="G24" s="2">
        <v>-15.706812486299793</v>
      </c>
      <c r="H24" s="2">
        <v>7.0131988609773872</v>
      </c>
    </row>
    <row r="25" spans="1:8" x14ac:dyDescent="0.3">
      <c r="A25" s="1">
        <v>2023</v>
      </c>
      <c r="B25" s="2">
        <v>4</v>
      </c>
      <c r="C25" s="2">
        <v>2280</v>
      </c>
      <c r="D25" s="2">
        <v>0.13175230566535578</v>
      </c>
      <c r="E25" s="2">
        <v>7.9684142944128293</v>
      </c>
      <c r="F25" s="2">
        <v>167740</v>
      </c>
      <c r="G25" s="2">
        <v>-3.5866191516266244</v>
      </c>
      <c r="H25" s="2">
        <v>6.7938934889422518</v>
      </c>
    </row>
    <row r="26" spans="1:8" x14ac:dyDescent="0.3">
      <c r="A26" s="1">
        <v>2024</v>
      </c>
      <c r="B26" s="2">
        <v>1</v>
      </c>
      <c r="C26" s="2">
        <v>2220</v>
      </c>
      <c r="D26" s="2">
        <v>16.35220125786163</v>
      </c>
      <c r="E26" s="2">
        <v>7.7829049757563844</v>
      </c>
      <c r="F26" s="2">
        <v>160441</v>
      </c>
      <c r="G26" s="2">
        <v>1.5410807184537356</v>
      </c>
      <c r="H26" s="2">
        <v>6.6420101811474002</v>
      </c>
    </row>
    <row r="27" spans="1:8" x14ac:dyDescent="0.3">
      <c r="A27" s="1">
        <v>2024</v>
      </c>
      <c r="B27" s="2">
        <v>2</v>
      </c>
      <c r="C27" s="2">
        <v>2763</v>
      </c>
      <c r="D27" s="2">
        <v>18.4819897084048</v>
      </c>
      <c r="E27" s="2">
        <v>7.6336482553094891</v>
      </c>
      <c r="F27" s="2">
        <v>189761</v>
      </c>
      <c r="G27" s="2">
        <v>11.255012781126151</v>
      </c>
      <c r="H27" s="2">
        <v>6.5403221451784894</v>
      </c>
    </row>
    <row r="28" spans="1:8" x14ac:dyDescent="0.3">
      <c r="A28" s="1">
        <v>2024</v>
      </c>
      <c r="B28" s="2">
        <v>3</v>
      </c>
      <c r="C28" s="2">
        <v>2385</v>
      </c>
      <c r="D28" s="2">
        <v>14.884393063583822</v>
      </c>
      <c r="E28" s="2">
        <v>7.5005923750235093</v>
      </c>
      <c r="F28" s="2">
        <v>166176</v>
      </c>
      <c r="G28" s="2">
        <v>16.794231134164072</v>
      </c>
      <c r="H28" s="2">
        <v>6.4684145077069921</v>
      </c>
    </row>
    <row r="29" spans="1:8" x14ac:dyDescent="0.3">
      <c r="A29" s="1">
        <v>2024</v>
      </c>
      <c r="B29" s="2">
        <v>4</v>
      </c>
      <c r="C29" s="2">
        <v>2750</v>
      </c>
      <c r="D29" s="2">
        <v>20.614035087719309</v>
      </c>
      <c r="E29" s="2">
        <v>7.3704657902579944</v>
      </c>
      <c r="F29" s="2">
        <v>199300</v>
      </c>
      <c r="G29" s="2">
        <v>18.814832478836287</v>
      </c>
      <c r="H29" s="2">
        <v>6.4088190770518478</v>
      </c>
    </row>
    <row r="30" spans="1:8" x14ac:dyDescent="0.3">
      <c r="A30" s="1">
        <v>2025</v>
      </c>
      <c r="B30" s="2">
        <v>1</v>
      </c>
      <c r="C30" s="2">
        <v>2611</v>
      </c>
      <c r="D30" s="2">
        <v>17.612612612612622</v>
      </c>
      <c r="E30" s="2">
        <v>7.2346118318028445</v>
      </c>
      <c r="F30" s="2">
        <v>184040</v>
      </c>
      <c r="G30" s="2">
        <v>14.70883377690242</v>
      </c>
      <c r="H30" s="2">
        <v>6.3505212969235325</v>
      </c>
    </row>
    <row r="31" spans="1:8" x14ac:dyDescent="0.3">
      <c r="A31" s="1">
        <v>2025</v>
      </c>
      <c r="B31" s="2">
        <v>2</v>
      </c>
      <c r="C31" s="2">
        <v>2689</v>
      </c>
      <c r="D31" s="2">
        <v>-2.6782482808541452</v>
      </c>
      <c r="E31" s="2">
        <v>7.0926510612588736</v>
      </c>
      <c r="F31" s="2">
        <v>195737</v>
      </c>
      <c r="G31" s="2">
        <v>3.1492245508824235</v>
      </c>
      <c r="H31" s="2">
        <v>6.2902603694086379</v>
      </c>
    </row>
    <row r="32" spans="1:8" x14ac:dyDescent="0.3">
      <c r="B32" s="2"/>
      <c r="C32" s="2"/>
      <c r="D32" s="2"/>
      <c r="E32" s="2"/>
      <c r="F32" s="2"/>
      <c r="G32" s="2"/>
      <c r="H32" s="2"/>
    </row>
    <row r="33" spans="2:8" x14ac:dyDescent="0.3">
      <c r="B33" s="2"/>
      <c r="C33" s="2"/>
      <c r="D33" s="2"/>
      <c r="E33" s="2"/>
      <c r="F33" s="2"/>
      <c r="G33" s="2"/>
      <c r="H33" s="2"/>
    </row>
    <row r="34" spans="2:8" x14ac:dyDescent="0.3">
      <c r="B34" s="2"/>
      <c r="C34" s="2"/>
      <c r="D34" s="2"/>
      <c r="E34" s="2"/>
      <c r="F34" s="2"/>
      <c r="G34" s="2"/>
      <c r="H34" s="2"/>
    </row>
    <row r="35" spans="2:8" x14ac:dyDescent="0.3">
      <c r="B35" s="2"/>
      <c r="C35" s="2"/>
      <c r="D35" s="2"/>
      <c r="E35" s="2"/>
      <c r="F35" s="2"/>
      <c r="G35" s="2"/>
      <c r="H35" s="2"/>
    </row>
    <row r="36" spans="2:8" x14ac:dyDescent="0.3">
      <c r="B36" s="2"/>
      <c r="C36" s="2"/>
      <c r="D36" s="2"/>
      <c r="E36" s="2"/>
      <c r="F36" s="2"/>
      <c r="G36" s="2"/>
      <c r="H36" s="2"/>
    </row>
    <row r="37" spans="2:8" x14ac:dyDescent="0.3">
      <c r="B37" s="2"/>
      <c r="C37" s="2"/>
      <c r="D37" s="2"/>
      <c r="E37" s="2"/>
      <c r="F37" s="2"/>
      <c r="G37" s="2"/>
      <c r="H37" s="2"/>
    </row>
    <row r="38" spans="2:8" x14ac:dyDescent="0.3">
      <c r="B38" s="2"/>
      <c r="C38" s="2"/>
      <c r="D38" s="2"/>
      <c r="E38" s="2"/>
      <c r="F38" s="2"/>
      <c r="G38" s="2"/>
      <c r="H38" s="2"/>
    </row>
    <row r="39" spans="2:8" x14ac:dyDescent="0.3">
      <c r="B39" s="2"/>
      <c r="C39" s="2"/>
      <c r="D39" s="2"/>
      <c r="E39" s="2"/>
      <c r="F39" s="2"/>
      <c r="G39" s="2"/>
      <c r="H39" s="2"/>
    </row>
    <row r="40" spans="2:8" x14ac:dyDescent="0.3">
      <c r="B40" s="2"/>
      <c r="C40" s="2"/>
      <c r="D40" s="2"/>
      <c r="E40" s="2"/>
      <c r="F40" s="2"/>
      <c r="G40" s="2"/>
      <c r="H40" s="2"/>
    </row>
    <row r="41" spans="2:8" x14ac:dyDescent="0.3">
      <c r="B41" s="2"/>
      <c r="C41" s="2"/>
      <c r="D41" s="2"/>
      <c r="E41" s="2"/>
      <c r="F41" s="2"/>
      <c r="G41" s="2"/>
      <c r="H41" s="2"/>
    </row>
    <row r="42" spans="2:8" x14ac:dyDescent="0.3">
      <c r="B42" s="2"/>
      <c r="C42" s="2"/>
      <c r="D42" s="2"/>
      <c r="E42" s="2"/>
      <c r="F42" s="2"/>
      <c r="G42" s="2"/>
      <c r="H42" s="2"/>
    </row>
    <row r="43" spans="2:8" x14ac:dyDescent="0.3">
      <c r="B43" s="2"/>
      <c r="C43" s="2"/>
      <c r="D43" s="2"/>
      <c r="E43" s="2"/>
      <c r="F43" s="2"/>
      <c r="G43" s="2"/>
      <c r="H43" s="2"/>
    </row>
    <row r="44" spans="2:8" x14ac:dyDescent="0.3">
      <c r="B44" s="2"/>
      <c r="C44" s="2"/>
      <c r="D44" s="2"/>
      <c r="E44" s="2"/>
      <c r="F44" s="2"/>
      <c r="G44" s="2"/>
      <c r="H44" s="2"/>
    </row>
    <row r="45" spans="2:8" x14ac:dyDescent="0.3">
      <c r="B45" s="2"/>
      <c r="C45" s="2"/>
      <c r="D45" s="2"/>
      <c r="E45" s="2"/>
      <c r="F45" s="2"/>
      <c r="G45" s="2"/>
      <c r="H45" s="2"/>
    </row>
    <row r="46" spans="2:8" x14ac:dyDescent="0.3">
      <c r="B46" s="2"/>
      <c r="C46" s="2"/>
      <c r="D46" s="2"/>
      <c r="E46" s="2"/>
      <c r="F46" s="2"/>
      <c r="G46" s="2"/>
      <c r="H46" s="2"/>
    </row>
    <row r="47" spans="2:8" x14ac:dyDescent="0.3">
      <c r="B47" s="2"/>
      <c r="C47" s="2"/>
      <c r="D47" s="2"/>
      <c r="E47" s="2"/>
      <c r="F47" s="2"/>
      <c r="G47" s="2"/>
      <c r="H47" s="2"/>
    </row>
    <row r="48" spans="2:8" x14ac:dyDescent="0.3">
      <c r="B48" s="2"/>
      <c r="C48" s="2"/>
      <c r="D48" s="2"/>
      <c r="E48" s="2"/>
      <c r="F48" s="2"/>
      <c r="G48" s="2"/>
      <c r="H48" s="2"/>
    </row>
    <row r="49" spans="2:8" x14ac:dyDescent="0.3">
      <c r="B49" s="2"/>
      <c r="C49" s="2"/>
      <c r="D49" s="2"/>
      <c r="E49" s="2"/>
      <c r="F49" s="2"/>
      <c r="G49" s="2"/>
      <c r="H49" s="2"/>
    </row>
    <row r="50" spans="2:8" x14ac:dyDescent="0.3">
      <c r="B50" s="2"/>
      <c r="C50" s="2"/>
      <c r="D50" s="2"/>
      <c r="E50" s="2"/>
      <c r="F50" s="2"/>
      <c r="G50" s="2"/>
      <c r="H50" s="2"/>
    </row>
    <row r="51" spans="2:8" x14ac:dyDescent="0.3">
      <c r="B51" s="2"/>
      <c r="C51" s="2"/>
      <c r="D51" s="2"/>
      <c r="E51" s="2"/>
      <c r="F51" s="2"/>
      <c r="G51" s="2"/>
      <c r="H51" s="2"/>
    </row>
    <row r="52" spans="2:8" x14ac:dyDescent="0.3">
      <c r="B52" s="2"/>
      <c r="C52" s="2"/>
      <c r="D52" s="2"/>
      <c r="E52" s="2"/>
      <c r="F52" s="2"/>
      <c r="G52" s="2"/>
      <c r="H52" s="2"/>
    </row>
    <row r="53" spans="2:8" x14ac:dyDescent="0.3">
      <c r="B53" s="2"/>
      <c r="C53" s="2"/>
      <c r="D53" s="2"/>
      <c r="E53" s="2"/>
      <c r="F53" s="2"/>
      <c r="G53" s="2"/>
      <c r="H53" s="2"/>
    </row>
    <row r="54" spans="2:8" x14ac:dyDescent="0.3">
      <c r="B54" s="2"/>
      <c r="C54" s="2"/>
      <c r="D54" s="2"/>
      <c r="E54" s="2"/>
      <c r="F54" s="2"/>
      <c r="G54" s="2"/>
      <c r="H5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PIB</vt:lpstr>
      <vt:lpstr>DEUDA</vt:lpstr>
      <vt:lpstr>DEUDA_PIB</vt:lpstr>
      <vt:lpstr>EPA</vt:lpstr>
      <vt:lpstr>EPA_2</vt:lpstr>
      <vt:lpstr>EPA_3</vt:lpstr>
      <vt:lpstr>EPA_4</vt:lpstr>
      <vt:lpstr>EPA_5</vt:lpstr>
      <vt:lpstr>Indice confianza empresarial</vt:lpstr>
      <vt:lpstr>EGATUR</vt:lpstr>
      <vt:lpstr>FRONTUR</vt:lpstr>
      <vt:lpstr>ETR_1</vt:lpstr>
      <vt:lpstr>ETR_2</vt:lpstr>
      <vt:lpstr>TMC</vt:lpstr>
      <vt:lpstr>IPV</vt:lpstr>
      <vt:lpstr>TI</vt:lpstr>
    </vt:vector>
  </TitlesOfParts>
  <Company>Gobierno de Cantabria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Cobo Fernández María Isabel</dc:creator>
  <cp:lastModifiedBy>Ruiz del Río Cristina</cp:lastModifiedBy>
  <dcterms:created xsi:type="dcterms:W3CDTF">2020-04-08T10:41:16Z</dcterms:created>
  <dcterms:modified xsi:type="dcterms:W3CDTF">2025-10-10T09:20:50Z</dcterms:modified>
</cp:coreProperties>
</file>